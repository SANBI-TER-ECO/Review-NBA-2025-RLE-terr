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Maphale Monyeki Projects\NBA 2025\2. NBA 2025 - Modules\2. Modules\RLE 2025 gazette_python\book\Contents\data\"/>
    </mc:Choice>
  </mc:AlternateContent>
  <xr:revisionPtr revIDLastSave="0" documentId="13_ncr:1_{9FE9EECB-F027-4040-BAAA-CE63C6FB70EE}" xr6:coauthVersionLast="47" xr6:coauthVersionMax="47" xr10:uidLastSave="{00000000-0000-0000-0000-000000000000}"/>
  <bookViews>
    <workbookView xWindow="-108" yWindow="-108" windowWidth="23256" windowHeight="12456" activeTab="3" xr2:uid="{00000000-000D-0000-FFFF-FFFF00000000}"/>
  </bookViews>
  <sheets>
    <sheet name="Sheet4" sheetId="4" r:id="rId1"/>
    <sheet name="Sheet5" sheetId="6" r:id="rId2"/>
    <sheet name="Sheet1" sheetId="1" r:id="rId3"/>
    <sheet name="Sheet3" sheetId="3" r:id="rId4"/>
    <sheet name="Sheet7" sheetId="8" r:id="rId5"/>
    <sheet name="RLE_full_compiled_adjusted" sheetId="7" r:id="rId6"/>
  </sheets>
  <definedNames>
    <definedName name="_xlnm._FilterDatabase" localSheetId="2" hidden="1">Sheet1!$A$1:$W$464</definedName>
  </definedNames>
  <calcPr calcId="191029"/>
  <pivotCaches>
    <pivotCache cacheId="1" r:id="rId7"/>
    <pivotCache cacheId="8" r:id="rId8"/>
    <pivotCache cacheId="12"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 i="4" l="1"/>
  <c r="C7" i="8"/>
  <c r="G22" i="4"/>
  <c r="G23" i="4"/>
  <c r="G24" i="4"/>
  <c r="G25" i="4"/>
  <c r="G26" i="4"/>
  <c r="G27" i="4"/>
  <c r="G28" i="4"/>
  <c r="G29" i="4"/>
  <c r="G30" i="4"/>
  <c r="G31" i="4"/>
  <c r="H24" i="4" s="1"/>
  <c r="H30" i="4"/>
  <c r="H22" i="4"/>
  <c r="H23" i="4"/>
  <c r="H25" i="4"/>
  <c r="H26" i="4"/>
  <c r="H27" i="4"/>
  <c r="G21" i="4"/>
  <c r="H29" i="4" l="1"/>
  <c r="H31" i="4"/>
  <c r="H21" i="4"/>
  <c r="H28" i="4"/>
  <c r="E19" i="3" l="1"/>
  <c r="F16" i="3"/>
  <c r="F13" i="3"/>
  <c r="F15" i="3"/>
  <c r="F14" i="3"/>
  <c r="F12" i="3"/>
  <c r="D13" i="3"/>
  <c r="D15" i="3"/>
  <c r="D14" i="3"/>
  <c r="D16" i="3"/>
  <c r="D12" i="3"/>
</calcChain>
</file>

<file path=xl/sharedStrings.xml><?xml version="1.0" encoding="utf-8"?>
<sst xmlns="http://schemas.openxmlformats.org/spreadsheetml/2006/main" count="17617" uniqueCount="2877">
  <si>
    <t>Realm_GETL1</t>
  </si>
  <si>
    <t>Code</t>
  </si>
  <si>
    <t>Name</t>
  </si>
  <si>
    <t>Bioregion</t>
  </si>
  <si>
    <t>Biome</t>
  </si>
  <si>
    <t>IUCN_GET_2025_L2</t>
  </si>
  <si>
    <t>IUCN_GET_2022_L3</t>
  </si>
  <si>
    <t>Distribution_full_descr</t>
  </si>
  <si>
    <t>Province</t>
  </si>
  <si>
    <t>CountryEcoTypeExtendInto_Political</t>
  </si>
  <si>
    <t>Contry</t>
  </si>
  <si>
    <t>Landscape</t>
  </si>
  <si>
    <t>Climate_full_descr</t>
  </si>
  <si>
    <t>GeologySoilsHydrology</t>
  </si>
  <si>
    <t>Historic_area_km2</t>
  </si>
  <si>
    <t>Nat2018</t>
  </si>
  <si>
    <t>Nat.2022km2</t>
  </si>
  <si>
    <t>EPL_2025</t>
  </si>
  <si>
    <t>RLE_2022</t>
  </si>
  <si>
    <t>RLE_2025</t>
  </si>
  <si>
    <t>RLE2022_2025</t>
  </si>
  <si>
    <t>Criteria_triggered</t>
  </si>
  <si>
    <t>Status_Change</t>
  </si>
  <si>
    <t>Terrestrial</t>
  </si>
  <si>
    <t>Gh3</t>
  </si>
  <si>
    <t>Xhariep Karroid Grassland</t>
  </si>
  <si>
    <t>Dry Highveld Grassland Bioregion</t>
  </si>
  <si>
    <t>Grassland</t>
  </si>
  <si>
    <t>T4</t>
  </si>
  <si>
    <t>T4.5</t>
  </si>
  <si>
    <t xml:space="preserve">Free State Province and very slightly into the Northern Cape Province: Southern regions including the vicinity of Luckhoff (west), Edenburg (north), Gariep Dam (south) and Smithfield (east). </t>
  </si>
  <si>
    <t>Northern Cape, Free State</t>
  </si>
  <si>
    <t>Endemic to South Africa</t>
  </si>
  <si>
    <t>South Africa</t>
  </si>
  <si>
    <t xml:space="preserve">Extensive, even or slightly undulating bottomland flats forming a matrix of large landscape patches interrupted by high dolerite sills, koppies and conspicuous ring dykes </t>
  </si>
  <si>
    <t>Seasonal climatic region, with summer rainfall peaking in early autumn, and with overall relatively low MAP (slightly above 410 mm). Some of the localities can, however, reach mean yearly rainfall values as high as 580 mm (Edenburg). MAT around 15°C, but winter frost very common (around 50 days on average). See also climate diagram for Gh 3 Xhariep Karroid Grassland (Figure 8.23).</t>
  </si>
  <si>
    <t>Alternating layers of mudstone and sandstone mostly of the Permian Adelaide Subgroup (Beaufort Group, Karoo Supergroup). Part of the area is covered with soils with diagnostic pedocutanic and prismacutanic (dark clayey) B-horizons and belongs to soil forms such as Estcourt, Rensburg and Oakleaf. In some areas, especially towards the more arid west, patches of calcrete on the soil surface are notable—here the soil forms such as Kimberley and Plooysburg prevail (dwarf karroid shrubs usually concentrate on these areas of limestone-rich patches). The entire area has been classified as Da or Db land types.</t>
  </si>
  <si>
    <t>PP</t>
  </si>
  <si>
    <t>LC</t>
  </si>
  <si>
    <t>LC↔LC</t>
  </si>
  <si>
    <t>Unchanged</t>
  </si>
  <si>
    <t>SVcb23</t>
  </si>
  <si>
    <t>Polokwane Plateau Bushveld</t>
  </si>
  <si>
    <t>Central Bushveld Bioregion</t>
  </si>
  <si>
    <t>Savanna</t>
  </si>
  <si>
    <t>T4.2</t>
  </si>
  <si>
    <t xml:space="preserve">Limpopo Province: The higher-lying plains around Polokwane, north of the Strydpoort Mountains and south of the SVcb 20 Makhado Sweet Bushveld. </t>
  </si>
  <si>
    <t>Limpopo</t>
  </si>
  <si>
    <t>Moderately undulating plains.Hills and low mountains of SVcb 24 Mamabolo Mountain Bushveld are embedded within this unit.</t>
  </si>
  <si>
    <t>Summer rainfall with very dry winters. MAP from about 400 mm in the northwest to about 600 mm where it borders on the foot of mountains to the east and south. Frost fairly infrequent. Mean monthly maximum and minimum temperatures for Polokwane 33.2°C and 0.6°C for October and June, respectively. See also climate diagram for SVcb 23 Polokwane Plateau Bushveld.</t>
  </si>
  <si>
    <t>Migmatites and gneisses of the Hout River Gneiss and the Turfloop Granite (both of Randian Erathem) are dominant. Some ultramafic and mafic metavolcanics, quartzite and chlorite schist of the Pietersburg Group (Swazian Erathem) are also found. Soils variable, with freely drained soils with high base status, some dystrophic/mesotrophic, eutrophic plinthic catenas. Glenrosa and Mispah soil forms. Land types mainly Ae, Bd, Ah, Ab, Bc and Fa.</t>
  </si>
  <si>
    <t>EN</t>
  </si>
  <si>
    <t>LC → EN</t>
  </si>
  <si>
    <t>B1i_rod</t>
  </si>
  <si>
    <t>Uplisted</t>
  </si>
  <si>
    <t>Dg1</t>
  </si>
  <si>
    <t>Noms Mountain Desert</t>
  </si>
  <si>
    <t>Gariep Desert Bioregion</t>
  </si>
  <si>
    <t>Desert</t>
  </si>
  <si>
    <t>T5</t>
  </si>
  <si>
    <t>T5.5</t>
  </si>
  <si>
    <t xml:space="preserve">Northernmost part of the Richtersveld National Park, east of Sendelingsdrif, north of Koeroegab and the Kook River, south of the Orange River. The unit borders on units of the Succulent Karoo Biome to the south. </t>
  </si>
  <si>
    <t>Northern Cape</t>
  </si>
  <si>
    <t>Namibia</t>
  </si>
  <si>
    <t>Most of the unit is formed by rugged, generally low mountains with bare rock and very sparse vegetation. Habitats differ according to topography</t>
  </si>
  <si>
    <t>MAP approximately 45–60 mm. Variable, transitional climate between winter and summer rainfall. High maximum temperatures, reaching up to 50°C in summer. Frost is very rare, but occurs at higher altitudes. Fog infrequent, particularly in the eastern part of the unit.</t>
  </si>
  <si>
    <t>Predominantly calc-alkaline, acid and intermediate metavolcanic rocks and quartzitic metasediments of the De Hoop Subgroup (Orange River Group). Also granodiorite, adamellite, leucogranite, tonalite and diorite of the Vioolsdrif Intrusive Suite (Mokolian Erathem) are found. Hardly any deep soils developed. Land type Ic.</t>
  </si>
  <si>
    <t>WP</t>
  </si>
  <si>
    <t>SVs4</t>
  </si>
  <si>
    <t>Ngongoni Veld</t>
  </si>
  <si>
    <t>Sub-Escarpment Savanna Bioregion</t>
  </si>
  <si>
    <t xml:space="preserve">KwaZulu-Natal and Eastern Cape Provinces: From Melmoth in the north to near Libode in the former Transkei (including Eshowe, New Hanover, Camperdown, Eston, Richmond, Dumisa, Harding, Lusikisiki and the Libode area). </t>
  </si>
  <si>
    <t>KwaZulu-Natal, Eastern Cape</t>
  </si>
  <si>
    <t>Summer rainfall with some rain in winter. MAP about 700–1 100 mm. Some valleys are sheltered and may show weak rainshadow effects. Frost infrequent, occurring mainly where cold air becomes trapped in valleys. Mean monthly maximum and minimum temperatures for Melmoth 37.0°C and 4.9°C for October and July, respectively. Corresponding values for New Hanover 38.2°C and –0.2°C for January and June, respectively. See also climate diagram for SVs 4 Ngongoni Veld.</t>
  </si>
  <si>
    <t>Acid, leached, heavy soils are derived from Karoo Supergroup sediments (including significant Dwyka tillites) and intrusive Karoo dolerites. Also Glenrosa and Mispah soils occur. Land types Fa, Ab, Ac and Aa.</t>
  </si>
  <si>
    <t>NP</t>
  </si>
  <si>
    <t>VU</t>
  </si>
  <si>
    <t>VU → EN</t>
  </si>
  <si>
    <t>SKs4</t>
  </si>
  <si>
    <t>Richtersveld Sandy Coastal Scorpionstailveld</t>
  </si>
  <si>
    <t>Namaqualand Sandveld Bioregion</t>
  </si>
  <si>
    <t>Succulent Karoo</t>
  </si>
  <si>
    <t>T5.2</t>
  </si>
  <si>
    <t xml:space="preserve">Northern Cape Province: A fragmented band running parallel to the coast 8 to 28 km inland, from a northern boundary at the southwestern corner of the Annisvlakte to the Holgat River, and then for some 30 km southwards. Further this unit is found from just north of the road between Alexander Bay and Oograbies in a southern direction halfway between Port Nolloth and Kleinzee. The unit covers 103 km along the north-south axis. </t>
  </si>
  <si>
    <t>The boundaries of this unit are clearly visible on satellite and aerial images, characterised by a darker colour, which is created by the intense biological soil surface crusts</t>
  </si>
  <si>
    <t xml:space="preserve">MAP 60–100 mm, with mainly winter rainfall. Coastal fog also occurs. High wind speeds occur, but are less frequent and weaker than in the SKs 2 Northern Richtersveld Yellow Duneveld. Frost is very rare. </t>
  </si>
  <si>
    <t>Sandy loams, partly covered by yellow and red wind-blown sands, probably of coastal origin. This unit clearly shows an increase in the silt texture class (ca. 20%), which is linked to an increase in pH, compared to the neighbouring units. Within this unit, the surface cover of biological soil crusts at the soil surface reaches maximum values for the Richtersveld coastal plain (80–90%). The hypothesis is proposed that this unit is controlled by maximum silt deposition (desert margin loess) and minimum disturbance, compared to the neighbouring units of the coastal plain. Ah land type is absolutely dominant.</t>
  </si>
  <si>
    <t>FFs20</t>
  </si>
  <si>
    <t>Tsitsikamma Sandstone Fynbos</t>
  </si>
  <si>
    <t>Eastern Fynbos-Renosterveld Bioregion</t>
  </si>
  <si>
    <t>Fynbos</t>
  </si>
  <si>
    <t>T3</t>
  </si>
  <si>
    <t>T3.2</t>
  </si>
  <si>
    <t xml:space="preserve">Western and Eastern Cape Provinces: Tsitsikamma Mountains from Uniondale to Cape St Francis, north of the Keurbooms River and south of Langkloof. </t>
  </si>
  <si>
    <t>Eastern Cape, Western Cape</t>
  </si>
  <si>
    <t xml:space="preserve">A relatively low mountain range with gentle to steep both northern and southern slopes over 140 km, with a few high peaks and moderately undulating plains. Relatively broad compared to the other coastal mountain ranges varying from 10–20 km in width. </t>
  </si>
  <si>
    <t>MAP 480–1 230 mm (mean: 845 mm), fairly even throughout the year. Mean daily maximum and minimum temperatures 25.5°C and 5.8°C for February and July, respectively. Frost incidence 2–10 days per year. See also climate diagram for FFs 20 Tsitsikamma Sandstone Fynbos (Figure 4.21).</t>
  </si>
  <si>
    <t>Acidic lithosol soils derived from Ordovician sandstones of the Table Mountain Group (Cape Supergroup), plinthic catenas prominent. Land types mainly Ib, Ca and Bb.</t>
  </si>
  <si>
    <t>FRa2</t>
  </si>
  <si>
    <t>Swartland Alluvium Renosterveld</t>
  </si>
  <si>
    <t>West Coast Renosterveld Bioregion</t>
  </si>
  <si>
    <t xml:space="preserve">Western Cape Province: Narrow belts in the southern Swartland encompassed by Klipheuwel, Malmesbury, Moorreesburg and Darling along the Groen and Diep Rivers. </t>
  </si>
  <si>
    <t>Western Cape</t>
  </si>
  <si>
    <t>Riverine plains and bottomlands</t>
  </si>
  <si>
    <t>MAP 300–490 mm (mean: 370 mm), peaking from May to August. Mists common in winter. Mean daily maximum and minimum temperatures 28.8°C and 7.0°C for February and July, respectively. Frost incidence about 3 days per year. See also climate diagram for FRa 2 Swartland Alluvium Renosterveld (Figure 4.123).</t>
  </si>
  <si>
    <t>Mainly fine silty and sandy alluvial sediments, mainly derived from Cape Granite. Soils with prismacutanic and/or pedocutanic diagnostic horizons are dominant. Land types mainly Db.</t>
  </si>
  <si>
    <t>CR</t>
  </si>
  <si>
    <t>VU → CR</t>
  </si>
  <si>
    <t>B1iii_sp</t>
  </si>
  <si>
    <t>AZi5</t>
  </si>
  <si>
    <t>Bushmanland Vloere</t>
  </si>
  <si>
    <t>Inland Saline Vegetation</t>
  </si>
  <si>
    <t>Azonal Vegetation</t>
  </si>
  <si>
    <t>T5.1</t>
  </si>
  <si>
    <t xml:space="preserve">Northern Cape Province: Vloere (salt pans) of the central Bushmanland Basin as well as the broad riverbeds of the intermittent Sak River (functioning as temporary connection between some of the pans) as well as its numerous ancient (today dysfunctional) tributaries. The patches of this vegetation unit are embedded especially within NKb 6 Bushmanland Basin Shrubland and NKb 3 Bushmanland Arid Grassland and to a lesser extent also within NKb 4, NKu 1, NKu 2 as well as marginal Succulent Karoo units summarised within the bioregion of Trans-Escarpment Succulent Karoo. </t>
  </si>
  <si>
    <t>Flat and very even surfaces of pans and broad bottoms of intermittent rivers.</t>
  </si>
  <si>
    <t>Arid, seasonal climate with bimodal (equinoctial) precipitation regime—two peaks, one in March and another in November. Overall MAP 141 mm (range 91 mm in western Bushmanland to 306 mm at northern edges of the Roggeveld). Overall MAT 16.8°C (range 17.4°C in northern Bushmanland to 14.5°C on northern edge of the Roggeveld). The region where the Bushmanland Vloere occur, is known for thermic extremes, both long-term (mean daily temperature in January approaching 32°C and in July only several degrees above zero) and short-term (daily temperature amplitude around 25°C). Frequent occurrence of frost is also indicative of the high thermic continentality of the region. See also climate diagram for AZi 5 Bushmanland Vloere (Figure 13.2).</t>
  </si>
  <si>
    <t>Endorheic pans and alluvia of associated intermittent rivers filled with silty and clayey alluvial deposits with a high content of concentrated salt (sodic soils), supported by Ecca Group shales and Dwyka diamictites (Karoo Supergroup). Watkeys (1999) found that in the pan of Brandvlei, the orthic A horizon is underlain by a soft carbonate subsoil and the soils of the alluvial terraces of the Sak River are deep (more than 1 000 mm), stratified and weakly structured and calcareous. Ia land type. Erosion in some places can be considerable, especially after unpredictable heavy thunderstorms leading to sudden swelling of the Sak River. The pans can be filled in wet summers and in autumn.</t>
  </si>
  <si>
    <t>AZi7</t>
  </si>
  <si>
    <t>Tanqua Wash Riviere</t>
  </si>
  <si>
    <t xml:space="preserve">Western Cape and (to a smaller extent) Northern Cape Provinces: Alluvia of the Tankwa and Doring Rivers and sheet-wash plains of their less important tributaries embedded within SKv 5 Tanqua Karoo. </t>
  </si>
  <si>
    <t>Northern Cape, Western Cape</t>
  </si>
  <si>
    <t>Deeply incised valleys  of intermittent rivers</t>
  </si>
  <si>
    <t xml:space="preserve">Region characterised by arid to hyperarid climate, with MAP ranging between 100 mm and 170 mm (lowest long-term average is 72.3 mm for Elandsvlei on the Tankwa River). Overall MAP 162 mm, mainly falling in autumn and winter. Mean daily maximum and minimum temperatures are 32.5°C and 3.0°C for January and July, respectively. Overall MAT is slightly higher than 17°C. Due to basin macrotopography the occurrence of frost is fairly frequent. See also climate diagrams for AZi 7 Tanqua Wash Riviere (Figure 13.2)and SKv 5 Tanqua Karoo (Figure 5.65 in Chapter on Succulent Karoo in this book). </t>
  </si>
  <si>
    <t>Broad Quaternary alluvial floors and drainage lines filled with recent sediments mostly from eroded Karoo Supergroup sediments. Sodic loamy to sandy soils (Ia land type) are predominantly supported by sediments of the Ecca and Dwyka Groups of the Karoo Supergroup. In the west, rocks of the Devonian Bokkeveld Group (Cape Supergroup) and in the east, the Permian Adelaide Subgroup (Karoo Supergroup) also support these soils. The run-off in these habitats is very low and spread over large areas.</t>
  </si>
  <si>
    <t>MP</t>
  </si>
  <si>
    <t>Gh11</t>
  </si>
  <si>
    <t>Vredefort Dome Granite Grassland</t>
  </si>
  <si>
    <t xml:space="preserve">Free State and North-West Provinces: Central portion of the Vredefort Dome around Parys and Vredefort. </t>
  </si>
  <si>
    <t>Free State, North West</t>
  </si>
  <si>
    <t>Slightly undulating plains</t>
  </si>
  <si>
    <t>Warm-temperate, summer-rainfall region, with overall MAP of 594 mm. Summer temperatures are high. Severe frost (38 days per year on average) occurs in winter. See also climate diagram for Gh 11 Vredefort Dome Granite Grassland (Figure 8.23).</t>
  </si>
  <si>
    <t>Granite and gneiss at the core of the Vredefort Dome underlie this area and includes the Inlandsee Gneiss. Various soil types including the Hutton, Mispah and Avalon forms, representing plinthic soils, which can be dystrophic and/or mesotrophic (Ba land type) or eutrophic (Bc land type). Red soils are generally widespread.</t>
  </si>
  <si>
    <t>CR↔CR</t>
  </si>
  <si>
    <t>AZa6</t>
  </si>
  <si>
    <t>Albany Alluvial Vegetation</t>
  </si>
  <si>
    <t>Alluvial Vegetation</t>
  </si>
  <si>
    <t>T4.1</t>
  </si>
  <si>
    <t xml:space="preserve">Eastern Cape Province: Between East London and Cape St Francis on wide floodplains (usually close to the coast where the topography becomes flatter) of the large rivers such as the Sundays, Zwartkops, Coega, Gamtoos, Baviaanskloof, Great Fish River etc. This alluvial unit is embedded within the Albany Thicket Biome. </t>
  </si>
  <si>
    <t>Eastern Cape</t>
  </si>
  <si>
    <t>narrow floodplain zones in regions close to the coast or further inland</t>
  </si>
  <si>
    <t>Characterised by undifferentiated, year-round precipitation regime, with only two slight peaks in March and November. The overall MAP is 350 mm (range 300–717 mm). Warm-temperate climate (overall MAT 18°C; range 15.7–18.3°C). The river valleys are often hotter than the surrounding landscape (due to exposed steep slopes), whereas riverine zones closer to the coast enjoy an ameliorated climate due to its proximity to the sea. See also climate diagram for AZa 6 Albany Alluvial Vegetation (Figure 13.2).</t>
  </si>
  <si>
    <t>Underlain by Jurassic-Cretaceous sediments of the Uitenhage Group. The alluvial zones (recent alluvial deposits of various textures, but usually with high clay content) can become flooded following the west-east passage of frontal systems in autumn and winter or during intensive local storms in summer. Ia land type.</t>
  </si>
  <si>
    <t>EN↔EN</t>
  </si>
  <si>
    <t>SVs1</t>
  </si>
  <si>
    <t>Thukela Valley Bushveld</t>
  </si>
  <si>
    <t xml:space="preserve"> KwaZulu-Natal Province: Central Thukela River basin upstream of Jameson’s Drift, past Tugela Ferry to about 20 km southeast of Ladysmith. Also in valleys of several major tributaries, such as the lower Mooi, Bushmans, Buffels and Sundays Rivers. </t>
  </si>
  <si>
    <t>KwaZulu-Natal</t>
  </si>
  <si>
    <t>Often rocky rugged slopes and terraces</t>
  </si>
  <si>
    <t xml:space="preserve"> Summer rainfall with dry winters. MAP about 500–850 mm. Frost fairly infrequent and usually on valley bottoms. Mean monthly maximum and minimum temperatures for Muden 36.7°C and 0.2°C and for Weenen 38.1°C and –4.4°C both for December and June, respectively. See also climate diagram for SVs 1 Thukela Valley Bushveld.</t>
  </si>
  <si>
    <t>Shallow soils of Mispah and Glenrosa forms on the slopes, while in valley bottoms, pockets of deep alluvial soils as well as calcareous, duplex soils are found. The major geological formations are sediments of Ecca Group (Karoo Supergroup) and in the eastern part also Archaean granites. Land types mainly Fc and Fb, with some Ae and Ea.</t>
  </si>
  <si>
    <t>NKl2</t>
  </si>
  <si>
    <t>Eastern Lower Karoo</t>
  </si>
  <si>
    <t>Lower Karoo Bioregion</t>
  </si>
  <si>
    <t>Nama-Karoo</t>
  </si>
  <si>
    <t xml:space="preserve">Eastern Cape and Western Cape Provinces: Plains east of the Kariega and Buffels Rivers in the area south of the Camdebo Mountains and the line of mountains linking to the Coetzeesberge encompassing Aberdeen, Graaff-Reinet and Pearston (region called Camdebo) and plains south of Aberdeen to Klipplaat and Miller. Contains some higher elevation islands of Camdebo Escarpment Thicket, Groot Thicket and Lower Karoo Gwarrieveld. </t>
  </si>
  <si>
    <t>Plains interrupted by some dolerite dykes, butts and mesas.</t>
  </si>
  <si>
    <t>Rainfall mostly in late summer and early autumn, with main peak in March. MAP ranges from about 150 mm in the west to 350 mm in the east. Mean maximum and minimum monthly temperatures for Graaff-Reinet are 38.6°C and –0.3°C for January and July, respectively. See also climate diagram for NKl 2 Eastern Lower Karoo (Figure 7.2).</t>
  </si>
  <si>
    <t>Flat or gently sloping pediments composed of mudstone and resistant sandstones of the Beaufort Group (Adelaide Subgroup), Ecca sediments and Dwyka tillites in the south, with some Jurassic dolerite intrusions in the north. About half the area has red-yellow, apedal, freely drained soils, &lt;300 mm deep, with a high base status (Ag land type). Also shallow Glenrosa and/or Mispah soils (Fc land type).</t>
  </si>
  <si>
    <t>SVcb7</t>
  </si>
  <si>
    <t>Norite Koppies Bushveld</t>
  </si>
  <si>
    <t xml:space="preserve">North-West and Gauteng Provinces: Embedded in Marikana Thornveld, north of the Magaliesberg, on rocky hills between Rustenburg and Pretoria with the highest hills (e.g. Kareepoortberg) near Brits. </t>
  </si>
  <si>
    <t>Gauteng, North West</t>
  </si>
  <si>
    <t>The stands of this unit are found on noritic outcrops and koppies, many appearing as inselbergs above the surrounding plains.</t>
  </si>
  <si>
    <t>Summer rainfall with dry winters. MAP from 600–700 mm. Frost fairly frequent around the base of hills in winter but less so on the hills. See also climate diagram for SVcb 7 Norite Koppies Bushveld.</t>
  </si>
  <si>
    <t>Mostly gabbro and norite with interlayered anorthosite of the Pyramid Gabbro-Norite, Rustenburg Layered Suite, with a small area of the Rashoop Granophyre Suite (felsic igneous rocks), both of the Bushveld Complex (Vaalian). Large rock boulders and very shallow lithosols occur. Soils are well-drained, Glenrosa and Mispah forms; in some areas vertic, melanic clays are found as well. Land types mainly Ib, with some Ea also occurring.</t>
  </si>
  <si>
    <t>NKb5</t>
  </si>
  <si>
    <t>Kalahari Karroid Shrubland</t>
  </si>
  <si>
    <t>Bushmanland Bioregion</t>
  </si>
  <si>
    <t xml:space="preserve">Northern Cape Province: Typically forming belts alternating with belts of Gordonia Duneveld on plains northwest of Upington through Lutzputs and Noenieput to the Rietfontein/Mier area in the north. Other patches occur around Kakamas and north of Groblershoop. The unit is also found in the neighbouring Namibia. </t>
  </si>
  <si>
    <t>flat, gravel plains.</t>
  </si>
  <si>
    <t xml:space="preserve">MAP ranges from about 100–200 mm and most rain falls in late summer and early autumn. Winters are particularly dry, with lowest winter relative humidity compared to other Nama-Karoo types. Mean maximum and minimum monthly temperatures in Upington are 39.5°C and –4.2°C for January and July, respectively. Solar radiation is high and in winter is higher than in any other vegetation type of the Nama-Karoo. See also climate diagram for NKb 5 Kalahari Karroid Shrubland (Figure 7.2). </t>
  </si>
  <si>
    <t>Cenozoic Kalahari Group sands and small patches also on calcrete outcrops and screes on scarps of intermittent rivers (mekgacha). In places Dwyka Group tillites outcrop. The soils are deep (&gt;300 mm), red-yellow, apedal, freely drained, with a high base status, typical of Ae land type.</t>
  </si>
  <si>
    <t>FFs22</t>
  </si>
  <si>
    <t>South Rooiberg Sandstone Fynbos</t>
  </si>
  <si>
    <t>Western Fynbos-Renosterveld Bioregion</t>
  </si>
  <si>
    <t xml:space="preserve">Western Cape Province: Southern slopes of the mountains of Rooiberg, Gamka and the Amalienstein Ridge-Sandberg-Bakenskop range. </t>
  </si>
  <si>
    <t xml:space="preserve">Steep to gentle south-facing slopes, deeply dissected in a few places. </t>
  </si>
  <si>
    <t>MAP 250–710 mm (mean: 465 mm), fairly even but with a low from December to February. Mean daily maximum and minimum temperatures 29.4°C and 3.5°C for January and July, respectively. Frost incidence 10–20 days per year. See also climate diagram for FFs 22 South Rooiberg Sandstone Fynbos (Figure 4.21).</t>
  </si>
  <si>
    <t>Acidic lithosol soils derived from Ordovician sandstones of the Table Mountain Group (Cape Supergroup). Land types mainly Ib and Ic.</t>
  </si>
  <si>
    <t>Gd6</t>
  </si>
  <si>
    <t>Drakensberg-Amathole Afromontane Fynbos</t>
  </si>
  <si>
    <t>Drakensberg Grassland Bioregion</t>
  </si>
  <si>
    <t xml:space="preserve">KwaZulu-Natal, Eastern Cape and Free State Provinces (presumably also in Lesotho): Series of isolated patches in deeply incised Drakensberg valleys (both in the Northern and Southern Berg) with the southernmost outliers on the Amathole Mountains (Eastern Cape) as well as odd outliers deep into KwaZulu-Natal at high altitude (e.g. Madlozi Mountain) north of Qudeni in the Nkandla District. </t>
  </si>
  <si>
    <t>KwaZulu-Natal, Eastern Cape, Free State</t>
  </si>
  <si>
    <t>Endemic to ZA, Ls, Sz</t>
  </si>
  <si>
    <t>Steep valleys and escarpment slopes at the head of rivers with small stands in stream gullies and depressions</t>
  </si>
  <si>
    <t>Summer-rainfall region, with MAP 800–1 820 mm (overall regional MAP 1 167 mm). Snowfalls are occasional and summer mists occur frequently. Overall regional MAT of 12.2°C might be misleading since summer days can be quite hot and frost occurs frequently in winter (more than 40 days) and the sheltered position of the afromontane fynbos habitats (steep slopes), often out of direct sun, probably has a profound influence on local microclimate. Hot, dry winds are common from July to October. See also climate diagram for Gd 6 Drakensberg-Amathole Afromontane Fynbos (Figure 8.11).</t>
  </si>
  <si>
    <t>Jurassic basalts (Drakensberg Group) and a variety of Karoo Supergroup sedimentary rocks (mainly sandstone of the Clarens Formation of the Stormberg Group) giving rise to soils of varying depth and nutrient status. Dominant land type Ac, followed by Fa and Ad.</t>
  </si>
  <si>
    <t>FRs2</t>
  </si>
  <si>
    <t>Nieuwoudtville Shale Renosterveld</t>
  </si>
  <si>
    <t>Karoo Renosterveld Bioregion</t>
  </si>
  <si>
    <t xml:space="preserve">Northern Cape Province: Bokkeveld Plateau at Nieuwoudtville extending in a 1–4 km wide strip 13 km south of Boererus on the Oorlogskloof River near Papkuilsfontein and almost 20 km north of Nieuwoudtville in the vicinity of Kleinplaas. </t>
  </si>
  <si>
    <t>Flat tableland</t>
  </si>
  <si>
    <t>MAP 190–350 mm (mean: 285 mm), peaking from May to August. Mean daily maximum and minimum temperatures 31.0°C and 3.2°C for February and July, respectively. Frost incidence about 10 days per year. See also climate diagram for FRs 2 Nieuwoudtville Shale Renosterveld (Figure 4.101).</t>
  </si>
  <si>
    <t>The soils have a well-developed clay E-horizon (leading to seasonal water-logging of soils) in places and are derived from Dwyka Group diamictites (tillites) that have a fine-grained (shale) matrix. There are even areas with only skeletal clays over the Nardouw Subgroup rocks (Cape Supergroup). Land types mainly Db and Fb.</t>
  </si>
  <si>
    <t>FFs14</t>
  </si>
  <si>
    <t>South Sonderend Sandstone Fynbos</t>
  </si>
  <si>
    <t>Southwest Fynbos Bioregion</t>
  </si>
  <si>
    <t xml:space="preserve">Western Cape Province: Southern slopes of the Riviersonderend Mountains from Villiersdorp and Eseljagsberg in the west to Stormsvlei in the east. </t>
  </si>
  <si>
    <t>Steep to gentle southern slopes, with extensive cliffs in places</t>
  </si>
  <si>
    <t>MAP 380–1 650 mm (mean: 785 mm), peaking May to August. Southeasterly cloud brings heavy mist precipitation at higher altitudes in summer. Mean daily maximum and minimum monthly temperatures 25.7°C and 4.6°C for February and July, respectively. Frost incidence 3–10 days per year. See also climate diagram for FFs 14 Sonderend Sandstone Fynbos (Figure 4.21).</t>
  </si>
  <si>
    <t>Acidic lithosol soils derived from Ordovician sandstones of the Table Mountain Group (Cape Supergroup). Land types mainly Ib, Ic and Fa.</t>
  </si>
  <si>
    <t>SKv13</t>
  </si>
  <si>
    <t>Prince Albert Succulent Karoo</t>
  </si>
  <si>
    <t>Rainshadow Valley Karoo Bioregion</t>
  </si>
  <si>
    <t xml:space="preserve">Western Cape Province: Broad flat-bottomed, colluvium-filled valleys between the north-facing slopes of the Swartberg and the parallel ridges that lie to the north of the Swartberg, this vegetation unit extends from around Gamkapoort Dam (west of Prince Albert) along the Swartberg foothills, as far as the Bosmanspoort area north of Willowmore. </t>
  </si>
  <si>
    <t xml:space="preserve">Flat or only slightly undulating country with prominent parallel stony ridges in places, </t>
  </si>
  <si>
    <t>Due to the rainshadow of the Swartberg Mountains, the MAP reaches only 165 mm. The rainfall pattern is equinoctial, with highest incidence from March to April and later from October to November. Winter rainfall is about 46% of the total precipitation. The overall MAT is slightly above 16°C, while at the Farm Tierberg (near Prince Albert) MAT is 17.5°C, temperatures ranging from below 0°C to 30°C. Incidence of frost of 26 days a year is quite high. See also climate diagram for SKv 13 Prince Albert Succulent Karoo (Figure 5.65).</t>
  </si>
  <si>
    <t>Sedimentary rocks of the Ecca Group (particularly the Fort Brown and Prince Albert Formations) together with diamictite of the Dwyka Group are most important in the area, and to a lesser extent shales and quartzites of the Devonian Witteberg Group. In places, Tertiary alluvial and slope deposits overlie these Karoo and Cape Supergroup rocks. This geology supports development of various cambisols and leptosols. Fc is the dominant land type, while Ag land type plays only a minor role.</t>
  </si>
  <si>
    <t>SVcb19</t>
  </si>
  <si>
    <t>Limpopo Sweet Bushveld</t>
  </si>
  <si>
    <t>Limpopo Province: Extends from the lower reaches of the Crocodile and Marico Rivers around Makoppa and Derdepoort, respectively, down the Limpopo River Valley including Lephalale and into the tropics past Tom Burke to the Usutu border post and Taaiboschgroet area in the north. The unit also occurs on the Botswana side of the border.</t>
  </si>
  <si>
    <t>Botswana</t>
  </si>
  <si>
    <t>Plains, sometimes undulating or irregular, traversed by several tributaries of the Limpopo River.</t>
  </si>
  <si>
    <t>Summer rainfall with very dry winters including the shoulder months of May and September. MAP from about 350 mm in the northeast to about 500 mm in the southwest. Frost fairly infrequent. Mean monthly maximum and minimum temperatures for Lephalale 38.2°C and 2.1°C for December and June, respectively. See also climate diagram for SVcb 19 Limpopo Sweet Bushveld.</t>
  </si>
  <si>
    <t>The northern half of the area is dominated by gneisses, metasediments and metavolcanics of the Malala Drift Group, Beit Bridge Complex (Swazian Erathem), basalts of the Letaba Formation (Lebombo Group of the Karoo Supergroup) are also found in the northeast. Sandstone, siltstone and mudstone of the Clarens Formation (Karoo Supergroup), as well as of the Matlabas Subgroup (Mokolian Waterberg Group) are found to the south and west. Soils with calcrete and surface limestone layers, brownish sandy (Clovelly soil form) clayey-loamy soils (Hutton soil form) on the plains and low-lying areas, with shallow, gravelly, sandy soils on the slightly undulating areas, localised areas of black clayey soils (Valsrivier or Arcadia soil forms) and Kalahari sand. Land types mainly Ae, Ah and Fc.</t>
  </si>
  <si>
    <t>Gs1</t>
  </si>
  <si>
    <t>Northern Zululand Mistbelt Grassland</t>
  </si>
  <si>
    <t>Sub-Escarpment Grassland Bioregion</t>
  </si>
  <si>
    <t>KwaZulu-Natal Province: Crests and slopes of the Ngome Mountain range and the Ngoje Mountain surrounding Louwsburg as well as some smaller mountainous areas of Langkrans, KwaCeza, KwaNtimbankulu and Nhlazatshe.</t>
  </si>
  <si>
    <t>Gentle to steep upper slopes of mountains formed by hard dolerite dykes</t>
  </si>
  <si>
    <t>Summer rainfall, with overall MAP around 960 mm, reaching 1 130 mm in places. Moisture-laden air frequently blows in from the southeast and is forced up 400–500 m over the mountains, creating ‘mistbelt’ conditions (particularly in spring and summer) that contribute to precipitation. MAT is 17.2°C (16–17.4°C) and mean annual range of evaporation is close to 1 790 mm. See also climate diagram for Gs 1 Northern Zululand Mistbelt Grassland (Figure 8.61).</t>
  </si>
  <si>
    <t>Shales and sandstones of the Madzaringwe and Pietermaritzburg Formations (both Karoo Supergroup) as well as intrusive rocks of the Karoo Dolerite Suite. Dominant soil forms are Hutton, Clovelly and Griffin and are well drained, having 15–35% clay in the A-horizon. Dominant land type Ac, followed in importance by Fa and Ab.</t>
  </si>
  <si>
    <t>Dg3</t>
  </si>
  <si>
    <t>Richtersveld Sheet Wash Desert</t>
  </si>
  <si>
    <t xml:space="preserve"> The unit is represented by many scattered smaller and larger valleys and plains in the northeastern Richtersveld. The largest areas (that can be shown on a map) include the Springbokvlakte, the Maerpoort, parts of the mid-upper reaches of the Abiekwa and Gannakouriep catchments, the lower Kourougab with the Kook River and the lower Kouams River. At a finer scale, many more parts of this unit would become visible in the northeastern parts of the Richtersveld. </t>
  </si>
  <si>
    <t>Sloping, often broad, valley floors, planated by the runoff from rare but strong thunderstorms and often funnelled by the surrounding bare rock of the mountains</t>
  </si>
  <si>
    <t>MAP about 45–70 mm. Very variable, transitional climate between winter and summer rainfall, showing a tendency towards summer rainfall in the east (e.g. lower Springbokvlakte). Rare thunderstorms are the most important source of rainfall. High summer maximum temperatures reach 50°C. Frost is very rare, but occurs at high altitudes. A new rain meter near the Tatasberg recorded a MAP of 55 mm over a six-year period.</t>
  </si>
  <si>
    <t>Coarse to fine alluvial sediments created from a variety of rock types mainly of the Vioolsdrif Suite and De Hoop Subgroup (Orange River Group, Mokolian Erathem), but also of the Dwyka Group (Karoo Supergroup), where these glacial deposits cover the older Mokolian rocks. Eroded sediments are shallow to generally deep.</t>
  </si>
  <si>
    <t>SVs5</t>
  </si>
  <si>
    <t>KwaZulu-Natal Sandstone Sourveld</t>
  </si>
  <si>
    <t xml:space="preserve">KwaZulu-Natal Province: Elevated coastal inland sandstone plateaus from Mapumulo near Kranskop in the north to St Faiths near Port Shepstone in the south (including Noodsberg, Hillcrest, Kloof, Table Mountain, Inanda, Stony Hill, Umbumbulu, Mid-Illovo, Dumisa, Highflats). </t>
  </si>
  <si>
    <t>The dominating landscape features are flat (or rolling) plateau tops and steep slopes commonly forming table mountains.</t>
  </si>
  <si>
    <t>Summer rainfall with some rain in winter. MAP about 700–1 200 mm. Mist common and important in providing additional moisture. Frost very infrequent. Mean monthly maximum and minimum temperatures for Hillcrest 35.0°C and 4.2°C and for Mid-Illovo 35.8°C and 4.7°C both for October and June/July, respectively. Corresponding values for Dalton 35.6°C and 0.9°C for October and July, respectively. See also climate diagram for SVs 5 KwaZulu-Natal Sandstone Sourveld.</t>
  </si>
  <si>
    <t>Ordovician Natal Group sandstones carry shallow, nutrient-poor, skeletal, sandy soils freely drained and including Glenrosa and Mispah forms. Land types Fa, Ac, Aa and Bb.</t>
  </si>
  <si>
    <t>A3_nat, A3_kzn, A2b, B1i_rod</t>
  </si>
  <si>
    <t>Gm17</t>
  </si>
  <si>
    <t>Barberton Montane Grassland</t>
  </si>
  <si>
    <t>Mesic Highveld Grassland Bioregion</t>
  </si>
  <si>
    <t>Mpumalanga Province and northwestern Swaziland: From Barberton westwards towards Nelshoogte, northwards along the high-lying grassland areas towards Kaapmuiden and Malelane, and southeast towards Piggs Peak. It generally occurs at high altitudes in the Barberton region, ranging from 760 m in the north to 1 640 m in the southwest.</t>
  </si>
  <si>
    <t>Mpumalanga</t>
  </si>
  <si>
    <t xml:space="preserve">This unit occurs along the high mountains above Barberton, which rise above the surrounding Lowveld. The terrain is steep, rugged and accessibility is limited. </t>
  </si>
  <si>
    <t>Early summer rainfall, concentrated between November and March. MAP varies between 950 mm in the west, to 1 470 mm in the east (overall MAP 1 194 mm). Frosts are very infrequent during winter (3 days per year) and increase towards the west (10 days). Hot dry winds occur from August to October. See also climate diagram for Gm 17 Barberton Montane Grassland (Figure 8.36).</t>
  </si>
  <si>
    <t>Barberton Supergroup schists, gneiss, felspathic quartzites and various lavas of the Figtree, Moodies, and Onverwacht Formations. Land types Fa (60%) and Ac (20%).</t>
  </si>
  <si>
    <t>SVl2</t>
  </si>
  <si>
    <t>Nwambyia-Pumbe Sandy Bushveld</t>
  </si>
  <si>
    <t>Lowveld Bioregion</t>
  </si>
  <si>
    <t xml:space="preserve">Limpopo and Mpumalanga Provinces: Flats well to the east of Punda Maria on the border with Mozambique (the Nwambyia part of this unit). A small patch further south, also on the eastern border, in the vicinity of the Pumbe Guard Post northeast of Satara. </t>
  </si>
  <si>
    <t>Mpumalanga, Limpopo</t>
  </si>
  <si>
    <t>Mozambique</t>
  </si>
  <si>
    <t>Flats with several small pans embedded. Conspicuous is the absence of well-defined drainage channels.</t>
  </si>
  <si>
    <t>Summer rainfall with dry winters. MAP about 450–650 mm. Generally a frost-free region. See also climate diagram for SVl 2 Nwambyia-Pumbe Sandy Bushveld.</t>
  </si>
  <si>
    <t>The Cretaceous Malvernia Formation conglomerate and overlying sandstone form deep yellow to red Quaternary sands of the Hutton and Clovelly soil forms (apedal, freely drained, dystrophic and mesotrophic). The Pumbe part also includes some shallow lithosols (Mispah and Glenrosa soil forms). Land types mainly Ac and Fb.</t>
  </si>
  <si>
    <t>Gm11</t>
  </si>
  <si>
    <t>Rand Highveld Grassland</t>
  </si>
  <si>
    <t>Gauteng, North-West, Free State and Mpumalanga Provinces: In areas between rocky ridges from Pretoria to Witbank, extending onto ridges in the Stoffberg and Roossenekal regions as well as west of Krugersdorp centred in the vicinity of Derby and Potchefstroom, extending southwards and northeastwards from there.</t>
  </si>
  <si>
    <t>Gauteng</t>
  </si>
  <si>
    <t xml:space="preserve">Highly variable landscape with extensive sloping plains and a series of ridges slightly elevated over undulating surrounding plains. </t>
  </si>
  <si>
    <t>Strongly seasonal summer-rainfall, warm-temperate region, with very dry winters. MAP is 654 mm, ranging between 570 mm and 730 mm, slightly lower in the western regions. The coefficient of variation of MAP is 28% in the west and 26–27% in the east, and varies only slightly from 25% to 29% across the unit. The incidence of frost is higher in the west (30–40 days) than in the east (10–35 days). See also climate diagram for Gm 11 Rand Highveld Grassland (Figure 8.36).</t>
  </si>
  <si>
    <t>Quartzite ridges of the Witwatersrand Supergroup and the Pretoria Group as well as the Selons River Formation of the Rooiberg Group (last two are of the Transvaal Supergroup), supporting soils of various quality (shallow Glenrosa and Mispah forms especially on rocky ridges), typical of Ba, Bc, Bb and Ib land types.</t>
  </si>
  <si>
    <t>VU↔VU</t>
  </si>
  <si>
    <t>A3_nat</t>
  </si>
  <si>
    <t>SKr16</t>
  </si>
  <si>
    <t>Umdaus Mountains Succulent Shrubland</t>
  </si>
  <si>
    <t>Richtersveld Bioregion</t>
  </si>
  <si>
    <t xml:space="preserve">Northern Cape Province: Area between the Steinkopf Plateau and the Nababeep Mountains in the southeastern Richtersveld including the wide basins of the Wyepoort and Aribes Rivers. The eastern margin is not well defined and is mapped just short of Geelberg. </t>
  </si>
  <si>
    <t xml:space="preserve">Mountainous terrain along the southern and western edges and sheet wash plains with roundish or steep rocky hills. </t>
  </si>
  <si>
    <t>Mainly winter rainfall with slight transition to summer rainfall in the east. Estimated MAP 100–200 mm. Up to 10 frost days per year. Fog not important. See also climate diagram for SKr 16 Umdaus Mountains Succulent Shrubland (Figure 5.12).</t>
  </si>
  <si>
    <t>Mainly Mokolian granites, gneisses and schists supporting shallow soils of loamy or sandy texture. Ib land type dominates the landscapes.</t>
  </si>
  <si>
    <t>Gh2</t>
  </si>
  <si>
    <t>Aliwal North Dry Grassland</t>
  </si>
  <si>
    <t xml:space="preserve">Eastern Cape and Free State Provinces: In the broad surrounds of Aliwal North, running in an east-west direction along the northern foothills of the Stormberg Plateau, extending northwards up the Caledon River Valley in the Free State to around Wepener and De Wetsdorp. </t>
  </si>
  <si>
    <t>Eastern Cape, Free State</t>
  </si>
  <si>
    <t>Broken terrain and irregular plains</t>
  </si>
  <si>
    <t>Overall MAP 510 mm, reaching 600 mm in Wepener (northeastern region of the unit), falling predominantly during summer. MAT around 14°C, with more than 50 days of frost. See also climate diagram for Gh 2 Aliwal North Dry Grassland (Figure 8.23).</t>
  </si>
  <si>
    <t>Alternating layers of mudstone and sandstone of the Tarkastad Subgroup (Beaufort Group, Karoo Supergroup) dominate the undulating topography. In areas protected from erosion, a sandy layer also covers the clayey subsoils. About two thirds of the soils of the area is dominated by soils with diagnostic pedocutanic and prismacutanic (dark clayey) B-horizons of the Db land type. In this land type the dominant soil forms are Estcourt, Rensburg and Oakleaf forms. Dominant land type Db, followed by Da.</t>
  </si>
  <si>
    <t>FFs8</t>
  </si>
  <si>
    <t>South Hex Sandstone Fynbos</t>
  </si>
  <si>
    <t>Northwest Fynbos Bioregion</t>
  </si>
  <si>
    <t xml:space="preserve">Western Cape Province: Southern slopes of the Hex River Mountains from Mosterthoek Twins southeast of Wolseley to Kleinstraat west of Touws River. </t>
  </si>
  <si>
    <t xml:space="preserve">Rugged mountainous terrain with steep, high cliffs and steep slopes facing south and deeply dissected down to valley floors, creating some of the most dramatic relief in the country, for example at Baboon Peak. </t>
  </si>
  <si>
    <t>MAP 300–2 300 mm (mean: 955 mm), peaking markedly May to August. Snow regular in winter. Southeasterly cloud may bring heavy mist precipitation at higher altitudes in summer. This is the third wettest type of the Cape vegetation. Mean daily maximum and minimum monthly temperatures 26.0°C and 2.7°C for February and July, respectively. Frost incidence 10–30 days per year. See also climate diagram for FFs 8 South Hex Sandstone Fynbos (Figure 4.21).</t>
  </si>
  <si>
    <t>Acidic lithosol soils derived from Ordovician sandstones of the Table Mountain Group (Cape Supergroup). Land types mainly Ic.</t>
  </si>
  <si>
    <t>Gm24</t>
  </si>
  <si>
    <t>Northern Escarpment Afromontane Fynbos</t>
  </si>
  <si>
    <t xml:space="preserve">Limpopo and Mpumalanga Provinces: Restricted distribution from the peaks of Thabakgolo Mountains above Penge, southwards along highest peaks only, through Mariepskop and as far south as Graskop. Also found in fragments on the summits of the Blouberg and Soutpansberg Mountains (the latter unmapped). </t>
  </si>
  <si>
    <t>patches of high-lying quartzite ridges that experience frequent mist. Terrain is very rocky and fires are very rare.</t>
  </si>
  <si>
    <t>Summer rainfall generally greater than 1 400 mm, augmented by mist during large parts of the year. Temperature cooler than surrounding areas (MAT 15.6ºC). Frosts infrequent. See climate diagram for Gm 24 Northern Escarpment Afromontane Fynbos (Figure 8.36).</t>
  </si>
  <si>
    <t>Predominantly quartzite of the Black Reef Formation and the Wolkberg Group but also on the westerly Timeball Hill Formation and other quartzitic formations of the Pretoria Group (Transvaal Supergroup). The overwhelmingly dominant land type is Ib, with Ac having a subordinate position.</t>
  </si>
  <si>
    <t>SKv2</t>
  </si>
  <si>
    <t>Swartruggens Quartzite Karoo</t>
  </si>
  <si>
    <t xml:space="preserve">Western and Northern Cape Provinces: Hottentotsberge and eastern portions of the Swartruggens bordering on the Tanqua Basin—from the canyon of the Doring River (leaving the Tanqua Karoo Basin at Elandsvlei) in the north to the Karoopoort (east of Ceres) in the south. </t>
  </si>
  <si>
    <t>Hilly landscape dissected by valleys with steep rocky slope</t>
  </si>
  <si>
    <t>Winter-rainfall regime with clear precipitation optimum from June to August. MAP is around 200 mm (semidesert). MAT 15–16°C. Incidence of frost in midrange in comparison with other units of the Rainshadow Valley category (SKv). See also climate diagram for SKv 2 Swartruggens Quartzite Karoo (Figure 5.65).</t>
  </si>
  <si>
    <t>Quartzitic sandstones of the Witteberg Group (Cape Supergroup) supporting shallow, skeletal soils (mainly Mispah soil form). Ib land type is dominant.</t>
  </si>
  <si>
    <t>FRs7</t>
  </si>
  <si>
    <t>Montagu Shale Renosterveld</t>
  </si>
  <si>
    <t xml:space="preserve">Western Cape Province: Patches in the western Little Karoo south of the Waboomberg and Warmwaterberg and south of the Anysberg and Klein Swartberg as well as along the northern foothills of the Langeberg and the southern foothills of the Anysberg, Klein Swartberg, Rooiberg and Gamkaberg, from The Koo in the west to Calitzdorp and Cloete’s Pass in the east. The largest patch occurs between Montagu and Barrydale. </t>
  </si>
  <si>
    <t>Undulating hilly landscape with broad valleys</t>
  </si>
  <si>
    <t>MAP 140–560 mm (mean: 320 mm), with a slight peak in winter. Mean daily maximum and minimum temperatures 28.1°C and 4.1°C for January and July, respectively. Frost incidence 10–20 days per year. See also climate diagram for FRs 7 Montagu Shale Renosterveld (Figure 4.101).</t>
  </si>
  <si>
    <t xml:space="preserve">Clays mostly derived from Bokkeveld and some Witteberg Group shales; Glenrosa and Mispah forms prominent. Some extensive quartzitic pebble fields occur. Land types mainly Fc and Fb. </t>
  </si>
  <si>
    <t>NKb2</t>
  </si>
  <si>
    <t>Blouputs Karroid Thornveld</t>
  </si>
  <si>
    <t xml:space="preserve">Northern Cape Province: An irregular belt of relatively flat areas skirting the Lower Gariep Broken Veld from around the Augrabies Falls, westwards on the plain above the Blouputs Valley, through the Narries area to the shallow valleys of Kotie se Laagte and Samoep se Laagte. The unit also occurs in southern Namibia. </t>
  </si>
  <si>
    <t xml:space="preserve"> slightly undulating rocky plains </t>
  </si>
  <si>
    <t>Lowest MAP of the vegetation types of the Nama-Karoo (80–120 mm). Seasonal rainfall peaks in March, winters are dry. Incidence of frost is relatively low. See also climate diagram for NKb 2 Blouputs Karroid Thornveld (Figure 7.2).</t>
  </si>
  <si>
    <t>The geology is dominated by Mokolian gneisses such as those of the Hartbees River Complex and the younger Eendoorn Suite. Schists and quartzites of the Bushmanland Group are also significant. Dorbank outcrops at many places and a very dense subdendritic drainage and dissection pattern. The dominating soil forms are Hutton and Mispah—coarse, sandy and shallow (0.1–0.3 m deep). Fb land type dominates the landscape.</t>
  </si>
  <si>
    <t>NKu4</t>
  </si>
  <si>
    <t>Eastern Upper Karoo</t>
  </si>
  <si>
    <t>Upper Karoo Bioregion</t>
  </si>
  <si>
    <t>Northern Cape, Eastern Cape and Western Cape Provinces: Between Carnarvon and Loxton in the west, De Aar, Petrusville and Venterstad in the north, Burgersdorp, Hofmeyr and Cradock in the east and the Great Escarpment and the Sneeuberge-Coetzeesberge mountain chain in the south.</t>
  </si>
  <si>
    <t>Eastern Cape, Northern Cape, Western Cape</t>
  </si>
  <si>
    <t>Flats and gently sloping plains (interspersed with hills and rocky areas of Upper Karoo Hardeveld in the west, Besemkaree Koppies Shrubland in the northeast and Tarkastad Montane Shrubland in the southeast)</t>
  </si>
  <si>
    <t>Rainfall mainly in autumn and summer, peaking in March. MAP ranges from about 180 mm in the west to 430 mm in the east. Incidence of frost is relatively high, but ranging widely from &lt;30 days (in the lower-altitude Cradock area) to &gt;80 days of frost per year (bordering the Upper Karoo Hardeveld on the Compassberg and mountains immediately to the west). Mean maximum and minimum monthly temperatures in Middelburg (Grootfontein) are 36.1°C and –7.2°C for January and July, respectively. Corresponding values are 37°C and –8°C for Victoria West and 36.6°C and –4.2°C for Hofmeyr. See also climate diagram for NKu 4 Eastern Upper Karoo.</t>
  </si>
  <si>
    <t>Mudstones and sandstones of the Beaufort Group (incl. both Adelaide and Tarkastad Subgroups) supporting duplex soils with prismacutanic and/or pedocutanic diagnostic horizons dominant (Da land type) as well as some shallow Glenrosa and Mispah soils (Fb and Fc land types). In places, less prominent Jurassic dolerites (Karoo Dolerite Suite) are also found.</t>
  </si>
  <si>
    <t>NKl4</t>
  </si>
  <si>
    <t>Albany Broken Veld</t>
  </si>
  <si>
    <t xml:space="preserve">Eastern Cape Province: Immediately to the north of the Zuurberg Mountains and south of Middlewater, Ripon and the area around the confluence of the Great and Little Fish Rivers and extending eastwards, north of the mountain ridges around Riebeeck East to the Carlisle Bridge area and south of these ridges in the upper Bushmans River Valley past Alicedale and up the New Years River Valley. Including also some irregular linear patches east of Riebeeck East. </t>
  </si>
  <si>
    <t xml:space="preserve">Low mountain ridges and hills </t>
  </si>
  <si>
    <t>Bimodal rainfall with main peak in March and secondary peak in November. Some rain falls in the winter months. Rainfall relatively high for the Nama-Karoo. Incidence of frost is low, with less than a tenth of the area experiencing more than 10 frost days per year. MAP ranges from about 290 mm in the west (in the rainshadow of the Zuurberg) to about 500 mm in the east. See also climate diagram for NKl 4 Albany Broken Veld (Figure 7.2).</t>
  </si>
  <si>
    <t>Mainly shales and some sandstones of various stratigraphic units within the Witteberg Group of the Cape Supergroup and the Beaufort, Ecca and Dwyka Groups of the Karoo Supergroup. Mainly Glenrosa and/or Mispah soils (Fc land type) with some red-yellow, apedal, drained soils, with a high base status, generally &lt;300 mm deep, typical of Ag land type.</t>
  </si>
  <si>
    <t>Gm23</t>
  </si>
  <si>
    <t>Northern Escarpment Quartzite Sourveld</t>
  </si>
  <si>
    <t xml:space="preserve">Limpopo and Mpumalanga Provinces: Occurring along the high-altitude crests of the Northern Escarpment, from Haenertsburg in the north, southeastwards, then bending southwards past Blyde River Canyon, Graskop and as far south as the vicinity of Kaapsehoop. </t>
  </si>
  <si>
    <t>The landscape is characteristically very rugged, with steep east-facing cliffs. This escarpment is intersected in some areas with large east-flowing rivers.</t>
  </si>
  <si>
    <t>Summer rainfall, but orographic effects enhance precipitation (overall regional MAP 1 176 mm). Mist common along the highest areas. Warm-temperate climate (MAT 16.6ºC), with infrequent frost. See also climate diagram for Gm 23 Northern Escarpment Quartzite Sourveld (Figure 8.36).</t>
  </si>
  <si>
    <t>Black Reef Group and Wolkberg Group quartzite (formed 2.5 gya and occurring at the base of the Transvaal Supergroup), covered with shallow rocky soils of the Mispah form. Dominant land type Ab, with Ib, Fa and Ac of subordinate importance.</t>
  </si>
  <si>
    <t>SVl10</t>
  </si>
  <si>
    <t>Pretoriuskop Sour Bushveld</t>
  </si>
  <si>
    <t xml:space="preserve">Mpumalanga Province: From around Hazyview and Pretoriuskop Camp in the southwestern part of the Kruger National Park to the Malekutu area. Also in the Crocodile Estates area between Nelspruit and Crocodile Gorge. </t>
  </si>
  <si>
    <t xml:space="preserve">Mainly uplands </t>
  </si>
  <si>
    <t>Summer rainfall and dry winters. MAP about 550–800 mm. Frost infrequent. Mean monthly maximum and minimum temperatures for Pretoriuskop are 37.3°C and 5.2°C for October and July, respectively. See also climate diagram for SVl 10 Pretoriuskop Sour Bushveld.</t>
  </si>
  <si>
    <t>Granite and gneiss of the Nelspruit Suite weathering to a shallow, leached, red to yellow-brown sand to sandy loam of the Glenrosa, Hutton and Clovelly forms. Land types Ae, Ab, Ba and Fb.</t>
  </si>
  <si>
    <t>SVcb4</t>
  </si>
  <si>
    <t>Dwarsberg-Swartruggens Mountain Bushveld</t>
  </si>
  <si>
    <t xml:space="preserve">North-West Province: Occurs on hills and ridges east of the Lobatsi River through the Zeerust and the Swartruggens areas to Mabeskraal and the Selons River Valley in the east. Also occurs on the parallel ridges of the Dwarsberge from Witkleigat in the west to the hills of the Dwarsberg area in the east. </t>
  </si>
  <si>
    <t>North West</t>
  </si>
  <si>
    <t xml:space="preserve">Rocky low to medium high hills and ridges with some steep faces in places. Height above the surrounding plains can reach about 300 m. </t>
  </si>
  <si>
    <t>Summer rainfall with very dry winters. MAP from about 550–650 mm. Frost fairly frequent in winter in lower-lying areas, less so on the hills. Mean monthly maximum and minimum temperatures for Lindleyspoort-Irr weather station 35.2°C and –0.4oC for January and June, respectively. See also climate diagram for SVcb 4 Dwarsberg-Swartruggens Mountain Bushveld.</t>
  </si>
  <si>
    <t>Shales, quartzites and andesites of the Pretoria Group (Transvaal Supergroup) with stony shallow soils of the Glenrosa and Mispah soil forms, with some deep, freely drained soils. Land types mainly Fb, Ib and Ae.</t>
  </si>
  <si>
    <t>Gm19</t>
  </si>
  <si>
    <t>Sekhukhune Montane Grassland</t>
  </si>
  <si>
    <t>Mpumalanga Province: continuous undulating norite hills in the Roossenekal region, from Stoffberg in the south, northwards through Mapochs Gronde to Schurinksberg in the north, with the Steelpoort River in the west. A</t>
  </si>
  <si>
    <t>Major chains of hills transect the area and have a north-south orientation, creating moderately steep slopes with predominantly eastern and western aspects. Large norite boulders and stones cover the shallow soils on the hillsides</t>
  </si>
  <si>
    <t>This unit experiences a similar climate to the adjacent Lydenburg Montane Grassland, although frost incidence decreases towards the north. Summer-rainfall regime with the MAP from about 720 mm in the east to 600 mm in the west, much of the rain falling in the form of thunderstorms in summer from November to January. Mean daily temperature ranges from a minimum of 2.8ºC in winter to a maximum of 24.9ºC in summer. Daily temperatures vary considerably at different localities, with higher temperatures on the plains and lower temperatures on higher-lying plateaus. See also climate diagram for Gm 19 Sekhukhune Montane Grassland (Figure 8.36).</t>
  </si>
  <si>
    <t>The area mostly overlies the mafic intrusive rocks of the Upper and Main Zones of the Rustenburg Layered Suite, which is economically the most important part of the Bushveld Igneous Complex (Vaalian Erathem). The west of this area is dominated by diorite and gabbro (often magnetite-rich) of the Roossenekal Subsuite, whereas the east is dominated by gabbro and norite of the Dsjate Subsuite. In the extreme northeast of the area are metasediments of the Pretoria Group (also Vaalian Erathem) that were metamorphosed by the intrusion of the Bushveld Igneous Complex. Substrates of the undulating hills are generally heterogeneous rocky areas with miscellaneous soil types and those of the southern plains have diagnostic horizons that are vertic, melanic or red-structured. Dominant soil forms have a high clay content and include Arcadia, Mayo, Milkwood, Mispah, Shortlands and Steendal. Ea land type covers 40% of the area, with minor occurrences of Ib and Ab.</t>
  </si>
  <si>
    <t>Gm20</t>
  </si>
  <si>
    <t>Leolo Summit Sourveld</t>
  </si>
  <si>
    <t xml:space="preserve">Limpopo Province: Discontinuous summits on the Leolo Mountain range, which forms an extension to the norite massif of the Dwars River Mountains further south. Sekhukhune is the major town in the vicinity and lies on the western foot slopes of the mountain. </t>
  </si>
  <si>
    <t>Summit plateaus on a major mountain range with steep slopes. Large norite boulders and stones cover the shallow soils on the hillsides and plateau</t>
  </si>
  <si>
    <t>This area experiences a similar climate to the Gm 18 Lydenburg Montane Grassland. MAP 694 mm with about half of the rain falling as thunderstorms in summer from November to January. Mean daily temperatures on the summit are considerably lower than those of the surrounding Steelpoort River Valley. See also climate diagram for Gm 20 Leolo Summit Sourveld (Figure 8.36).</t>
  </si>
  <si>
    <t>Underlain by the banded gabbros, norites and anorthosites of the Dsjate Subsuite of the Rustenburg Layered Suite (part of the Vaalian Bushveld Igneous Complex). The Dsjate Subsuite forms part of the Main Zone of the Rustenburg Layered Suite. Substrates of the undulating plateau are soils of especially the Mayo and Oakleaf forms in the flat areas, with miscellaneous rocky soil forms, such as Glenrosa and Mispah, occurring on the mountain slopes. Dominant soil forms have a high clay content. The almost exclusive land type is Fb.</t>
  </si>
  <si>
    <t>FRs10</t>
  </si>
  <si>
    <t>Peninsula Shale Renosterveld</t>
  </si>
  <si>
    <t xml:space="preserve">Western Cape Province: Signal Hill and on the lower northern slopes of Table Mountain and Devil’s Peak; approximately centred on the city bowl of Cape Town. </t>
  </si>
  <si>
    <t xml:space="preserve">Gentle to steep lower slopes </t>
  </si>
  <si>
    <t>MAP 480–870 mm (mean: 720 mm), peaking markedly from May o August. This is the wettest renosterveld type by far. Mean daily maximum and minimum temperatures 26.7°C and 7.8°C for February and July, respectively. Frost incidence 2 or 3 days per year. See also climate diagram for FRs 10 Peninsula Shale Renosterveld (Figure 4.101).</t>
  </si>
  <si>
    <t>Clay soils derived from shale of the Tygerberg Formation, Malmesbury Group; Glenrosa, Mispah and Lamotte forms prominent. Land types mainly Fa and Ga.</t>
  </si>
  <si>
    <t>A3_nat, A3_coct, B1i_rod, B1iii_sp, B2i_rod, B2iii_sp</t>
  </si>
  <si>
    <t>FFs3</t>
  </si>
  <si>
    <t>Olifants Sandstone Fynbos</t>
  </si>
  <si>
    <t xml:space="preserve">Western Cape Province: Western Cederberg and Koue Bokkeveld Mountains from Bulshoek Dam to Keerom adjacent to Olifants River Valley and to Saron on the lower western slopes of the Vier-en-twintig Riviere (Voorberg) Mountains (but see Remark 1 below). </t>
  </si>
  <si>
    <t xml:space="preserve">Gentle to steep slopes to the Cederberg scarp as well as broad valley bottoms. The Cedarberg Shale Band (supporting vegetation of the FFb group of units) gives this landscape its distinctive flat plateau in the west and dissected back-valley to the east. This unit comprises a combination of communities tending to occur on the rocky west-facing slopes of the Cederberg where bare rock and cliffs are dominant and there is less accumulation of sand. </t>
  </si>
  <si>
    <t>MAP 250–700 mm (mean: 450 mm), peaking May to August when 70% of rain falls. Mean daily maximum and minimum temperatures 29.6°C and 4.9°C for February and July, respectively. Frost incidence from 3–10 days per year. See also climate diagram for FFs 3 Olifants Sandstone Fynbos (Figure 4.21).</t>
  </si>
  <si>
    <t>Acidic lithosol soils derived from Ordovician sandstones of the Table Mountain Group (Cape Supergroup). Land types mainly Ic, Ib and Fa.</t>
  </si>
  <si>
    <t>SKt1</t>
  </si>
  <si>
    <t>Western Bushmanland Klipveld</t>
  </si>
  <si>
    <t>Trans-Escarpment Succulent Karoo Bioregion</t>
  </si>
  <si>
    <t>Northern Cape Province: Northwestern plains of Bushmanland east of Namaqualand Klipkoppe, north and northeast of Kliprand and west of Stofvlei.</t>
  </si>
  <si>
    <t xml:space="preserve">Very sparsely populated plains with a desert appearance (rocky pavements built of rounded, dark-coloured rocks and boulders) </t>
  </si>
  <si>
    <t>Very dry region with MAP only 90 mm (range 70–100 mm), and erratic (almost desert-like) rainfall. Slight peak in precipitation in winter, hardly any in December and January, consistent with the classification of this unit in winter-rainfall Succulent Karoo Biome. Potential evaporation exceeds 2 660 mm. Overall MAT 16–17°C, with clear maxima in December to January. Mean maximum and minimum monthly temperatures in Kliprand are 36°C and –2°C for January and July, respectively. Incidence of frost is relatively high (25 days, range 20–40 days) due to its land-locked position and high altitude generating effect of thermal continentality. See also climate diagram for SKt 1 Western Bushmanland Klipveld (Figure 5.60).</t>
  </si>
  <si>
    <t>Hutton and Mispah soils over Karoo Sequence sediments (mostly Dwyka diamictite and Ecca shale). The rocky pavements of rounded boulders, which characterise this area, are palaeo-river terraces of the palaeo-Orange River, which is presumed to have flowed south through this area (approximately 22 mya). Fc land type covers the entire region.</t>
  </si>
  <si>
    <t>Gm28</t>
  </si>
  <si>
    <t>Soutpansberg Summit Sourveld</t>
  </si>
  <si>
    <t>Limpopo Province: Confined to the higher-lying crests and plateaus situated above 1 200 m above sea level and include the highest peaks on the Soutpansberg (Letjuma, 1 747 m) and still higher Blouberg (2 051 m).</t>
  </si>
  <si>
    <t>Rugged summit crests and adjacent steep rocky slopes</t>
  </si>
  <si>
    <t>Summer rainfall, with most rain falling between November and February. Van Wyk &amp; Smith (2001) mention precipitation to be as high as 2 000 mm on the highest peaks. The higher-lying crests and ridges are exposed to strong winds. During the summer months, these winds carry moisture in from the Indian Ocean, covering the vegetation in mist almost daily. During the prolonged dry season, the prevailing winds cause dehydration and desiccation of the soils and vegetation (Hahn 2002). Frost infrequent and MAT 16–17°C. See also climate diagram for Gm 28 Soutpansberg Summit Sourveld (Figure 8.36).</t>
  </si>
  <si>
    <t>Sandstone, quartzite and shale of Mokolian age (Soutpansberg Group, Wyllie’s Poort Formation) giving rise to extremely shallow, coarse-sand Glenrosa and Mispah soils. These soils drain quickly, leading to leached and acidic conditions. The impermeable rock beds on the relatively flat plateaus often prevent water from draining away, leading to the formation of temporary rock pools. The deeper soils may function as sponges, slowly releasing water to feed mountain streams over prolonged periods. Dominant land type Ib, with Fa of minor importance.</t>
  </si>
  <si>
    <t>Dg8</t>
  </si>
  <si>
    <t>Southern Nababiepsberge Mountain Desert</t>
  </si>
  <si>
    <t xml:space="preserve">South of the Nababiepsberge and north of the Steinkopf Plateau, east of the Groen River and west of the Koubank River. The unit borders on units of the Succulent Karoo Biome to the south (SKr 12 Kosiesberg Succulent Shrubland and SKr 16 Umdaus Mountains Succulent Shrubland). </t>
  </si>
  <si>
    <t>rugged mountain area with plateaus and larger plains</t>
  </si>
  <si>
    <t>Very variable, transitional climate between winter and summer rainfall tending towards summer rainfall in the east. MAP about 50–100 mm. Less extreme maximum temperatures and higher frequency of frost days (&lt;10 per year) than in the neighbouring desert units, especially at higher altitudes.</t>
  </si>
  <si>
    <t>The shales, quartzite and limestone of the Nama Group (Namibian Erathem), both of the Schwarzrand and of the older Kuibis Subgroups. Younger sediments overly granodiorite and adamellite of the Vioolsdrif Intrusive Suite as well as the andesitic lava and acid volcanics of the Haib Subgroup (Orange River Group, Mokolian Erathem). Very rocky with little to no soils. Land type Ic.</t>
  </si>
  <si>
    <t>FFa2</t>
  </si>
  <si>
    <t>Breede Alluvium Fynbos</t>
  </si>
  <si>
    <t xml:space="preserve">Western Cape Province: Upper Breede River Valley flats from Tulbagh to the Brandvlei Dam near Worcester including the Slanghoek and Brandwag Valleys, and extending to the Hex River Valley. </t>
  </si>
  <si>
    <t>Slightly undulating plains and adjacent high mountains, with numerous alluvial fans and streams</t>
  </si>
  <si>
    <t>Seasonal, winter-rainfall climate peaking June–August. MAP 90–970 mm (mean: 480 mm). Mean daily maximum and minimum temperatures 29.9°C and 4.8°C for February and July, respectively. MAT close to 17°C. Frost incidence infrequent. Although in the rainshadow of the Hawequas Mountains, the area is well fed with water from the mountains. See also climate diagram for FFa 2 Breede Alluvium Fynbos (Figure 4.88).</t>
  </si>
  <si>
    <t>Quaternary alluvial deposits consisting of round cobbles embedded in fine loamy sand, over metasediments of the Malmesbury Group and Bokkeveld Group shales. Soils are usually of alluvial land type Ia, with some Fa land type (with typical Glenrosa and Mispah forms). Hb and Ad land types also present.</t>
  </si>
  <si>
    <t>B1i_rod, B1iii_sp, B2i_rod, B2iii_sp</t>
  </si>
  <si>
    <t>Gm14</t>
  </si>
  <si>
    <t>Wakkerstroom Montane Grassland</t>
  </si>
  <si>
    <t xml:space="preserve">KwaZulu-Natal and Mpumalanga Provinces: Occurring from the Escarpment just north of Sheepmoor (north), to southeast of Utrecht, and then from the vicinity of Volksrust in the west to Mandhlangampisi Mountain near Luneburg in the east. </t>
  </si>
  <si>
    <t>KwaZulu-Natal, Mpumalanga</t>
  </si>
  <si>
    <t>This unit is a less obvious continuation of the Escarpment that links the southern and northern Drakensberg escarpments. It straddles this divide and is comprised of low mountains and undulating plains.</t>
  </si>
  <si>
    <t>Rainfall peaks in midsummer. Rainfall 800–1 250 mm per year (MAP 902 mm). This unit experiences an orographic effect which results in a locally higher precipitation than the adjacent areas. Winters very cold and summers mild (MAT 14ºC). See also climate diagram for Gm 14 Wakkerstroom Montane Grassland (Figure 8.36).</t>
  </si>
  <si>
    <t>The mudstones, sandstones and shale of the Madzaringwe and Volksrust Formations (Karoo Supergroup) were intruded by voluminous Jurassic dolerite dykes and sills. Ac land type dominant, while Fa and Ca are of subordinate importance.</t>
  </si>
  <si>
    <t>SVcb10</t>
  </si>
  <si>
    <t>Gauteng Shale Mountain Bushveld</t>
  </si>
  <si>
    <t xml:space="preserve">Gauteng and North-West Provinces: Occurs mainly on the ridge of the Gatsrand south of Carletonville–Westonaria–Lenasia. Also occurs as a narrow band along the ridge that runs from a point between Tarlton and Magaliesberg in the west, through Sterkfontein, Pelindaba, Atteridgeville to Klapperkop and southeastern Pretoria in the east. </t>
  </si>
  <si>
    <t xml:space="preserve">Low, broken ridges varying in steepness and with high surface rock cover. </t>
  </si>
  <si>
    <t>Summer rainfall with very dry winters. MAP 600–750 mm, increasing from west to east as well as with higher elevation. Frost frequent, higher in the west and south. See also climate diagram for SVcb 10 Gauteng Shale Mountain Bushveld.</t>
  </si>
  <si>
    <t>Dominated by shale and some coarser clastic sediments as well as significant andesite from the Pretoria Group (Transvaal Supergroup), all sedimentary rocks. A part of the area is underlain by Malmani dolomites of the Chuniespoort Group (Transvaal Supergroup). Soils are mostly shallow Mispah, but are deeper at the foot of the slopes. Land type is mostly Fb, with some Ib.</t>
  </si>
  <si>
    <t>FRs4</t>
  </si>
  <si>
    <t>Ceres Shale Renosterveld</t>
  </si>
  <si>
    <t xml:space="preserve">Western Cape Province: Warm Bokkeveld Valley at Ceres and Laastedrift to the east; Cederberg from Matjiesrivier (not mapped) to Koue Bokkeveld at Blinkberg Pass, the Odessa area north of Gydoberg and Baviaanshoek. </t>
  </si>
  <si>
    <t xml:space="preserve">Moderately undulating plains and lower mountain slopes </t>
  </si>
  <si>
    <t>MAP 290–720 mm (mean: 430 mm), peaking from May to August. The Warm Bokkeveld communities are much more arid than those in the Koue Bokkeveld. Mean daily maximum and minimum temperatures 27.9°C and 3.2°C for February and July, respectively. Frost incidence 10–40 days per year. See also climate diagram for FRs 4 Ceres Shale Renosterveld (Figure 4.101).</t>
  </si>
  <si>
    <t>Clays derived from shale and sandstone of the Ceres (mostly) and the Bidouw Subgroups of the Bokkeveld Group. Some Nardouw Subgroup shales (Table Mountain Group) and Dwyka diamictites (Karoo Supergroup) also occur. Glenrosa and Mispah forms are prominent. Land types mainly Fb, Fa and Bb.</t>
  </si>
  <si>
    <t>Gh1</t>
  </si>
  <si>
    <t>Karoo Escarpment Grassland</t>
  </si>
  <si>
    <t>Eastern, Northern and Western Cape Province: Occurs on the Karoo Escarpment, running in an east-west direction from Molteno to Noupoort in the north, and from Somerset East in a northwesterly direction towards Nieu-Bethesda. Also found on the north-facing slopes of the Winterberg Mountains around Tarkastad. The westernmost locality is on the highest-altitude flat-topped mesas of the Escarpment in the Karoo National Park near Beaufort West.</t>
  </si>
  <si>
    <t>Mountain summits, low mountains and hills</t>
  </si>
  <si>
    <t>Rainfall showing minor (possibly insignificant) peaks in March and November–December. Very dry winters. MAP 300–580 mm, increasing from west to east as well as with increasing elevation. The coefficient of variation of MAP 27–36% across the unit. The incidence of frost is from less than 20 to more than 100 days, the higher values occurring at higher elevation. There may be a number of days of snow per year, especially at higher elevations and near the edge of the Great Escarpment. See also climate diagram for Gh 1 Karoo Escarpment Grassland (Figure 8.23).</t>
  </si>
  <si>
    <t>Shallow soils typical of Ib, Fb and Fc land types on mudstones and sandstones of the Beaufort Group (Karoo Supergroup). Jurassic dolerite intrusions form ridges in the area.</t>
  </si>
  <si>
    <t>FFs9</t>
  </si>
  <si>
    <t>Peninsula Sandstone Fynbos</t>
  </si>
  <si>
    <t>Western Cape Province: Confined to the Cape Peninsula, from the top of Lion’s Head and Table Mountain (Cape Town) to Cape Point and Cape of Good Hope and including Constantiaberg and Swartkopsberge.</t>
  </si>
  <si>
    <t>Gentle to steep slopes, with cliffs in the north, over a 50 km long peninsula.</t>
  </si>
  <si>
    <t>MAP 520–1 690 mm (mean: 780 mm), peaking May to August. Mean daily maximum and minimum temperatures 25.0°C and 7.2°C for February and July, respectively. Frost incidence 2 or 3 days per year. Southeasterly cloud (the famous ‘Table Cloth’), accompanied by high wind, brings heavy mist precipitation at higher altitudes to southern and eastern slopes in summer. The region is under strong maritime influence—no part is more than 7 km from the sea. See also climate diagram for FFs 9 Peninsula Sandstone Fynbos (Figure 4.21).</t>
  </si>
  <si>
    <t>Acidic lithosol soils derived from Ordovician sandstones of the Table Mountain Group (Cape Supergroup), Lamotte forms prominent. Land types mainly Ib, Ga and Ic.</t>
  </si>
  <si>
    <t>SVcb3</t>
  </si>
  <si>
    <t>Zeerust Thornveld</t>
  </si>
  <si>
    <t xml:space="preserve">North-West Province: Extends along the plains from the Lobatsi River in the west via Zeerust, Groot Marico and Mabaalstad to the flats between the Pilanesberg and western end of the Magaliesberg in the east (including the valley of the lower Selons River). </t>
  </si>
  <si>
    <t>high base-status and some clay soils on plains and lowlands, also between rocky ridges of SVcb 4 Dwarsberg-Swartruggens Mountain Bushveld.</t>
  </si>
  <si>
    <t>Summer rainfall with very dry winters. MAP has a relatively narrow range: 550–600 mm. Frost fairly frequent in winter. Mean monthly maximum and minimum temperatures for Marico-Irr weather station 36.7°C and –0.4°C for January and June, respectively. See also climate diagram for SVcb 3 Zeerust Thornveld.</t>
  </si>
  <si>
    <t>Sediments of the Pretoria Group (Transvaal Supergroup) in this area, particularly the Silverton and Rayton Formations, are mostly shale with less quartzite and conglomerate. Carbonates, volcanic rocks, breccias and diamictites also occur in the Pretoria Group. Bronzite, harzburgite, gabbro and norite of the Rustenburg Layered Suite (Bushveld Igneous Complex) are also found. Soils are mostly deep, red-yellow, apedal, freely drained with high base status also with some vertic or melanic clays. Land types mainly Ae and Ea.</t>
  </si>
  <si>
    <t>Gm2</t>
  </si>
  <si>
    <t>Senqu Montane Shrubland</t>
  </si>
  <si>
    <t xml:space="preserve"> Lesotho as well as in Eastern Cape and Free State Provinces (only marginal patches): Mainly in the lower Senqu Valley, particularly in the Moyeni (Quthing)–Mount Moorosi regions, strongly attenuating upstream northwards in the direction of Thaba-Tseka. Extends into South Africa mainly south of the Orange River (continuation of the Senqu River from Lesotho) in the Herschel District. This shrubland unit covers the valley slopes of the Senqu River as well as its numerous tributaries. </t>
  </si>
  <si>
    <t>Restricted to steep, boulder-strewn slopes of valleys and deep gullies</t>
  </si>
  <si>
    <t>Summer rainfall, with overall MAP of 687 mm. Much of the rainfall is convectional. Cool-temperate thermic pattern (MAT around 13°C), with 52 days of frost incidence. See also climate diagram for Gm 2 Senqu Montane Shrubland (Figure 8.36).</t>
  </si>
  <si>
    <t>Karoo Supergroup sedimentary rocks of the Clarens, Elliot and Molteno Formations as the Senqu River cuts through the landscape in the low-lying southwestern regions. Intrusive Drakensberg Group (Jurassic) basalts at high altitudes at the interface with the Gd 8 Lesotho Highland Basalt Grassland. Dominant land type Fa, followed by the Ea. The most common soil forms that dominate these land types are Mispah and Glenrosa.</t>
  </si>
  <si>
    <t>Gm29</t>
  </si>
  <si>
    <t>Waterberg-Magaliesberg Summit Sourveld</t>
  </si>
  <si>
    <t>Limpopo and North-West Provinces and marginally into Gauteng: Isolated patches on summits of the Waterberg (including the Sandrivierberge, Hoekberge, Hanglipberge and Swaershoekberge), Pilanesberg (not mapped) and Magaliesberg.</t>
  </si>
  <si>
    <t>Limpopo, Gauteng, North West</t>
  </si>
  <si>
    <t>Higher slopes and summit positions including crests, and steep rocky scarps and cliff faces</t>
  </si>
  <si>
    <t>Summer rainfall, with MAP 710 mm. Cool-temperate climate (MAT close to 16°C) due to higher altitude. Frost fairly infrequent. See also climate diagram for Gm 29 Waterberg-Magaliesberg Summit Sourveld (Figure 8.36).</t>
  </si>
  <si>
    <t>Acidic sandy, loamy to gravel soil derived from coarse, clastic sedimentary sandstone, quartzite, conglomerate or shale of the Kransberg Subgroup (Waterberg Group, Mokolian Erathem). Ib and Fa land types (both 42%) are co-dominant, with Ac covering a smaller area (12%).</t>
  </si>
  <si>
    <t>SVcb21</t>
  </si>
  <si>
    <t>Soutpansberg Mountain Bushveld</t>
  </si>
  <si>
    <t xml:space="preserve">Limpopo Province: Occurs on the slopes of the Soutpansberg Mountain, and Blouberg and Lerataupje Mountains in the west. Extends eastward on lower ridges including Khaphamali and Makonde Mountains. </t>
  </si>
  <si>
    <t xml:space="preserve">Low to high mountains, highest in the west, splitting into increasing number of lower mountain ridges towards the east.The topography of the east-west- orientated ridges of the mountain changes drastically over short distances, resulting in orographic rain on the southern ridges, and a rainshadow effect on the northern ridges. Because of this topographic diversity, the Soutpansberg Mountain Bushveld comprises a complex mosaic of sharply contrasting kinds of vegetation within limited areas. </t>
  </si>
  <si>
    <t>Summer rainfall with dry winters. MAP about 450–900 mm. Frost infrequent. See also climate diagram for SVcb 21 Soutpansberg Mountain Bushveld.</t>
  </si>
  <si>
    <t>Reddish or brown, sandstone and quartzite, conglomerate, basalt, tuff, shale and siltstone of the Soutpansberg Group (including the Wyllie’s Poort, Fundudzi and Nzhelele Formations), Mokolian Erathem. Rocky areas with miscellaneous soils including acidic dystrophic to mesotrophic sandy to loamy soil. Glenrosa and Mispah soil forms are common. Land types mainly Ib, Ab, Fa, Fb, Ae and Ia.</t>
  </si>
  <si>
    <t>SVcb16</t>
  </si>
  <si>
    <t>Western Sandy Bushveld</t>
  </si>
  <si>
    <t xml:space="preserve">Limpopo and North-West Provinces: Occurs on flats and undulating plains from Assen northwards past Thabazimbi and remaining west of the Waterberg Mountains towards Steenbokpan in the north. Some patches occur between the Crocodile and Marico Rivers to the west. </t>
  </si>
  <si>
    <t>Limpopo, North West</t>
  </si>
  <si>
    <t>slightly undulating plains.</t>
  </si>
  <si>
    <t>Summer rainfall with very dry winters. MAP from about 450 mm in the north to about 650 mm in the south. Fairly frequent light frost in winter. Mean monthly maximum and minimum temperatures for Thabazimbi 36.0°C and –3.7°C for February and June, respectively. See also climate diagram for SVcb 16 Western Sandy Bushveld.</t>
  </si>
  <si>
    <t>Sandstone and mudstone of the Matlabas Subgroup and sandstone, subordinate conglomerate, siltstone and shale of the Kransberg Subgroup (both Mokolian Waterberg Group) are found in the north. Archaean granite and gneiss of the Swazian Erathem and granite of the Lebowa Granite Suite (Bushveld Igneous Complex) are found in the west and southeast of the area, respectively. Soils are plinthic catena, eutrophic, red-yellow apedal, freely drained, high base status, Hutton and Clovelly with some Glenrosa and Mispah soil forms. Several areas have less sandy soil than that of SVcb 12 Central Sandy Bushveld. Land types mainly Bd, Ah, Ae and Fa.</t>
  </si>
  <si>
    <t>Gm25</t>
  </si>
  <si>
    <t>Woodbush Granite Grassland</t>
  </si>
  <si>
    <t xml:space="preserve"> Limpopo Province: Occurs on the Woodbush Plateau and its outliers, to the north of the Wolkberg, on the Groot Letaba watershed west of Duiwelskloof, Tzaneen and Lenyenye. </t>
  </si>
  <si>
    <t>Mountainous plateau</t>
  </si>
  <si>
    <t>Summer rainfall, with MAP from 700 mm in the east to 1 500 mm in the west (MAP 1 166 mm), with peak in January. Some precipitation may also occur in winter. Mist is common and there is an orographic effect on the Escarpment. Temperature is generally lower in the west than in the east (overall MAT 16.6ºC). Frost infrequent. See also climate diagram for Gm 25 Woodbush Granite Grassland (Figure 8.36).</t>
  </si>
  <si>
    <t>Archaean granite, gneiss and greenstone basement: Turfloop granite (Randian) and relicts of Goudplaats gneiss (Swazian) and occasional dolerite dykes or sills, and quartz veins. Dominant land type Ab, with Hutton (Glenrosa and Shortlands) soils.</t>
  </si>
  <si>
    <t>Gm26</t>
  </si>
  <si>
    <t>Wolkberg Dolomite Grassland</t>
  </si>
  <si>
    <t xml:space="preserve">Limpopo Province: Occurs along the summit of the Strydpoort and Wolkberg Mountains, from the Lekgalameetse Nature Reserve in the east, along the dolomite belt to Mogodi in the west. </t>
  </si>
  <si>
    <t>Series of broad mountain ridges, broad elevated plateaus and adjacent slopes</t>
  </si>
  <si>
    <t>Summer-rainfall regime, 560–980 mm (MAP 772 mm). The adjacent Escarpment catches most of the orographic precipitation (fog, orographic rain), hence this area falls within a rainshadow. Frost infrequent. See also climate diagram for Gm 26 Wolkberg Dolomite Grassland (Figure 8.36).</t>
  </si>
  <si>
    <t>Malmani dolomites of the Chuniespoort Group (Transvaal Supergroup) form the underlying geology of this area. Dominant land types Ib and Ab, with Fa of subordinate importance.</t>
  </si>
  <si>
    <t>FRs1</t>
  </si>
  <si>
    <t>Vanrhynsdorp Shale Renosterveld</t>
  </si>
  <si>
    <t xml:space="preserve">Northern and Western Cape Provinces: Below generally west- and north-facing sandstone cliffs of the Bokkeveld Escarpment and Matsikamma Mountains from Die Toring north of Van Rhyns Pass to the Gifberge near Klawer. Also extensive in internal valleys of the Koebee in the area of the confluence of the Oorlogs River and the Klein Kobee River. </t>
  </si>
  <si>
    <t>Valley bottoms and steep slopes below often sheer sandstone cliffs</t>
  </si>
  <si>
    <t>MAP 180–450 mm (mean: 285 mm), peaking from May to August. Mean daily maximum and minimum temperatures 31.2°C and 4.4°C for February and July, respectively. Frost incidence 3–10 days per year. See also climate diagram for FRs 1 Vanrhynsdorp Shale Renosterveld (Figure 4.101).</t>
  </si>
  <si>
    <t>Clays and clayey loams primarily derived from mudstone and siltstone of the Knersvlakte Subgroup (Vanrhynsdorp Group) and schist and phyllite of the older Gariep Supergroup (last two are of Namibian Erathem). Soils are primarily of Glenrosa and Mispah form, closely associated with quartzite and shale of Nardouw Subgroup (Table Mountain Group) forming neighbouring cliffs and screes. Land types mainly Fa and Ib.</t>
  </si>
  <si>
    <t>SKv8</t>
  </si>
  <si>
    <t>Western Little Karoo</t>
  </si>
  <si>
    <t xml:space="preserve">Western Cape Province: The unit covers most of the western basin of the Little Karoo from the confluence of the Groot and Gouritz Rivers in the west as far as Anysberg by surrounding this mountain range and also extending along the northern flanks of the Klein Swartberg. Two larger patches of the Western Little Karoo are found immediately to the east and south of Touws River and one small isolated patch fringes the Langeberg Mountains in the Montagu area. </t>
  </si>
  <si>
    <t>Flat or slightly undulating landscapes d</t>
  </si>
  <si>
    <t>Western Little Karoo has a multimodal precipitation regime with major peaks in May and August and minor ones in March and November. December to January is markedly drier—a hint towards a slight inclination of the local climate towards a winter-rainfall pattern. MAP is around 230 mm (semidesert). MAT 16°C. On average 14 frost days per year. See also climate diagram for SKv 8 Western Little Karoo (Figure 5.65).</t>
  </si>
  <si>
    <t>Sandstone and shale of the Devonian Bidouw and Ceres Subgroups (both belonging to Bokkeveld Group, Cape Supergroup), Devonian sandstone of the Witteberg Group and Silurian sandstone of the Nardouw Subgroup (Table Mountain Group, Cape Supergroup), supporting deep, loamy-sandy (mainly) soils. The region has been classified as Fc land type.</t>
  </si>
  <si>
    <t>FRg3</t>
  </si>
  <si>
    <t>Robertson Granite Renosterveld</t>
  </si>
  <si>
    <t>East Coast Renosterveld Bioregion</t>
  </si>
  <si>
    <t xml:space="preserve">Western Cape Province: Extremely limited area: confined to low altitudes of the Tierberg north of La Colline near Robertson in the Breede River Valley. </t>
  </si>
  <si>
    <t>Gentle to steep slopes of a granite dome</t>
  </si>
  <si>
    <t>MAP 360–740 mm (mean: 440 mm), with a slight peak from May to August. Mean daily maximum and minimum temperatures 28.7°C and 4.0°C for February and July, respectively. Frost incidence 6–10 days per year. See also climate diagram for FRg 3 Robertson Granite Renosterveld (Figure 4.117).</t>
  </si>
  <si>
    <t>Loamy soils, primarily of Glenrosa and Mispah forms derived from the Robertson Pluton of the Cape Granite Suite. Land type mainly Fb.</t>
  </si>
  <si>
    <t>Gm1</t>
  </si>
  <si>
    <t>Zastron Moist Grassland</t>
  </si>
  <si>
    <t xml:space="preserve">Eastern Cape and Free State Provinces and Lesotho: Surrounds of Zastron, extends just short of Van Stadensrus (north) to Mohales Hoek (northeast) and Rouxville (west). A narrow corridor extends south towards Jamestown and Dordrecht. </t>
  </si>
  <si>
    <t>Undulating plains, broken in places due to sandstone outcrops forming extensive terraces</t>
  </si>
  <si>
    <t>Summer rainfall which peaks in March. MAP 615 mm. MAT of 14°C indicates cool-temperate climate. The inland position of the unit results in high thermic continentality: summers are very hot, while winter can be bitterly cold. Frost is a common phenomenon. See also climate diagram for Gm 1 Zastron Moist Grassland (Figure 8.36).</t>
  </si>
  <si>
    <t>Relatively deep sandy layer over the sandstone layers of the Tarkastad Subgroup (Molteno and Elliot Formations) of the Beaufort Group (Karoo Supergroup). Typical soil forms present on these sandstone terraces are Clovelly and Avalon. Clayey soils, which were formed by weathering and leaching processes, are concentrated in low-lying drainage lines, valley bottoms and depressions. Db land type dominates, with typical soil forms such as Estcourt and Oakleaf forms present. Fb and Ca land types of minor importance.</t>
  </si>
  <si>
    <t>SVcb5</t>
  </si>
  <si>
    <t>Pilanesberg Mountain Bushveld</t>
  </si>
  <si>
    <t xml:space="preserve">North-West Province: Hills and mountains immediately north of Sun City and west of Heystekrand (Mankwe District). </t>
  </si>
  <si>
    <t xml:space="preserve">A near circular (diameter 23–27 km) complex constituting an intrusive and extrusive massif with the original volcanic caldera almost eroded away leaving a broken ring of hills and low mountains as well as the eroded intrusions of the core remaining in the form of many hills and low mountains. Valley floors between the hills and mountains tend to be at most 1–2 km wide. </t>
  </si>
  <si>
    <t>Summer rainfall with very dry winters. MAP from about 600–700 mm. Frost fairly frequent in winter in lower-lying areas, less so on the hills. Mean monthly maximum and minimum temperatures for Manyane Gate (eastern entrance to Pilanesberg Game Reserve) 36.7°C and –2.2°C for February and July, respectively. See also climate diagram for SVcb 5 Pilanesberg Mountain Bushveld.</t>
  </si>
  <si>
    <t>The alkaline complex consists of potassium- and sodium-rich, silica-poor rocks, mainly foyaite, lava and tuff with some syenite. Wide range of elements found, particularly rare earth elements and fluorine in the form of CaF2 (flourite). Due to the original volcanic actions, subsequent fracturing, emplacement of intrusions, collapse and resurgence of magma and radial emplacement of dykes, a complex geological pattern exists. Pilanesberg is one of the very few large alkaline ring complexes in the world, approximately 1.3 gya old. Soils are shallow, rocky lithosols on the hills and mountains of the Glenrosa and Mispah soil forms, but with deeper soils on the valley floors. Land type is mostly Ib.</t>
  </si>
  <si>
    <t>FFf1</t>
  </si>
  <si>
    <t>Elim Ferricrete Fynbos</t>
  </si>
  <si>
    <t xml:space="preserve">Western Cape Province: Extensive areas between the Bot River Valley, Hemel en Aarde Valley, Stanford environs, Salmonsdam and Baardskeerdersbos, with the most extensive parts around Elim on the Agulhas Plain spanning the area from Soetmuisberg in the north to Buffeljags and the Soetanysberg in the south. Outliers found on the northern slopes of the mountains adjacent to those of the Rûens around Napier and at Perdekamp north of Arniston. </t>
  </si>
  <si>
    <t>Undulating hills and plains</t>
  </si>
  <si>
    <t>Mainly winter-rainfall regime, also with some summer rain. MAP 350–770 mm (mean: 545 mm), peaking from May to August. Mean daily maximum and minimum temperatures 25.8°C and 6.7°C for January and July, respectively. Frost incidence about 3 days per year. See also climate diagram for FFf 1 Elim Ferricrete Fynbos (Figure 4.83).</t>
  </si>
  <si>
    <t>Glenrosa and Mispah and prismacutanic and pedocutanic soils, derived from Bokkeveld Shale, Cape Granite (of the Hermanus Suite), and ferricrete and silcrete. Land types mainly Fb and Db.</t>
  </si>
  <si>
    <t>B1i_rod, B1iii_sp</t>
  </si>
  <si>
    <t>Gs8</t>
  </si>
  <si>
    <t>Mooi River Highland Grassland</t>
  </si>
  <si>
    <t>KwaZulu-Natal Province: Centre of occurrence in the Mooi River Basin, several scattered large patches near Underberg and Greytown, and on the Helpmekaar Plateau southeast of Dundee.</t>
  </si>
  <si>
    <t>Mainly rolling and partly broken landscape</t>
  </si>
  <si>
    <t>The region has a MAP of 785 mm, falling mostly in summer. Mist and snow are not frequent. Overall MAT is slightly higher than 14°C. Light, but relatively frequent (30 days per year) frosts may occur for six months in the year (Camp 1999b). See also climate diagram for Gs 8 Mooi River Highland Grassland (Figure 8.61).</t>
  </si>
  <si>
    <t>A mosaic of generally shallow and poorly drained soils derived from sedimentary rocks, mostly of the Adelaide Subgroup (Beaufort Group) of the Karoo Sequence. Deep well-drained apedal soils of the intrusive igneous rocks of the Karoo Dolerite Suite also occur. Almost half of the area is classified as Ac land type, followed by Bb and to lesser extent also Fa.</t>
  </si>
  <si>
    <t>SKr15</t>
  </si>
  <si>
    <t>Anenous Plateau Shrubland</t>
  </si>
  <si>
    <t xml:space="preserve">Northern Cape Province: Anenous Plateau (west of the Steinkopf Plateau) in the southeastern Richtersveld, and parts of the adjacent escarpment, extending some 15 km to the north and to the south of the Anenous Pass. Region includes mountains such as Narraberg and Klipfonteinberg. </t>
  </si>
  <si>
    <t>High plateau with some rolling hills and larger mountains. The original dense shrubland is now fragmented and confined to mountains and to rocky areas</t>
  </si>
  <si>
    <t>Mild to cool winter-rainfall climate. MAP ranges in most of the area from 120–160 mm. Most of the area experiences up to 10 frost days per year. See also climate diagram for SKr 15 Anenous Plateau Shrubland (Figure 5.12).</t>
  </si>
  <si>
    <t>Gneiss and schist of the Precambrian Namaqualand Metamorphic Complex. Soils are mostly loamy sands and loams. Almost the entire area falls within Fb land type.</t>
  </si>
  <si>
    <t>SKk4</t>
  </si>
  <si>
    <t>Knersvlakte Shale Vygieveld</t>
  </si>
  <si>
    <t>Knersvlakte Bioregion</t>
  </si>
  <si>
    <t xml:space="preserve">Western Cape Province: Knersvlakte (southern part of Namaqualand), at the western foot of the Bokkeveld Escarpment near Vanrhynsdorp. </t>
  </si>
  <si>
    <t>Winter-rainfall climate with dry, hot summers and mild, rainy winters. MAP 126 mm, with almost all the rainfall between May and August. The lowest temperatures in winter 5–10°C, highest temperatures in summer 30–35°C. Winters are mild, with rare occurrence of frost (on average 3 days per year). See also climate diagram for SKk 4 Knersvlakte Shale Vygieveld (Figure 5.53).</t>
  </si>
  <si>
    <t>Shale bands of the Knersvlakte Subgroup (Vanrhynsdorp Group, Namibian Erathem), on level plains or hilltops and moderate to steep slopes covered by shallow soils, moderately acid to slightly alkaline, high stone content. Almost the entire area is classified as Fc land type.</t>
  </si>
  <si>
    <t>FRc1</t>
  </si>
  <si>
    <t>Swartland Silcrete Renosterveld</t>
  </si>
  <si>
    <t xml:space="preserve">Western Cape Province: A highly fragmented type, scattered in the form of small patches throughout the Swartland from near Firgrove and Kuils River in the south to Eendekuil to Piketberg in the north. Mostly embedded within FRs 9 Swartland Shale Renosterveld followed by FRg 2 Swartland Granite Renosterveld. The largest patch is at Oupas between Moorreesburg and Mamre. </t>
  </si>
  <si>
    <t xml:space="preserve">Moderately undulating lowlands, often on elevated areas. </t>
  </si>
  <si>
    <t>MAP 250–650 mm (mean: 425 mm), peaking from May to August. Mists common in winter. Mean daily maximum and minimum temperatures 28.7°C and 6.8°C for February and July, respectively. Frost incidence 3 or 4 days per year. See also climate diagram for FRc 1 Swartland Silcrete Renosterveld (Figure 4.124).</t>
  </si>
  <si>
    <t>Remnants of silcrete layers over Malmesbury Group Shale and Cape Granite. Soils with prismacutanic and/or pedocutanic diagnostic horizons or plinthic catena are dominant. Land types mainly Db, Ca and Fc.</t>
  </si>
  <si>
    <t>B2i_rod, B2iii_sp</t>
  </si>
  <si>
    <t>SKs12</t>
  </si>
  <si>
    <t>Namaqualand Spinescent Grassland</t>
  </si>
  <si>
    <t xml:space="preserve">Western Cape Province: Namaqualand, a strip in the Knersvlakte from Lutzville and Koekenaap eastwards to north of Vanrhynsdorp. </t>
  </si>
  <si>
    <t>Level landscape</t>
  </si>
  <si>
    <t>Winter-rainfall climate with MAP of 151 mm, with almost all the rainfall between May and August. The lowest temperatures in winter are 5–10ºC. Frost occurs in winter, but it is rare. The highest temperatures in summer are between 25ºC and just higher than 30ºC. See also climate diagram for SKs 12 Namaqualand Spinescent Grassland (Figure 5.39).</t>
  </si>
  <si>
    <t>Cenozoic aeolian, deep, coarse, unstructured, red, sandy soils with very low stone content, more or less neutral soil pH, low salinity and with no or very low carbonate content. Sand originated from the mouth of the palaeo-Orange River formerly located about east of the sand strip and it has been transported inland by the westerly winds. This ancient alluvium sediments are overlying Gariep Supergroup metapelites (mostly schist and phyllite) and some clastic sediments and metavolcanics (Namibian Erathem). Ae land type dominates and Ag land type plays only a subordinate role.</t>
  </si>
  <si>
    <t>SVl8</t>
  </si>
  <si>
    <t>Tzaneen Sour Bushveld</t>
  </si>
  <si>
    <t xml:space="preserve">Limpopo Province: A band extending along the footslopes and hills of the northeastern escarpment, from the Soutpansberg Mountains in the north via Tzaneen and narrowing to the Abel Erasmus Pass area in the south. </t>
  </si>
  <si>
    <t>low to high mountains with undulating plains mainly at the base of, and on the lower to middle slopes of the northeastern escarpment.</t>
  </si>
  <si>
    <t>Summer rainfall with dry winters. MAP from about 550 mm on the footslopes of the escarpment in the east to about 1 000 mm, where it borders grassland at higher altitudes to the west. Frost infrequent, but occasional at higher altitude. Mean monthly maximum and minimum temperatures for Tzaneen 36.4°C and 3.9°C for January and June, respectively. Corresponding values for Levubu-Agr 36.4°C and 5.7°C for October and July, respectively. See also climate diagram for SVl 8 Tzaneen Sour Bushveld.</t>
  </si>
  <si>
    <t>The potassium-poor gneisses of the Goudplaats gneiss (Swazian Erathem) and an Archaean granite dyke underlie most of this area. Shales and quartzite of the Wolkberg Group are present, but not common. Soils are Mispah, Glenrosa or Hutton forms, shallow to deep, sandy or gravelly and well-drained. Land types Fa, Ab, Ae and Ia.</t>
  </si>
  <si>
    <t>FFd4</t>
  </si>
  <si>
    <t>Atlantis Sand Fynbos</t>
  </si>
  <si>
    <t xml:space="preserve">Western Cape Province: Rondeberg to Blouberg on the West Coast coastal flats; along the Groen River on the eastern side of the Dassenberg-Darling Hills through Riverlands to the area between Atlantis and Kalbaskraal, also between Klipheuwel and the Paardeberg with outliers west of the Berg River east and north of Riebeek-Kasteel between Hermon and Heuningberg. </t>
  </si>
  <si>
    <t>Moderately undulating to flat sand plains</t>
  </si>
  <si>
    <t>Winter-rainfall regime with precipitation peaking from May to August. MAP 290–660 mm (mean: 440 mm). Mists (fogs) common in winter and supplying additional precipitation. Mean daily maximum and minimum temperatures 27.9°C and 7.0°C for February and July, respectively. Frost incidence about 3 days per year. See also climate diagram for FFd 4 Atlantis Sand Fynbos (Figure 4.57).</t>
  </si>
  <si>
    <t>Acidic tertiary, grey regic sands, usually white or yellow. Land types mainly Db, Ha, Hb and Ca.</t>
  </si>
  <si>
    <t>B1i_rod, B1i_inv, B1iii_sp</t>
  </si>
  <si>
    <t>SKr17</t>
  </si>
  <si>
    <t>Eenriet Plains Succulent Shrubland</t>
  </si>
  <si>
    <t xml:space="preserve">Northern Cape Province: Plains northwest of Kabinaberg and south of the Koubank River, extending west and east of the main road between Steinkopf and Vioolsdrif, in the southeastern Richtersveld, partly forming the transition to Bushmanland. </t>
  </si>
  <si>
    <t>Wide plains tilting towards the north, with few inselbergs. The extensive plains often resemble sheet wash plains and deep loamy-sandy soil</t>
  </si>
  <si>
    <t>Winter-rainfall regime, but with some summer rainfall also occurring (mainly March), especially towards the eastern boundaries of the unit. MAP was estimated at 100–160 mm. Some 10 to 20 frost days occur per year. See also climate diagram for SKr 17 Eenriet Plains Succulent Shrubland (Figure 5.12).</t>
  </si>
  <si>
    <t>Fine-structured deep loamy sands over gneiss of the Precambrian Namaqualand Metamorphic Complex. Ag land type dominates.</t>
  </si>
  <si>
    <t>NKb3</t>
  </si>
  <si>
    <t>Bushmanland Arid Grassland</t>
  </si>
  <si>
    <t xml:space="preserve">Northern Cape Province: Spanning about one degree of latitude from around Aggeneys in the west to Prieska in the east. The southern border of the unit is formed by edges of the Bushmanland Basin while in the northwest this vegetation unit borders on desert vegetation (northwest of Aggeneys and Pofadder). The northern border (in the vicinity of Upington) and the eastern border (between Upington and Prieska) are formed with often intermingling units of Lower Gariep Broken Veld, Kalahari Karroid Shrubland and Gordonia Duneveld. Most of the western border is formed by the edge of the Namaqualand hills. </t>
  </si>
  <si>
    <t xml:space="preserve">Extensive to irregular plains on a slightly sloping plateau </t>
  </si>
  <si>
    <t>Rainfall largely in late summer/early autumn (major peak) and very variable from year to year. MAP ranges from about 70 mm in the west to 200 mm in the east. Mean maximum and minimum monthly temperatures for Kenhardt are 40.6°C and –3.7°C for January and July respectively. Corresponding values for Pofadder are 38.3°C and –0.6°C. Frost incidence ranges from around 10 frost days per year in the northwest to about 35 days in the east. Whirl winds (dust devils) are common on hot summer days. See also climate diagram for NKb 3 Bushmanland Arid Grassland (Figure 7.2).</t>
  </si>
  <si>
    <t>A third of the area is covered by recent (Quaternary) alluvium and calcrete. Superficial deposits of the Kalahari Group are also present in the east. The extensive Palaeozoic diamictites of the Dwyka Group also outcrop in the area as do gneisses and metasediments of Mokolian age. The soils of most of the area are red-yellow apedal soils, freely drained, with a high base status and &lt;300 mm deep, with about one fifth of the area deeper than 300 mm, typical of Ag and Ae land types.</t>
  </si>
  <si>
    <t>SVk15</t>
  </si>
  <si>
    <t>Koranna-Langeberg Mountain Bushveld</t>
  </si>
  <si>
    <t>Eastern Kalahari Bushveld Bioregion</t>
  </si>
  <si>
    <t>Northern Cape Province: From the Tswalu Kalahari Reserve at the northern tip of the Korannaberg southwards in the form of multiple ridges to the Langeberg west of Olifantshoek and southwards along the Langeberg and some parallel ridges, to ridges in the vicinity of Volop. Also some ridges to the west of the Langeberg. Altitude 1 000–1 836 m at highest point.</t>
  </si>
  <si>
    <t xml:space="preserve">Rugged mountains and steep slopes in parts of the Korannaberg but with few cliffs in the Langeberg to the south. </t>
  </si>
  <si>
    <t>Summer and autumn rainfall with very dry winters. MAP about 180–380 mm. Frost frequent in winter. See also climate diagram for SVk 15 Koranna-Langeberg Mountain Bushveld.</t>
  </si>
  <si>
    <t>The geology of the Korannaberg and Langeberg Mountains consists of quartzite, greywacke and lenses of hematite of the Olifantshoek Supergroup (Mokolian Erathem). The soils consist of very rocky, shallow sands. Land types mainly Ic, with some Ae.</t>
  </si>
  <si>
    <t>Gd7</t>
  </si>
  <si>
    <t>uKhahlamba Basalt Grassland</t>
  </si>
  <si>
    <t xml:space="preserve">KwaZulu-Natal and to a small extent also the Free State and Eastern Cape Provinces and very slightly in Lesotho: Uppermost slopes of the Drakensberg Mountains just below the edge of the highland plateau. </t>
  </si>
  <si>
    <t>steepof slopes</t>
  </si>
  <si>
    <t>Summer rainfall, with MAP 830–1 820 mm (overall regional MAP 1 234 mm). Great temperature differences between summer (some days with temperature exceeding 30°C) and winter, characterised by occurrence of snow (does not persist for long on steep exposed slopes) and frequent frost (55 days per year). Morning summer mists are also frequent, but so are hot, dry winds from July to October. Depending on altitude and aspect, the climate characteristics vary considerably. See also climate diagram for Gd 7 uKhahlamba Basalt Grassland (Figure 8.11).</t>
  </si>
  <si>
    <t>Jurassic Basalts of the Drakensberg Group (Karoo Supergroup)—a result of prolonged volcanic activity accompanying the birth of the African continent by breaking from Gondwana. Deep nutrient-rich soils are formed on less steep slopes, while basalt outcrops usually do not carry any fine soil, except for shallow pockets of basalt rubble. Dominant land type Fa, followed by Ac and Ic.</t>
  </si>
  <si>
    <t>FFa4</t>
  </si>
  <si>
    <t>Lourensford Alluvium Fynbos</t>
  </si>
  <si>
    <t xml:space="preserve">Western Cape Province: Low-lying areas between Firgrove and Gordon’s Bay, including much of the Strand and Somerset West, extending up the Lourens River Valley to the Sawmill above Lourensford Estate. </t>
  </si>
  <si>
    <t>Low-lying plains</t>
  </si>
  <si>
    <t>Winter-rainfall climate peaking from May to August. MAP 470–980 mm (mean: 640 mm). Mean daily maximum and minimum temperatures 26.0°C and 7.4°C for February and July, respectively. Frost incidence infrequent. This is the only alluvium fynbos under strong maritime influence. See also climate diagram for FFa 4 Lourensford Alluvium Fynbos (Figure 4.88).</t>
  </si>
  <si>
    <t>Plinthic, duplex, silty soils often with small cobbles and pebbles embedded. Found over Cape Suite granite and metasediments of the Tygerberg Formation (Malmesbury Group). Land types mainly Ca and Ac.</t>
  </si>
  <si>
    <t>A3_coct, A2b, B1i_rod, B1iii_sp</t>
  </si>
  <si>
    <t>Gh5</t>
  </si>
  <si>
    <t>Bloemfontein Dry Grassland</t>
  </si>
  <si>
    <t xml:space="preserve">Free State Province: South-central part of the province, with Bloemfontein more or less centrally. Extending from Petrusburg in the west to the Rustfontein Dam in the east and from Reddersburg in the south to the Soetdoring Nature Reserve in the north. </t>
  </si>
  <si>
    <t>Free State</t>
  </si>
  <si>
    <t>Slightly undulating bottomland landscape</t>
  </si>
  <si>
    <t>Summer-rainfall region, with MAP around 450 mm. Most of the rainfall is of convectional origin and peaks in late summer. Overall MAT is within warm-temperate ranges (nearly 16°C), with high incidence of frost in winter. See also climate diagram for Gh 5 Bloemfontein Dry Grassland (Figure 8.23).</t>
  </si>
  <si>
    <t>Sedimentary mudstones and layers of sandstone mainly of the Adelaide Subgroup (Beaufort Group, Karoo Supergroup). Volksrust Formation mudstones of the Ecca Group (also Karoo Supergroup) dominate the western part of the area. Deep (&gt;300 mm) layer of red sand (aeolian origin) covers the more clayey B-horizons. Soil forms such as arable Hutton, Bainsvlei and Bloemdal occur here and are typical of the Ca land type. The Ea land type has shallow gravelly soils underlain by dolerite sills. Ca and Ae land types are nearly equally represented.</t>
  </si>
  <si>
    <t>SVmp7</t>
  </si>
  <si>
    <t>Phalaborwa-Timbavati Mopaneveld</t>
  </si>
  <si>
    <t>Mopane Bioregion</t>
  </si>
  <si>
    <t xml:space="preserve">Limpopo and Mpumalanga Provinces: Occurs in a band about 40 km west and east of Phalaborwa and also occurs south of the Olifants River on the boundary between the Timbavati Game Reserve and the Kruger National Park including parts of the Umbabat and Klaserie Nature Reserves. </t>
  </si>
  <si>
    <t>The field layer is usually well developed. A feature of the northern section of this unit is the large number of termite mounds on the uplands.</t>
  </si>
  <si>
    <t>Summer rainfall with very dry winters. MAP about 400–600 mm. Generally frost-free. Mean monthly maximum and minimum temperatures for Phalaborwa 38.4°C and 5.7°C for January and July, respectively. See also climate diagram for SVmp 7 Phalaborwa-Timbavati Mopaneveld.</t>
  </si>
  <si>
    <t>Quartz-feldspar rocks of the Makhutswi Gneiss (Swazian) dominate this area, except in the northwest where they are intruded by the Lekkersmaak Granite (Randian). Sandy soils (usually less than 10% clay in the A-horizon) on the uplands (e.g. Clovelly soil form) and clay soils in the bottomlands (e.g. Valsrivier and Sterkspruit soil forms). The dominant land type mapped is mainly Fb.</t>
  </si>
  <si>
    <t>FRg1</t>
  </si>
  <si>
    <t>Namaqualand Granite Renosterveld</t>
  </si>
  <si>
    <t>Namaqualand Cape Shrublands Bioregion</t>
  </si>
  <si>
    <t xml:space="preserve">Northern Cape Province: Namaqualand, east of Kamieskroon and northeast of Garies in the higher-altitude parts of the Kamiesberg area from Os Plaat se Berge and the Dounabesberge in the north to Stalberg and Grasberg in the south and including a central area around Leliefontein. The most easterly extension is in the vicinity of Paulshoek. Embedded within this unit are several patches of generally highest-altitude FFg 1 Kamiesberg Granite Fynbos. </t>
  </si>
  <si>
    <t>Plateaus, low mountains and broken veld of typical granite landscapes</t>
  </si>
  <si>
    <t>MAP 130–370 mm (mean: 235 mm), peaking from May to August. This is the most arid of the renosterveld types. Mean daily maximum and minimum temperatures 26.6°C and 2.7°C for January and July, respectively. Frost incidence 10–30 days per year. See also climate diagram for FRg 1 Namaqualand Granite Renosterveld (Figure 4.117).</t>
  </si>
  <si>
    <t>In this area granitic gneiss of the Stalhoek Complex, the Kamieskroon Gneiss and the Nababeep Gneiss is partly overlain by quartzite and other metasediments of the Bitterfontein Formation (Bushmanland Group). The above Mokolian age rocks form level to gentle rocky slopes. The soils are sandy; yellow-brown to brown loamy sand. Land types mainly Ic, IB and Ag.</t>
  </si>
  <si>
    <t>FFs27</t>
  </si>
  <si>
    <t>Kouga Sandstone Fynbos</t>
  </si>
  <si>
    <t xml:space="preserve">Western and Eastern Cape Provinces: Main area from the Dieprivier and the ridge of Bak se Baken in the west, through Uniondale, eastwards along the main chain of the Kouga Mountains (and continuous with some small ridges such as Ouposberg and Dwarsberg to the northwest), interrupted by the thicket of the Kouga River, and terminating in the vicinity of Blouberg. A narrower band occurs along the upper and generally south-facing parts of the Baviaanskloofberge on the northern side of Baviaanskloof from the Winterhoekberge in the west and continuing up to the gorge of the Groot River. The unit is found at high altitudes (with a southerly aspect) on the main ridge of the Groot Winterhoekberge to the high mountain parts above Uitenhage (e.g. Vermaakskop) and also occurs on some subsidiary high ridges to the south. Also found along the higher and south-facing parts of the Elandsberg as well as on the Van Stadensberg to near Fitches Corner. A narrow band occurs on the southern slopes of the Suuranysberge on the northern side of the lower Langkloof Valley, Kareedouw. </t>
  </si>
  <si>
    <t xml:space="preserve">Mainly long, rounded mountain chains with moderately steep to gentle slopes. </t>
  </si>
  <si>
    <t>MAP 270–910 mm (mean: 600 mm), with a slight bimodal peak in March and October. Mean daily maximum and minimum temperatures 27.3°C and 2.9°C for February and July, respectively. Frost incidence 10–40 days per year. See also climate diagram for FFs 27 Kouga Sandstone Fynbos (Figure 4.21).</t>
  </si>
  <si>
    <t>Acidic lithosol soils derived from sandstones of the Table Mountain Group as well as quartzitic sandstones of the Witteberg Group (Nardouw Subgroup). Land types mainly Ib, Ic and Fa.</t>
  </si>
  <si>
    <t>SVs6</t>
  </si>
  <si>
    <t>Eastern Valley Bushveld</t>
  </si>
  <si>
    <t xml:space="preserve">KwaZulu-Natal and Eastern Cape Provinces Deeply incised valleys of rivers including the lower reaches of the Thukela, Mvoti, Mgeni, Mlazi, Mkhomazi, Mzimkulu, Mzimkulwana, Mtamvuna, Mtentu, Msikaba, Mzimvubu (and its several tributaries), Mthatha, Mbhashe, Shixini, Qhorha and Great Kei. Very seldom extending to the coast. </t>
  </si>
  <si>
    <t>Most of the river valleys run along a northwest-southeast axis which results in unequal distribution of rainfall on respective north-facing and south-facing slopes since the rain-bearing winds blow from the south</t>
  </si>
  <si>
    <t>Summer rainfall with some rain in winter. MAP about 550–1 000 mm. Frost infrequent. Mean monthly maximum and minimum temperatures for Nagle Dam 36.9°C and 4.0°C for December and June, respectively. See also climate diagram for SVs 6 Eastern Valley Bushveld.</t>
  </si>
  <si>
    <t>The area is underlain by the sediments of the Karoo Supergroup with the mudstones and lesser sandstones of the Adelaide and Tarkastad Subgroups (Beaufort Group) dominant, and some Ecca Group shale. Dominant land type Fa.</t>
  </si>
  <si>
    <t>CB2</t>
  </si>
  <si>
    <t>Maputaland Wooded Grassland</t>
  </si>
  <si>
    <t>Indian Ocean Coastal Belt</t>
  </si>
  <si>
    <t xml:space="preserve">KwaZulu-Natal Province and southern Mozambique: In South Africa from the Mozambique border near KwaNgwanase southwards to Sileza, Sibaya, Mseleni, Mbazwana, Sodwana Bay, Ozabeni, eastern and western shores of Lake St Lucia, KwaMbonambi and as far south as near Richards Bay. </t>
  </si>
  <si>
    <t>Generally flat landscape of the Maputaland coastal plain</t>
  </si>
  <si>
    <t>Approximately the same as for the CB 1 Maputaland Coastal Belt (both units form an intricate regional mosaic). See also climate diagram for CB 2 Maputaland Wooded Grassland (Figure 11.2).</t>
  </si>
  <si>
    <t>Quaternary redistributed sand supporting yellowish redistributed sands of the Berea Formation (Maputaland Group). These are dystric regosols building dune crests, slopes and relatively high-lying level plains. Water table found at depth 1.6–2.0 m below surface (and slightly deeper) in average rainfall years. Ha is the overwhelmingly dominant land type, followed by Hb land type.</t>
  </si>
  <si>
    <t>Gm5</t>
  </si>
  <si>
    <t>Basotho Montane Shrubland</t>
  </si>
  <si>
    <t xml:space="preserve">Free State Province, Lesotho and very marginally into KwaZulu-Natal Province: Foothills of the west-facing Drakensberg (also Maloti) and mainly on the slopes of mesas over a wide area in the vicinity of Zastron in the southwest, the surrounds of Mafeteng, Hobhouse, Maseru, Roma, Ladybrand, Clocolan, Excelsior, Ficksburg, Butha-Buthe, Fouriesburg, Paul Roux, Bethlehem, Phuthaditjhaba as far as Harrismith in the northeast. This shrubland unit covers extensive areas in deeply incised river valleys of western Lesotho, especially those opening towards the south and west. </t>
  </si>
  <si>
    <t>KwaZulu-Natal, Free State</t>
  </si>
  <si>
    <t>Steep talus slopes and kloofs of the mesas and other mountain flanks</t>
  </si>
  <si>
    <t>This unit receives more than 720 mm of MAP. Wepener and Harrismith score 629 and 624 mm, respectively, while some patches found closer to the Maloti Mountain range (such as on Qwaqwa Mountain near Phuthaditjhaba) may receive more than 1 400 mm in particularly wet years. Most of the rain falls in summer and much of it as convectional rain, with torrential storms. The overall MAT is 13.7°C. Summers are wet and hot, while winters are (as a rule) dry and with frequent frost. Snowfall is a rare event. See also climate diagram for Gm 5 Basotho Montane Shrubland (Figure 8.36).</t>
  </si>
  <si>
    <t>The upper layers of the mudstones and sandstones of the Molteno, Elliot and Clarens Formations (Stormberg Group, Karoo Supergroup). The variations in weathering rates of the rocks resulted in the formation of numerous terraces along the slopes. In places the dolerite dykes cut through the thick sandstones, resulting in the formation of sheltered ravines. The soil surface is strewn with sandstone rocks and boulders. Ib land type, characterised by miscellaneous soil forms, specially the Mispah, and Glenrosa forms, is dominant. Other land types of minor occurrence are Fa, Bb and Db.</t>
  </si>
  <si>
    <t>SVcb27</t>
  </si>
  <si>
    <t>Sekhukhune Plains Bushveld</t>
  </si>
  <si>
    <t xml:space="preserve">Limpopo and Mpumalanga Provinces: Lowland area from Burgersfort and the lower basin of the Steelpoort River in the south, northwards through the plains of the Motse River basin to Jobskop and Legwareng (south of the Strydpoort Mountains). Continues up the basin of the Olifants River to around Tswaing and the valleys of the Lepellane and Mohlaletsi Rivers. </t>
  </si>
  <si>
    <t>Mainly semi-arid plains and open valleys between chains of hills and small mountains running parallel to the escarpment</t>
  </si>
  <si>
    <t>Summer rainfall with very dry winters. MAP about 400–600 mm, but at the lower end of this range on the central plains increasing to about 500 mm on the plains east of the Leolo Mountains. Frost very infrequent. Mean monthly maximum and minimum temperatures for Tswelopele 37.3°C and –0.9°C for January and June, respectively. Daily temperatures vary considerably at different localities, with higher temperatures on the western plains and lower temperatures on higher-lying plateaus. See also climate diagram for SVcb 27 Sekhukhune Plains Bushveld.</t>
  </si>
  <si>
    <t>Complex geology, with rocks mainly mafic and ultramafic intrusive rocks of the main to lower zones of the Rustenberg Layered Suite on the eastern lobe of the Bushveld Igneous Complex (Vaalian). The zones (subsuites) are dominated by concentric belts of norite, gabbro, anorthosite and pyroxenite, with localised protrusions of magnetite, chromatite, serpentinised harzburgite, olivine diorite, shale, dolomite and quartzite. Most of the area consists of red apedal soils. Deep, loamy Valsrivier soils are characteristic of the plains and shallow Glenrosa soils are found on the low-lying, rocky hills. Patches of erodable black, melanic structured horizons are common around small mountains. Some Steendal soils are underlain by gypsum. Land types mainly Ae, Ib, Ea and Ia.</t>
  </si>
  <si>
    <t>Gs2</t>
  </si>
  <si>
    <t>Ithala Quartzite Sourveld</t>
  </si>
  <si>
    <t xml:space="preserve">KwaZulu-Natal and Mpumalanga Provinces and Swaziland: Confined to large quartzite patches that occur from Amsterdam, southwards east of Piet Retief and through Mahamba, to the Paris Dam and Ithala Game Reserve, with isolated outcrops near Magudu. </t>
  </si>
  <si>
    <t>Low mountain ranges and undulating hills with rocky lowlands.</t>
  </si>
  <si>
    <t>Rainfall peaks in midsummer. MAP from about 1 200 mm in the west to 570 mm in the east (MAP 795 mm). Frost does occur, but is infrequent. See also climate diagram for Gs 2 Ithala Quartzite Sourveld (Figure 8.61).</t>
  </si>
  <si>
    <t>Quartzite of the Mozaan Group (Pongola Supergroup) of the Randian age supporting shallow soils typical of Fb (prevalent) and Fa (marginal) land types.</t>
  </si>
  <si>
    <t>SVl11</t>
  </si>
  <si>
    <t>Malelane Mountain Bushveld</t>
  </si>
  <si>
    <t xml:space="preserve">Mpumalanga Province: High-lying area north of Malelane and Kaapmuiden including Berg-en-Dal Rest Camp area as far north as the area of the hill Sithongwane in the Kruger National Park. Also includes the Krokodilpoortberge both north and south of the Crocodile Gorge. </t>
  </si>
  <si>
    <t>on mountains and higher-lying slopes,</t>
  </si>
  <si>
    <t>Summer rainfall with dry winters. MAP about 600–1 100 mm, increasing with altitude. Mountain tops experience occasional mist. Frost infrequent to occasional at higher altitudes. See also climate diagram for SVl 11 Malelane Mountain Bushveld.</t>
  </si>
  <si>
    <t>Granite and gneiss, mostly of the Nelspruit Suite, forming hills with large boulders, with shallow, coarse, sandy lithosols, largely comprised of Glenrosa or Mispah soil types. Land types Fa, Fb and Ib.</t>
  </si>
  <si>
    <t>SVl27</t>
  </si>
  <si>
    <t>Crocodile Gorge Mountain Bushveld</t>
  </si>
  <si>
    <t>SVcb28</t>
  </si>
  <si>
    <t>Sekhukhune Mountain Bushveld</t>
  </si>
  <si>
    <t xml:space="preserve">Limpopo and Mpumalanga Provinces: Mountains and undulating hills above the lowlands of the SVcb 27 Sekhukhune Plains Bushveld, including the steep slopes of the Leolo Mountains (except areas of Gm 20 Leolo Summit Sourveld), Dwars River Mountains (except areas of Gm 19 Sekhukhune Montane Grassland) and Thaba Sekhukhune, and a number of isolated smaller mountains (e.g. Phepane and Morone). Also the undulating small hills in the valley of the Steelpoort River up to and along the Klip River flowing past Roossenekal. </t>
  </si>
  <si>
    <t>hills and mountain slopes that form concentric belts parallel to the northeastern escarpment.</t>
  </si>
  <si>
    <t>Summer rainfall with very dry winters. MAP about 500–700 mm, but local topography influences rainfall patterns over short distances. Frost fairly infrequent. Daily temperatures vary considerably at different localities, with highest temperatures in lower-lying areas and lowest temperatures on southern aspects of mountains. See also climate diagram for SVcb 28 Sekhukhune Mountain Bushveld.</t>
  </si>
  <si>
    <t>Rocks mainly ultramafic intrusives of the lower, critical and main zones of the eastern Rustenberg Layered Suite of the Bushveld Igneous Complex (Vaalian). Three subsuites (zones), namely Croydon, Dwars River and Dsjate consist mainly of norite, pyroxenite, anorthosite and gabbro, and are characterised by localised intrusions of magnetite, diorite, dunite, bronzitite and harzburgite. Soils are predominantly shallow, rocky and clayey. Glenrosa and Mispah soil forms are common, with lime present in low-lying areas. Rocky areas without soil are common on steep slopes. The Dwars River Valley is characterised by prismacutanic horizons with melanic structured diagnostic horizons. Around Steelpoort red apedal, freely drained soils occur and these deeper soils include Hutton, Bonheim and Steendal soil forms. Land types mainly Ib, Ae, Ic and Fb.</t>
  </si>
  <si>
    <t>FFc1</t>
  </si>
  <si>
    <t>Swellendam Silcrete Fynbos</t>
  </si>
  <si>
    <t>Southern Fynbos Bioregion</t>
  </si>
  <si>
    <t xml:space="preserve">Western Cape Province: Relatively large patches on southern foothills of the Langeberg from around Swellendam to north of Dekriet/Soutpan (between Riversdale and Albertinia), becoming highly fragmented between Albertinia and the southern side of Robinson Pass to around Molenrivier (north of Klein-Brak River). </t>
  </si>
  <si>
    <t>Mainly undulating hills on the coastal forelands, the remains of the old African surface</t>
  </si>
  <si>
    <t xml:space="preserve"> MAP 320–860 mm (mean: 520 mm), with no clear peak, but a low in December–January. Mean daily maximum and minimum temperatures 28°C and 5.5°C for January and July, respectively. Frost incidence about 3 days per year. See also climate diagram for FFc 1 Swellendam Silcrete Fynbos (Figure 4.83).</t>
  </si>
  <si>
    <t>Silcrete and conglomerate with dry, shallow, loamy sand of Houwhoek form. Land types mainly Db and Gb.</t>
  </si>
  <si>
    <t>FFf2</t>
  </si>
  <si>
    <t>Potberg Ferricrete Fynbos</t>
  </si>
  <si>
    <t xml:space="preserve">Western Cape Province: Northern and western lowermost slopes of Potberg Mountain from Potberg to Poortsrivier and bordered on the north by the Breede River from Diepkloof eastwards. </t>
  </si>
  <si>
    <t xml:space="preserve">Slight slopes and moderately undulating plains perched on the northern slopes below Potberg. </t>
  </si>
  <si>
    <t>MAP 300–540 mm (mean: 455 mm), with no clear peak but a low from December to February. Mean daily maximum and minimum temperatures 26.0°C and 6.2°C for January–February and July, respectively. Frost incidence about 3 days per year. See also climate diagram for FFf 2 Potberg Ferricrete Fynbos (Figure 4.83).</t>
  </si>
  <si>
    <t>Ferricrete with dry, shallow loamy sand; also silcrete and Ordovician sandstone of the Table Mountain Group (Cape Supergroup) colluvium over shales. Shallow stony soils and sandy loams derived from shale. Rounded ferricrete stones, gravel and cobble covering the surface are locally called ‘koffieklip’ due to their brown colour. They are considered to be remains of the old African surface. Land types mainly Db, Fc, Fa and Fb.</t>
  </si>
  <si>
    <t>FFq3</t>
  </si>
  <si>
    <t>Matjiesfontein Quartzite Fynbos</t>
  </si>
  <si>
    <t>Western Cape Province: A complex of ridges and low mountains mostly in the Western Little Karoo extending from Saalberg near Karoopoort and Skulpiesklip in the west to Elandsberg near the Gamkapoort Dam in the east. This includes parts of the Bontberg, Voetpadsberg and Koegaberge in the vicinity of Touws River, the Witteberg south of Matjiesfontein including many ridges between the Witteberg and Anysberg, and the higher ridges north of, and running parallel to, the Klein Swartberg. Also between Ouberg Pass and Gatskraal (Mont Eco) west of Warmwaterberg and on hill summits around Ladismith, including Ladismith Hill. .</t>
  </si>
  <si>
    <t>Low flat mountains and parallel ridges in a west-east orientation</t>
  </si>
  <si>
    <t>MAP 150–450 mm (mean: 320 mm), peaking slightly from May to August. Mean daily maximum and minimum temperatures 27.5°C and 2.2°C for February and July, respectively. Frost incidence 10–40 days per year. See also climate diagram for FFq 3 Matjiesfontein Quartzite Fynbos (Figure 4.51).</t>
  </si>
  <si>
    <t>Sandy and skeletal soils derived from Witteberg Group quartzites. Land types mainly Ic, Ib and Fc.</t>
  </si>
  <si>
    <t>NKu3</t>
  </si>
  <si>
    <t>Northern Upper Karoo</t>
  </si>
  <si>
    <t>Northern Cape and Free State Provinces: Northern regions of the Upper Karoo plateau from Prieska, Vosburg and Carnarvon in the west to Philipstown, Petrusville and Petrusburg in the east. Bordered in the north by Niekerkshoop, Douglas and Petrusburg and in the south by Carnarvon, Pampoenpoort and De Aar. A few patches occur in Griqualand West.</t>
  </si>
  <si>
    <t>Flat to gently sloping, with isolated hills of Upper Karoo Hardeveld in the south and Vaalbos Rocky Shrubland in the northeast and with many interspersed pans.</t>
  </si>
  <si>
    <t>Rainfall peaks in autumn (March). MAP ranges from about 190 mm in the west to 400 mm in the northeast. Mean maximum and minimum monthly temperatures for Britstown are 37.9°C and –3.6°C for January and July, respectively. Corresponding values are 37.1°C and –4.8°C for De Aar and 39.0°C and –2.3°C for Kareekloof (northwest of Strydenburg). See also climate diagram for NKu 3 Northern Upper Karoo (Figure 7.2).</t>
  </si>
  <si>
    <t>Shales of the Volksrust Formation and to a lesser extent the Prince Albert Formation (both of the Ecca Group) as well as Dwyka Group diamictites form the underlying geology. Jurassic Karoo Dolerite sills and sheets support this vegetation complex in places. Wide stretches of land are covered by superficial deposits including calcretes of the Kalahari Group. Soils are variable from shallow to deep, red-yellow, apedal, freely drained soils to very shallow Glenrosa and Mispah forms. Mainly Ae, Ag and Fc land types.</t>
  </si>
  <si>
    <t>SVkd4</t>
  </si>
  <si>
    <t>Nossob Bushveld</t>
  </si>
  <si>
    <t>Kalahari Duneveld Bioregion</t>
  </si>
  <si>
    <t xml:space="preserve">Northern Cape Province: Strip of duneveld west of the Nossob River from Nossob Camp area to Union’s End as well as some patches (for exam- ple in the vicinity of the waterpoint of Dankbaar) in the far northern parts of the Kgalagadi Transfrontier Park. </t>
  </si>
  <si>
    <t>Namibia, Botswana</t>
  </si>
  <si>
    <t>Open bushveld on plains</t>
  </si>
  <si>
    <t>Summer and autumn rainfall with very dry winters. MAP about 200–300 mm. Frost fairly frequent to frequent in winter. Mean monthly maximum and minimum temperatures for Nossob Rest Camp 39.9°C and –6.2°C for December and July, respectively. See also climate diagram for SVkd 4 Nossob Bushveld.</t>
  </si>
  <si>
    <t>Aeolian sand  of the Kalahari forming undulating dunes. Soil of the Namib soil form. Dominant land type Af.</t>
  </si>
  <si>
    <t>SKv14</t>
  </si>
  <si>
    <t>Steytlerville Karoo</t>
  </si>
  <si>
    <t xml:space="preserve">Eastern Cape Province: Valley bottoms delimited by the Grootrivierberge in the north and Baviaanskloof Mountains in the south, spanning Willowmore in the west and the surrounds of the confluence of the Groot and Haaspoort Rivers in the west. </t>
  </si>
  <si>
    <t xml:space="preserve">Flat lowland regions interrupted by a series of low hills </t>
  </si>
  <si>
    <t>Aseasonal, but clearly bimodal precipitation climate with a major peak in March and another marked precipitation increase between October and December. MAP is almost 220 mm, which can be ascribed to the macrolandscape position of the unit located in a rainshadow valley. MAT 17°C, with 22 frost days per year. See also climate diagram for SKv 14 Steytlerville Karoo (Figure 5.65).</t>
  </si>
  <si>
    <t>The area is dominated by Traka Subgroup shale and minor sandstone (of the Bokkeveld Group) together with lesser quartzite and shale of the Witteberg Group (Cape Supergroup), and supports (in places) deep loamy-sandy soils. Ag is the dominant land form, followed by Fc land form, both making up almost 100% of the area.</t>
  </si>
  <si>
    <t>FS5</t>
  </si>
  <si>
    <t>Langebaan Dune Strandveld</t>
  </si>
  <si>
    <t>West Strandveld Bioregion</t>
  </si>
  <si>
    <t xml:space="preserve">Western Cape Province: This strandveld occurs in three large disconnected patches: one is a narrow coastal strip from Elands Bay to the mouth of the Great Berg River at Velddrif, the second one covers parts from Britannia Bay past Paternoster to Danger Bay near Saldanha Bay, while the last one surrounds Langebaan Lagoon from the north on the Langebaan Peninsula at Donkergat west of the lagoon and Langebaan, east of the lagoon, via Geelbek to Yzerfontein continuing as a very narrow strip along the West Coast seaboard as far south as Silverstroomstrand at Bokbaai (west of Atlantis). </t>
  </si>
  <si>
    <t xml:space="preserve">Flat to slightly undulating old coastal dune systems and stabilised inland duneveld </t>
  </si>
  <si>
    <t>Mainly cyclonic rainfall varying from approximately 230 mm in the north to 355 mm in the south, almost exclusively in winter and accompanied by frequent and strong northwesterly winds and cooler temperatures. Mean daily maximum and minimum temperatures 26.1°C and 7.8°C for February and July, respectively. Mean monthly maximum and minimum temperatures for Cape Columbine 29.8°C and 6.1°C for March and July, respectively. Southeasterly winds prevail in summer. Fog and dew contribute to the moisture in summer and autumn (especially in the northern part of the unit). Frost an infrequent phenomenon. See also climate diagram for FS 5 Langebaan Dune Strandveld (Figure 4.128).</t>
  </si>
  <si>
    <t>Deep Tertiary to Recent sands and calcrete of marine origin. Dominant land types Hb (slightly prevailing), Fc and Ha.</t>
  </si>
  <si>
    <t>SKk8</t>
  </si>
  <si>
    <t>Piketberg Quartz Succulent Shrubland</t>
  </si>
  <si>
    <t xml:space="preserve">Western Cape Province: Piketberg area, larger patch on the Farm Draaihoek between Piketberg and Eendekuil (at eastern foothills of the Piketberg Mountains), in the vicinity of Het Kruis and Redelingshuys (north of Piketberg Mountains) as well as near Sauer at the southwestern foot of the Piketberg Mountains. </t>
  </si>
  <si>
    <t xml:space="preserve">Elevated sites (hummocks) with deeper soils </t>
  </si>
  <si>
    <t>Low, winter-rainfall precipitation regime (most of the rain falls between May and August, with small peaks in June and August). The area is largely in the local rainshadow of the Piketberg Mountains and located within the already generally dry West Coast region—MAP is only about 270 mm and potential evaporation is very high. The local climate is mild (only 4 frost days per year on average) and MAT (18°C) clearly suggests the classification of the unit as warm-temperate. See also climate diagram for SKk 8 Piketberg Quartz Succulent Shrubland (Figure 5.53).</t>
  </si>
  <si>
    <t>This small area is entirely situated on the Porterville Formation (Boland Subgroup) of the Malmesbury Group (Namibian Erathem). Weathering of softer shales left behind hard quartzitic veins which, after disintegration, form an almost continuous quartzite rubble layer. The area is exclusively classified as Db land type.</t>
  </si>
  <si>
    <t>B1i_rod, B2i_rod</t>
  </si>
  <si>
    <t>FFh8</t>
  </si>
  <si>
    <t>Montagu Shale Fynbos</t>
  </si>
  <si>
    <t xml:space="preserve">Western Cape Province: A fragmented unit from the western Little Karoo at relatively high altitudes north of the Langeberg Mountains from Keerom to Langkloof east of Garcia’s Pass (north of Riversdale). Includes parts of The Koo, Ouberg Pass area (between Montagu and Ladismith), Kleinberg (MontEco) and Wildehondskloofhoogte (between Montagu and Barrydale). </t>
  </si>
  <si>
    <t>Moderately undulating uplands and undulating foothills to steep mountains</t>
  </si>
  <si>
    <t>Rainfall at the edge of semi-aridity, with MAP 240–800 mm (mean: 375 mm), peaking slightly in winter. Mean daily maximum and minimum temperatures 25.9°C and 3.4°C for January–February and July, respectively. Frost incidence 10–30 days per year. See also climate diagram for FFh 8 Montagu Shale Fynbos (Figure 4.68).</t>
  </si>
  <si>
    <t>Acidic, moist clay-loamy Glenrosa and Mispah forms derived from Bokkeveld Group shales. Land types mainly Fc and Fb.</t>
  </si>
  <si>
    <t>FFg4</t>
  </si>
  <si>
    <t>Robertson Granite Fynbos</t>
  </si>
  <si>
    <t xml:space="preserve">Western Cape Province: Confined to southern foothills of the Langeberg, namely the higher parts of Tierberg northwest of Robertson and the Langeberg from the Kabous River at Bergenheim to Bakoondshoogte west of Swellendam. </t>
  </si>
  <si>
    <t xml:space="preserve">Steep, undulating hills </t>
  </si>
  <si>
    <t>MAP 190–1 000 mm (mean: 505 mm), peaking from May to August. Mean daily maximum and minimum temperatures 27.8°C and 4.0°C for January–February and July, respectively. Frost incidence 5–10 days per year. See also climate diagram for FFg 4 Robertson Granite Fynbos (Figure 4.92).</t>
  </si>
  <si>
    <t>Deep loamy sands, Glenrosa and Mispah forms, derived from Cape Granites (Robertson and Dassenheuwel Plutons of Cambrian age). Land types mainly Fb and Fa.</t>
  </si>
  <si>
    <t>FRs6</t>
  </si>
  <si>
    <t>Matjiesfontein Shale Renosterveld</t>
  </si>
  <si>
    <t xml:space="preserve">Western Cape Province: From De Doorns and the top of the Theronsberg Pass in the west to Gamka Poort in the east, remaining north of the Waboomberg and Warmwaterberg in the Little Karoo and north of the Anysberg and Groot Swartberg and positioned south of the Tanqua Karoo, the Grootrivier near Matjiesfontein and the Floriskraal Dam southeast of Laingsburg. This type surrounds the many higher elevation ridges of FFq 3 Matjiesfontein Quartzite Fynbos and FFh 2 Matjiesfontein Shale Fynbos. </t>
  </si>
  <si>
    <t>Low mountains, parallel hills and mid-altitude plateaus</t>
  </si>
  <si>
    <t>MAP 150–470 mm (mean: 300 mm), peaking slightly from May to August. Mean daily maximum and minimum temperatures 27.4°C and 2.4°C for February and July, respectively. Frost incidence 10–40 days per year. See also climate diagram for FRs 6 Matjiesfontein Shale Renosterveld (Figure 4.101).</t>
  </si>
  <si>
    <t>Clays and loams derived from Witteberg and Bokkeveld Group shales of the Cape Supergroup; Glenrosa and Mispah forms prominent. Land types mainly Fc, Ic, Ib and Fb.</t>
  </si>
  <si>
    <t>FFh4</t>
  </si>
  <si>
    <t>Breede Shale Fynbos</t>
  </si>
  <si>
    <t xml:space="preserve">Western Cape Province: Breede River and Slanghoek Valleys discontinuously from Tulbagh (Winterhoek ‘Kom’) to Swellendam, on the lower southern slopes of the Groot Winterhoek, Witsenberg, Hex and Langeberg Mountains and at places along the base of the Slanghoekberge and western Badsberg. </t>
  </si>
  <si>
    <t xml:space="preserve">Steep upper slopes below mountains grading to slightly undulating plains, well dissected by rivers. </t>
  </si>
  <si>
    <t>Winter-rainfall climate with MAP 300–1 300 mm (mean: 690 mm), peaking from May to August. Mean daily maximum and minimum temperatures 29.2°C and 4.6°C for February and July, respectively. Frost incidence 3–10 days per year. See also climate diagram for FFh 4 Breede Shale Fynbos (Figure 4.68).</t>
  </si>
  <si>
    <t>Acidic, moist clay-loam, Glenrosa or Mispah forms derived from Bokkeveld Shales, underlain by rocks of the Malmesbury Group. Land types mainly Fa, Fb and Ic.</t>
  </si>
  <si>
    <t>FFs1</t>
  </si>
  <si>
    <t>Bokkeveld Sandstone Fynbos</t>
  </si>
  <si>
    <t>Distribution Northern and Western Cape Provinces: From the Bokkeveld Escarpment in the north along the Kobee and Matsikamma Mountains to the Gifberge between the Doring (Hantams) River (north of Nieuwoudtville) to the Doring (Tankwa) River (south of Klawer).</t>
  </si>
  <si>
    <t>A flat tableland, on the Bokkeveld Escarpment, elsewhere gently sloping to the east and south, without any faulting or folding in the sandstone beds. Major exposures of sandstone are at the edge of the Escarpment and where younger sediments have been removed. Topography resulting from rivers cutting through the resistant sandstone, forming deep gorges (such as Oorlogskloof) in an otherwise flat sandstone landscape. Although the shale bands of the Cedarberg Formation are largely absent, rugged ‘Cederberg’ landscape is formed on the eastern edge, where shale outcrops with flat-topped hills occur (and support outliers of Bokkeveld Sandstone Fynbos on their summits</t>
  </si>
  <si>
    <t>MAP 160–430 mm (mean: 290 mm), peaking May to August. The most arid of the Sandstone Fynbos types. Mean daily maximum and minimum temperatures 30.8°C and 4.0°C for February and July, respectively. Frost incidence 3–10 days per year. See also climate diagram for FFs 1 Bokkeveld Sandstone Fynbos (Figure 4.21).</t>
  </si>
  <si>
    <t>Acidic lithosol soils derived from Ordovician sandstones of the Table Mountain Group (Cape Supergroup), very variable from Glenrosa and Mispah forms to red-yellow apedal to grey regic sands or skeletal. Land types mainly Fa, Ai, Ib and Hb.</t>
  </si>
  <si>
    <t>FFd10</t>
  </si>
  <si>
    <t>Knysna Sand Fynbos</t>
  </si>
  <si>
    <t>Western Cape Province: Garden Route coastal flats from Wilderness, generally to the north of the system of lakes, several patches around the Knysna Lagoon, with more isolated patches eastwards to the Robberg peninsula near Plettenberg Bay.</t>
  </si>
  <si>
    <t xml:space="preserve">Undulating hills and moderately undulating plains </t>
  </si>
  <si>
    <t>MAP 670–1 090 mm (mean: 850 mm), with a slight peak in autumn and spring. Mean daily maximum and minimum temperatures 27.3°C and 7.3°C for February and July, respectively. Frost incidence 2 or 3 days per year. See also climate diagram for FFd 10 Knysna Sand Fynbos (Figure 4.57).</t>
  </si>
  <si>
    <t>Deep, acid Tertiary sand inland of coastal dunes forming regic sands and soils of Lamotte form. Land types mainly Hb and Ga.</t>
  </si>
  <si>
    <t>FFq4</t>
  </si>
  <si>
    <t>Breede Quartzite Fynbos</t>
  </si>
  <si>
    <t xml:space="preserve">Western Cape Province: Southern Breede River Valley from the Brandvlei Dam at Die Nekkies near Worcester to northeast of Bonnievale, but with by far the largest extent on the Hammansberg, Ouhangsberge, Gemsbokkop, Gannaberg and Rooiberg. </t>
  </si>
  <si>
    <t>A single range of parallel ridges and flat-topped hills in the west, and high hills and low mountains in the east</t>
  </si>
  <si>
    <t>MAP 190–550 mm (mean: 320 mm), peaking slightly from May to August. Mean daily maximum and minimum temperatures 28.6°C and 4.7°C for February and July, respectively. Frost incidence 5–8 days per year. See also climate diagram for FFq 4 Breede Quartzite Fynbos (Figure 4.51).</t>
  </si>
  <si>
    <t>Sandy and skeletal soils (Glenrosa and Mispah forms prominent) derived from Witteberg Group quartzites. Land types mainly Ic and Fb.</t>
  </si>
  <si>
    <t>FRs5</t>
  </si>
  <si>
    <t>Central Mountain Shale Renosterveld</t>
  </si>
  <si>
    <t xml:space="preserve">Northern and Western Cape Provinces: Southern and southeastern slopes of the Klein-Roggeveldberge and Komsberg below the Roggeveld section of the Great Escarpment (facing the Moordenaars Karoo) as well as farther east below Besemgoedberg and Suurkop west of Merweville and in the west in the Karookop area between Losper se Berg and high points around Thyshoogte. </t>
  </si>
  <si>
    <t>Slopes and broad ridges of low mountains and escarpments</t>
  </si>
  <si>
    <t>Arid to semi-arid climate. MAP 180–410 mm (mean: 290 mm), with relatively even rainfall, but still showing a slight high in autumn-winter. Mean daily maximum and minimum temperatures 29.9°C and 0.9°C for January and July, respectively. Frost incidence 20–50 days per year. See also climate diagram for FRs 5 Central Mountain Shale Renosterveld (Figure 4.101).</t>
  </si>
  <si>
    <t>Clayey soils overlying Adelaide Subgroup (Beaufort Group of the Karoo Supergroup) mudstones and subordinate sandstones. Glenrosa and Mispah forms are prominent. Land types mainly Ib and Fc.</t>
  </si>
  <si>
    <t>FFq5</t>
  </si>
  <si>
    <t>Grootrivier Quartzite Fynbos</t>
  </si>
  <si>
    <t xml:space="preserve">Western and Eastern Cape Provinces: Ridges north of the Groot Swartberg and Baviaanskloof Mountains, from Prince Albert to Wolwefontein west of Kirkwood, but mainly in the Grootrivierberge mostly north of the Groot River between Willowmore and Steytlerville as well as on the adjoining Witteberg north of the Grootrivierberge. Generally a very narrow strip (&lt; 1 km wide) west of the Boesmanspoortberg at Willowmore. Separated from the most easterly quartzite fynbos unit (FFq 6 Suurberg Quartzite Fynbos) by the Wolwefontein-Baroe Valley. </t>
  </si>
  <si>
    <t>A series of narrow parallel scarps, much broader, higher and more extensive in the west at Witberg</t>
  </si>
  <si>
    <t>MAP 160–560 mm (mean: 330 mm), peaking in March, with a low from June to September. Mean daily maximum and minimum temperatures 30.1°C and 1.4°C for January and July, respectively. Frost incidence 10–30 days per year. See also climate diagram for FFq 5 Grootrivier Quartzite Fynbos (Figure 4.51).</t>
  </si>
  <si>
    <t>Sandy and skeletal soils, often red-yellow, apedal and shallow, derived from Witteberg Group quartzite. Land types mainly Ib, Ag and Ic.</t>
  </si>
  <si>
    <t>FFs17</t>
  </si>
  <si>
    <t>Potberg Sandstone Fynbos</t>
  </si>
  <si>
    <t xml:space="preserve">Western Cape Province: Mainly on the inselberg-like Potberg Mountain south of the lower Breede River to Melkhoutrivier, with an extension on to the flats towards Noetsie and an outlier on the coastal flats at Infanta. </t>
  </si>
  <si>
    <t>Prolonged, moderately steep sandstone coastal inselberg</t>
  </si>
  <si>
    <t>MAP 410–550 mm (mean: 500 mm), fairly evenly throughout the year, but with a low from December to February. Mists covering the ridge are common in summer. Mean daily maximum and minimum temperatures 25.7°C and 6.1°C for January and July, respectively. Frost incidence 2 or 3 days per year. See also climate diagram for FFs 17 Potberg Sandstone Fynbos (Figure 4.21).</t>
  </si>
  <si>
    <t>Acidic lithosol soils derived from Ordovician sandstones of the Table Mountain Group (Cape Supergroup), Glenrosa and Mispah forms are prominent. Land types mainly Ic, Ib and Fb.</t>
  </si>
  <si>
    <t>LC → CR</t>
  </si>
  <si>
    <t>FRs18</t>
  </si>
  <si>
    <t>Baviaanskloof Shale Renosterveld</t>
  </si>
  <si>
    <t xml:space="preserve">Eastern Cape Province: Two relatively small groups of digitally shaped lower hillslopes dissected by many ravines (kloofs) containing AT 3 Groot Thicket on the southern side of the Baviaanskloof Valley from Voorkloof to Vleikloof in the west and from Kleinkommandokloof to Drinkwaterkloof in the east. </t>
  </si>
  <si>
    <t>Flat, lower mountain bases</t>
  </si>
  <si>
    <t>MAP 200–620 mm (mean: 365 mm), even throughout the year, with a peak in March. Mean daily maximum and minimum temperatures 27.9°C and 2.5°C for February and July, respectively. Frost incidence 10–30 days per year. See also climate diagram for FRs 18 Baviaanskloof Shale Renosterveld (Figure 4.101).</t>
  </si>
  <si>
    <t>Often skeletal clays and loams derived from shales of the Nardouw Subgroup (Table Mountain Group). Glenrosa and Mispah forms prominent. Land types mainly Ib and Fb.</t>
  </si>
  <si>
    <t>FFd8</t>
  </si>
  <si>
    <t>Breede Sand Fynbos</t>
  </si>
  <si>
    <t xml:space="preserve">Western Cape Province: Small patches usually in close proximity to the Breede River from the Brandvlei Dam to near Robertson. </t>
  </si>
  <si>
    <t>Very fragmented, occurring as dune plumes and dune seas in the valley bottoms primarily south of the Breede River, and extending up the sides of adjacent hills</t>
  </si>
  <si>
    <t>MAP 230–560 mm (mean: 345 mm), peaking from May to August. Mean daily maximum and minimum temperatures 29.6°C and 5.0°C for February and July, respectively. Frost incidence 3–6 days per year. See also climate diagram for FFd 8 Breede Sand Fynbos (Figure 4.57).</t>
  </si>
  <si>
    <t>Recent aeolian sand accumulations of riverine origin (Breede River). Land types mainly Fc, Bb and Hb.</t>
  </si>
  <si>
    <t>FFa1</t>
  </si>
  <si>
    <t>Kouebokkeveld Alluvium Fynbos</t>
  </si>
  <si>
    <t xml:space="preserve">Western Cape Province: Fringes of the northern Koue Bokkeveld valleys from Op Die Berg (north of Ceres) northwards to Tandfontein and eastwards to Excelsior, extending to the Blinkberg Pass and Winkelhaak. Smaller unmapped patches are also found at north-facing entrances to valleys of the Hex River Mountains. </t>
  </si>
  <si>
    <t>Slightly undulating plains in mountain valleys where alluvium has accumulated alongside rivers and as alluvial fans</t>
  </si>
  <si>
    <t>Winter-rainfall climate with MAP 240–730 mm (mean: 400 mm), peaking from May to August. Mean daily maximum and minimum temperatures 28.0°C and 3.4°C for February and July, respectively. Frost incidence fairly infrequent, 10–30 days per year. This is the driest and coolest of all alluvium fynbos types due to the rainshadow effect and high elevation. See also climate diagram for FFa 1 Kouebokkeveld Alluvium Fynbos (Figure 4.88).</t>
  </si>
  <si>
    <t>Sandy to silty alluvium with small cobbles embedded over Bokkeveld shales. Soils are duplex and dystrophic plinthic catenas and grey regic sands. Land types mainly Ca, Bb and Hb.</t>
  </si>
  <si>
    <t>FFh3</t>
  </si>
  <si>
    <t>Swartberg Shale Fynbos</t>
  </si>
  <si>
    <t xml:space="preserve">Western Cape Province: A very fragmented unit from the southern foothills of the Klein and Groot Swartberge, occurring in isolated pockets from the vicinity of Ladismith to Matjiesrivier and north of the Groot Swartberge around Gideonshoop southwest of Klaarstroom. </t>
  </si>
  <si>
    <t>Steep to gentle slopes below sandstone mountains</t>
  </si>
  <si>
    <t>MAP 210–770 mm (mean: 510 mm), with a bimodal peak in October–November and January–February and a low in winter. Mean daily maximum and minimum temperatures 28.4°C and 4.6°C for February and July, respectively. Frost incidence 2–10 days per year. See also climate diagram for FFh 10 Suurberg Shale Fynbos (Figure 4.68).</t>
  </si>
  <si>
    <t>Acidic, moist clay-loam, Glenrosa or Mispah forms derived from shales of the Bokkeveld Group (Devonian) and the Cango Group (Namibian Erathem). Land types mainly Fc, Fb and Ib.</t>
  </si>
  <si>
    <t>FFh5</t>
  </si>
  <si>
    <t>Cape Winelands Shale Fynbos</t>
  </si>
  <si>
    <t xml:space="preserve">Western Cape Province: Higher hills and lower mountain slopes in the Stellenbosch and Somerset West areas, in patches from Blousteen on Clarence Drive at Koeëlbaai to south of Elsenberg and within the Jonkershoek Valley, with pockets on the Cape Peninsula at Devils Peak, the Tygerberg Hills on Kanonkop, Groenberg near Wellington and the upper Franschhoek Valley. </t>
  </si>
  <si>
    <t>Moderately undulating plains and steep slopes against the mountains</t>
  </si>
  <si>
    <t>MAP 520–1 690 mm (mean: 865 mm), peaking from May to August. This is the shale fynbos unit with the highest rainfall. Mean daily maximum and minimum temperatures 26.4°C and 6.6°C for February and July, respectively. Frost incidence 2 or 3 days per year. See also climate diagram for FFh 5 Cape Winelands Shale Fynbos (Figure 4.68).</t>
  </si>
  <si>
    <t>Acidic, moist clay-loamy, red-yellow apedal and Glenrosa and Mispah forms derived from Malmesbury Shales. Land types mainly Ac, Fa and Ic.</t>
  </si>
  <si>
    <t>B1i_rod, B2i_rod, B1iii_sp, B2iii_sp</t>
  </si>
  <si>
    <t>FFh1</t>
  </si>
  <si>
    <t>Kouebokkeveld Shale Fynbos</t>
  </si>
  <si>
    <t xml:space="preserve">Western Cape Province: Koue Bokkeveld Valley from Waboomrivier and Rosendal (Koue Bokkeveld) to Gydo Pass (north of Ceres), edge of the Warm Bokkeveld from Gydo Pass along the lower slopes of the Gydoberg and Waboomberg to the upland plateau with Klondyke and Muilbergsvlakte, and Agter Witzenberg valleys, from Rosendal (Swartruggens) to Wakkerstroom. </t>
  </si>
  <si>
    <t>Slightly undulating plains and steep slopes in valleys between high mountains</t>
  </si>
  <si>
    <t>MAP 300–920 mm (mean: 570 mm). Mean daily maximum and minimum temperatures 27.1°C and 3.1°C for February and July, respectively. Frost incidence 10–30 days per year. See also climate diagram for FFh 1 Kouebokkeveld Shale Fynbos (Figure 4.68).</t>
  </si>
  <si>
    <t>Acidic, moist clay-loam prismacutanic or pedocutanic soils, derived from Bokkeveld Shales. Land types mainly Db, Fb, Fa, Bb and Ib.</t>
  </si>
  <si>
    <t>FFh9</t>
  </si>
  <si>
    <t>Garden Route Shale Fynbos</t>
  </si>
  <si>
    <t xml:space="preserve">Western and Eastern Cape Provinces: Patches along the coastal foothills of the Langeberg at Grootberg (northeast of Heidelberg), the Outeniqua Mountains from Cloete’s Pass via the Groot Brak River Valley, Hoekwil, Karatara, Barrington and Knysna to Plettenberg Bay. Patches from the Bloukrans Pass along coastal platform shale bands south of the Tsitsikamma Mountains via Kleinbos and Fynboshoek to south of both Clarkson and the Kareedouw Mountains. </t>
  </si>
  <si>
    <t>Undulating hills and moderately undulating plains on the coastal forelands</t>
  </si>
  <si>
    <t>MAP 310–1 120 mm (mean: 700 mm), relatively even throughout the year, but with a slight low in winter. Mean daily maximum and minimum temperatures 27.6°C and 6.5°C for January and July, respectively. Frost incidence 2 or 3 days per year. See also climate diagram for FFh 9 Garden Route Shale Fynbos (Figure 4.68).</t>
  </si>
  <si>
    <t>Acidic, moist clay-loam, prismacutanic and pedocutanic soils derived from Caimans Group and Ecca (in the east) shales. Land types mainly Db and Fa.</t>
  </si>
  <si>
    <t>B1i_rod, B1i_inv</t>
  </si>
  <si>
    <t>FFh11</t>
  </si>
  <si>
    <t>Peninsula Shale Fynbos</t>
  </si>
  <si>
    <t>Western Cape Province: Higher hills and lower mountain slopes on the Cape Peninsula at Devils Peak, mainly on the south and east aspects. Altitude 0–700 m.</t>
  </si>
  <si>
    <t>Steep slopes against the mountains. Higher hills and lower mountain slopes on the Cape Peninsula at Devils Peak, mainly on the south and east aspects</t>
  </si>
  <si>
    <t>0</t>
  </si>
  <si>
    <t xml:space="preserve">Acidic, moist clay-loamy, red-yellow apedal and Glenrosa and Mispah forms derived from Malmesbury Shales. Land types mainly Ac, Fa and Ic. </t>
  </si>
  <si>
    <t>FFh7</t>
  </si>
  <si>
    <t>Greyton Shale Fynbos</t>
  </si>
  <si>
    <t xml:space="preserve">Western Cape Province: South of Riviersonderend and Caledon Swartberg Mountains on higher-altitude shales from Theewaterskloof Dam to Stormsvlei, including the Bergfontein and Spitskop hills north of Caledon. </t>
  </si>
  <si>
    <t>Moderately undulating plains and steep slopes of adjacent mountains</t>
  </si>
  <si>
    <t>Rainfall peaks slightly in winter (August high). MAP 320–710 mm (mean: 485 mm). Mean daily maximum and minimum temperatures 27.6°C and 5.4°C for February and July, respectively. Frost incidence 2 or 3 days per year. See also climate diagram for FFh 7 Greyton Shale Fynbos (Figure 4.68).</t>
  </si>
  <si>
    <t>Acidic, moist clay-loam and colluvium with various, often Glenrosa and Mispah forms, derived from Bokkeveld Group shales, often with Ordovician sandstones of the Table Mountain Group (Cape Supergroup). Land types mainly Fa, Fb and Db.</t>
  </si>
  <si>
    <t>FFs30</t>
  </si>
  <si>
    <t>Western Altimontane Sandstone Fynbos</t>
  </si>
  <si>
    <t>Western Cape Province: Summits and top ridges from around 1 800 m upwards including patches on Jurie se Berg (Sneeukoppe; 1 930 m), Shadow Peak (1 898 m) and Sneeuberg (2 026 m) in the Cederberg, Sneeukop (2 071 m) in Skurweberge, Groot Winterhoek Peak (2 078 m), Eureka Peak (1 987 m), Medina Peak (1 905 m) and Sneeugat Peak (1 884 m), Groot Winterhoek, as well as a series of larger patches along the Hex River Mountains on Mosterthoek Twins (2 030 m), Waaihoek Peak (1 948 m), Mount Superior (1 913 m), Fonteintjiesberg (1 989 m), Sentinel Peak (1 939 m), Buffelshoek Peak (2 059 m), Milner Peak (1 995 m), Groothoek Peak (2 099 m), Rooiberg (2 209 m), Sonkliprug (2 100 m) and Matroosberg (2 249 m). This unit includes Keeromsberg (2 071 m) situated in the extreme west of the Langeberg as well as Du Toits Peak (1 994 m) in the Du Toitsberge.</t>
  </si>
  <si>
    <t>High-altitude summit peaks, generally fragmented and localised, but relatively extensive in the Hex River Mountains.</t>
  </si>
  <si>
    <t>MAP generally 450–3 140 mm (mean: 1 385 mm), peaking May to August. Mean daily maximum and minimum temperatures 22.9°C and 0.1°C for February and July, respectively. Microclimatical measurements at altitudes of about 1 900 m on Waaihoek Peak (Boelhouwers 1998) revealed that diurnal frost cycles occur from May to September. The annual precipitation totals 2 488 mm at Waaihoek Peak, 77% of which falls during the freeze/thaw season. Presence of snow estimated to occur on 31 days per year. Unlike on shale (see a note under FFb 2), despite 74 frost days a year at Waaihoek Peak, no evidence in favour of soil needle-ice formation observed. See also climate diagram for FFs 30 Western Altimontane Sandstone Fynbos (Figure 4.21).</t>
  </si>
  <si>
    <t>Skeletal and rocky acidic lithosol soils derived from Ordovician sandstones of the Table Mountain Group (Cape Supergroup). Land types mainly Ic and Ib.</t>
  </si>
  <si>
    <t>NKb4</t>
  </si>
  <si>
    <t>Bushmanland Sandy Grassland</t>
  </si>
  <si>
    <t xml:space="preserve">Northern Cape Province: Surrounds of Aggeneys (northern Bushmanland) and a few isolated patches south of Copperton on the eastern edge of the Bushmanland Basin suggesting the course of the paleoriverine system of the Orange River and its tributaries. The largest continuous patch of this vegetation type fills the shallow valley of the intermittent Koa River southeast and west of Aggeneys. </t>
  </si>
  <si>
    <t>Major rainfall peak between February and April and a minor peak in November. MAP ranges from about 70–110 mm. See also climate diagram for NKb 4 Bushmanland Sandy Grassland (Figure 7.2).</t>
  </si>
  <si>
    <t>Mostly Quaternary sediments (sand, calcrete) with some contribution of the pre-Pleistocene Kalahari Group sediments in the east. Typically the surface is covered by red sands &gt;300 mm deep, forming dunes in places. Af land type dominates.</t>
  </si>
  <si>
    <t>FRs15</t>
  </si>
  <si>
    <t>Swartberg Shale Renosterveld</t>
  </si>
  <si>
    <t xml:space="preserve">Western and Eastern Cape Provinces: Mainly northern slopes of the Groot Swartberg and some parallel ridges in the Oukloof and Droëkloof from near Prince Albert in the west to Vartjiesrivier in the east; an outlier further west on the Swartberg in the upper reaches of the Waterkloofrivier catchment between Elandspad and Kliphuisvlei (above and east of Gamkaskloof or Die Hel). </t>
  </si>
  <si>
    <t xml:space="preserve">Steep and gentle intermontane valleys </t>
  </si>
  <si>
    <t>MAP 500–1 140 mm (mean: 815 mm), relatively even with a bimodal peak in March and August–November. Mean daily maximum and minimum temperatures 25.1°C and 7.0°C for January–February and July, respectively. Frost incidence 0–20 days per year. See also climate diagram for FFb 6 Eastern Coastal Shale Band Vegetation (Figure 4.77).</t>
  </si>
  <si>
    <t>The soils derived from several shale sources within the Table Mountain Group (particularly the Nardouw Subgroup) as well as the Witteberg and Bokkeveld Groups of the Cape Supergroup that underlie this area. Prismacutanic and pedocutanic and Glenrosa or Mispah forms are prominent. Land types mainly Ib, Ic and Fc.</t>
  </si>
  <si>
    <t>FRs17</t>
  </si>
  <si>
    <t>Langkloof Shale Renosterveld</t>
  </si>
  <si>
    <t xml:space="preserve">Western and Eastern Cape Provinces: Narrow belt from Herold on the northern side of the Outeniqua Mountains to Kykoe, then descending along the upper reaches of the Keurbooms River Valley, south of the Prince Alfred Pass, to Vleitjie se Berg; in the Langkloof Valley from Harmonie via Avontuur to Haarlem and further from Krakeelrivier via Joubertina and Kareedouw to Salielaagte. Small outlier at Brandhoek northeast of Joubertina. </t>
  </si>
  <si>
    <t xml:space="preserve">Intermontane valleys and lower slopes </t>
  </si>
  <si>
    <t>MAP 280–770 mm (mean: 505 mm), relatively even with a bimodal peak in March and October–November. Mean daily maximum and minimum temperatures 27.9°C and 4.6°C for January–February and July, respectively. Frost incidence 2–10 days per year. See also climate diagram for FRs 17 Langkloof Shale Renosterveld (Figure 4.101).</t>
  </si>
  <si>
    <t>A very narrow east-west distribution of clays and loams derived from shales of the Nardouw Subgroup of the Table Mountain Group as well as the Ceres Subgroup of the Bokkeveld Group. Prismacutanic and pedocutanic and Glenrosa and Mispah forms are prominent. Land types mainly Db, Fa and Bb.</t>
  </si>
  <si>
    <t>FRs16</t>
  </si>
  <si>
    <t>Uniondale Shale Renosterveld</t>
  </si>
  <si>
    <t>Western and Eastern Cape Provinces: Little Karoo from Sebrasfontein (south of Oudtshoorn) to Uniondale on the northern slopes of the Outeniqua Mountains, lower southern slopes of the Kammanassie Mountains, northern slopes of the western end of the Kouga Mountains as well as ridges, plateaus and valleys to Willowmore in the north; a few outliers in the Grootrivierberge, west of Naroegas Poort.</t>
  </si>
  <si>
    <t>MAP 170–660 mm (mean: 350 mm), even throughout the year with a slight peak in March. Mean daily maximum and minimum temperatures 29.6°C and 2.4°C for January and July, respectively. Frost incidence 10–40 days per year. See also climate diagram for FRs 16 Uniondale Shale Renosterveld (Figure 4.101).</t>
  </si>
  <si>
    <t>Clays and loams derived from Bokkeveld (and Witteberg) Group shales. Glenrosa and Mispah forms prominent. Land types mainly Fc and Fb.</t>
  </si>
  <si>
    <t>SVl12</t>
  </si>
  <si>
    <t>Kaalrug Mountain Bushveld</t>
  </si>
  <si>
    <t xml:space="preserve">Mpumalanga Province and slightly into Swaziland: Mountain slopes and hills from Barberton in the west continuing eastwards south of the Kaaps River and lower Crocodile River. Also including the lower slopes of Three Sisters and Kaalrug to the area of One Tree Hill and Wilson’s Kop in the east. </t>
  </si>
  <si>
    <t>Often steep or very broken mountain slopes at altitudes lower than the Gm 17 Barberton Montane Grassland.</t>
  </si>
  <si>
    <t>Summer rainfall with dry winters. MAP from about 650 mm on the footslopes of the mountains to about 1 200 mm where it borders grassland at higher altitudes. Frost infrequent to occasional at higher altitudes. See also climate diagram for SVl 12 Kaalrug Mountain Bushveld.</t>
  </si>
  <si>
    <t>Rocky mountains of schists, gneiss, shale and quartzite of the Figtree, Moodies, and Onverwacht Groups of the Barberton Greenstone Belt. Also basaltic lava including the granodiorite of the Salisburykop Pluton. Soils shallow, mainly Glenrosa and Mispah forms, with some areas of vertic, melanic clays along lowest edges. Land types Fb, Fa and Ea.</t>
  </si>
  <si>
    <t>SKs11</t>
  </si>
  <si>
    <t>Namaqualand Arid Grassland</t>
  </si>
  <si>
    <t xml:space="preserve">Northern Cape Province: Namaqualand, northwest of Soebatsfontein and patches south of Kliprand. Smaller patches also scattered within the Namaqualand Blomveld (these were not mapped due to small extent). </t>
  </si>
  <si>
    <t>Flat to slightly undulating plains</t>
  </si>
  <si>
    <t>Winter-rainfall area with MAP of 131 mm, with almost all the rainfall between May and August. Due to the inland position of the unit, some frost days per year can be recorded. The lowest temperatures in winter range from 5–10ºC, while the highest temperatures in summer are between 25ºC and just higher than 30ºC. See also climate diagram for SKs 11 Namaqualand Arid Grassland (Figure 5.39).</t>
  </si>
  <si>
    <t>Quaternary aeolian, deep, coarse, loose, red sands overlying granitic-gneiss of the Stalhoek Complex as well as clastic sediments of the Knersvlakte Subgroup of the Vanrhynsdorp Group. Ag land type dominates the landscape and Ah and Ae land types make a small contribution.</t>
  </si>
  <si>
    <t>Gm10</t>
  </si>
  <si>
    <t>Egoli Granite Grassland</t>
  </si>
  <si>
    <t xml:space="preserve">Gauteng Province: Johannesburg Dome extending in the region between northern Johannesburg in the south, and from near Lanseria Airport and Centurion (south of Pretoria) to the north, westwards to about Muldersdrif and eastwards to Tembisa. </t>
  </si>
  <si>
    <t xml:space="preserve">Moderately undulating plains and low hills </t>
  </si>
  <si>
    <t>Strongly seasonal summer-rainfall region, with very dry winters. MAP 620–800 mm (overall average 680 mm). The coefficient of variation in MAP from 24–27% across the unit. Incidence of frost frequent, but higher in the south than the north. See also climate diagram for Gm 10 Egoli Granite Grassland (Figure 8.36).</t>
  </si>
  <si>
    <t>Archaean granite and gneiss of the Halfway House Granite at the core of the Johannesburg Dome supporting leached, shallow, coarsely grained, sandy soil poor in nutrients of Glenrosa form. Small area is built by ultramafics. Dominant land types Bb and Ba.</t>
  </si>
  <si>
    <t>FOz8</t>
  </si>
  <si>
    <t>Sand Forest</t>
  </si>
  <si>
    <t>Zonal &amp; Intrazonal Forests</t>
  </si>
  <si>
    <t>Forests</t>
  </si>
  <si>
    <t xml:space="preserve">KwaZulu-Natal Province and Mozambique: Occurring in a broad and highly fragmented belt in South Africa from False Bay Park (Greater St Lucia Wetland Park) in the south to the national border with Mozambique (Tembe Elephant Park and Ndumo Game Reserve). The main distribution of this forest is in Maputaland, where still reasonably extensive patches of this forest can be encountered. Special thicket communities, ?oristically very close to the Maputaland sand forest, are found in the northern part of the Kruger National Park—here imbedded within Nwambyia and Pumbe sandvelds. </t>
  </si>
  <si>
    <t>Grey to orange-brown (Maputaland), and dull brown/red-brown (Kruger National Park), deep arenosols and dystric (strongly leached) regosols; soils contain very little clay and are acidic. In Maputaland these soils develop on ancient (up to 3 myr old; Ndumo Hill cordon is up 5 myr old) mega-dune systems (crests, slopes and rarely also inter-dune depressions) of the Maputaland and Zululand Groups.</t>
  </si>
  <si>
    <t>Gm16</t>
  </si>
  <si>
    <t>KaNgwane Montane Grassland</t>
  </si>
  <si>
    <t xml:space="preserve">Mpumalanga and Swaziland, and marginally into northern KwaZulu-Natal: Occurs along the gentle slopes of the Escarpment, from the Phongolo Valley in the south, northwards to the Usutu Valley and to the uppermost Lomati Valley near Carolina, including the western grassland areas of Swaziland. </t>
  </si>
  <si>
    <t>Largely comprised of undulating hills and plains that occur on the eastern edge of the Escarpment</t>
  </si>
  <si>
    <t>Early summer rainfall, with MAP 910 mm, ranging between 800 and 1 250 mm. This unit has a wide range of frost frequency (3–20 days per year), with most frost days occurring in the western regions. See also climate diagram for Gm 16 KaNgwane Montane Grassland (Figure 8.36).</t>
  </si>
  <si>
    <t>Mostly on granite of the Mpuluzi Granite (Randian Erathem), Archaean gneiss giving rise to melanic soils, with intrusions of diabase. Land types Ac, Fa and Ba.</t>
  </si>
  <si>
    <t>SVcb20</t>
  </si>
  <si>
    <t>Makhado Sweet Bushveld</t>
  </si>
  <si>
    <t xml:space="preserve">Limpopo Province: Straddling the Tropic of Capricorn, occurs on the plains south of the Soutpansberg, east of the Waterberg and on the apron surrounding the Blouberg and Lerataupje Mountains, and north of the Polokwane Plateau and west of the escarpment, with extensions to Mokopane to the south and to the north near Vivo. </t>
  </si>
  <si>
    <t>Slightly to moderately undulating plains sloping generally down to the north, with some hills in the southwest.</t>
  </si>
  <si>
    <t>Summer rainfall with very dry winters. MAP about 350–550 mm. Frost fairly infrequent. Mean monthly maximum and minimum temperatures for Mara-Agr 36.5°C and –0.8°C for November and June, respectively. See also climate diagram for SVcb 20 Makhado Sweet Bushveld.</t>
  </si>
  <si>
    <t>The area is underlain by the gneisses and migmatites of the Hout River Gneiss (Randian Erathem) and the potassium-deficient gneisses of the Goudplaats Gneiss (Swazian Erathem). Sandstones and mudstones of the Matlabas Subgroup (Mokolian Waterberg Group) are also found. Soils include deep, greyish sands, eutrophic plinthic catenas, red-yellow apedal freely drained soils with high base status, clayey in bottomlands. Land types mainly Bd, Bc, Ae and Ia.</t>
  </si>
  <si>
    <t>FOz4</t>
  </si>
  <si>
    <t>Northern Mistbelt Forest</t>
  </si>
  <si>
    <t>T2</t>
  </si>
  <si>
    <t>T2.4</t>
  </si>
  <si>
    <t xml:space="preserve">Limpopo and Mpumalanga Provinces as well as in Swaziland: Occurring along the Soutpansberg from Blouberg in the northwest to the Samandou Plateau in the northeast and further southwards (along the Northern Escarpment) from Abel Erasmus Pass (Olifants River) to the surroundings of Badplaas and Barberton. In northern Swaziland in ?re refugia and cooler sheltered areas along a north-south trending lowveld/highveld transition. </t>
  </si>
  <si>
    <t>Highly weathered, clayey soils mainly of Avalon and Hutton soil forms, derived from shales (Pretoria Group), quartzite (Black Reef Formation), dolomite (Chuniespoort Group), granite (Nelspruit Basement) and diabase (Mokolian intrusives).</t>
  </si>
  <si>
    <t>FFd1</t>
  </si>
  <si>
    <t>Namaqualand Sand Fynbos</t>
  </si>
  <si>
    <t xml:space="preserve">Western and Northern Cape Provinces: Coastal plains with a well-separated patch between Kommagas and Koingnaas in the north, and a series of patches south of the Spoeg River, to the Olifants River near Koekenaap extending to close (around 2 km) to the coast at places, for example near Geelwal and Ruitersvlei. </t>
  </si>
  <si>
    <t xml:space="preserve">Slightly undulating plains comprising both isolated streets and dune fields of aeolian sand. </t>
  </si>
  <si>
    <t>Winter-rainfall regime, with very low precipitation (MAP 70–150 mm; mean: 105 mm), peaking between May and August. This is the driest of all fynbos types, with less than half the rainfall of the driest classical sand fynbos types, and almost qualifying as desert but with probably multiple alternative sources of water. Dense mists are common in winter and may contribute significantly to precipitation. Thicker deposits of sand (dunes) allow for water storage and some localised water aquifers occur. Mean daily maximum and minimum temperatures 28.4°C and 7.0°C for February and July, respectively. Very low frost incidence (1 or 2 days per year). See also climate diagram for FFd 1 Namaqualand Sand Fynbos (Figure 4.57).</t>
  </si>
  <si>
    <t>Aeolian, deep, loose, red sand overlying marine or other sediments. Land types mainly Ah, Hb and Ai.</t>
  </si>
  <si>
    <t>FFs31</t>
  </si>
  <si>
    <t>Swartberg Altimontane Sandstone Fynbos</t>
  </si>
  <si>
    <t>Western Cape Province: Altitudes above 1 800 m on sandstone, from a high plateau (1 933 m) west of Towerkop, Towerkop (2 189 m), Toringberg (2 127 m) and from here stretching eastwards continuously along a long ridge culminating in the highest point in the Fynbos Biome, namely Seweweekspoort Peak (2 325 m) also occurring on the peak (1 999 m) east of the Poort, all in the Klein Swartberg Mountains. Further patches occur along the Groot Swartberg Mountains from the ridge of the Kangoberg (2 034 m) to Waboomberg (1 942 m), via various other high points including Tierberg (1 948 m) as far as Blesberg (2 084 m) in the east. The summit(s) of Mannetjiesberg (1 955 m) in the Kammanassie Mountains probably also carries this vegetation type (not mapped).</t>
  </si>
  <si>
    <t>High-altitude summit peaks</t>
  </si>
  <si>
    <t xml:space="preserve"> MAP 310–900 mm (mean: 585 mm), peaking slightly in March, but relatively even with a low from December to February. Mean daily maximum and minimum temperatures 23.6°C and –1.1°C for January and July, respectively. Frost incidence 10–30 days per year. See also climate diagram for FFs 31 Swartberg Altimontane Sandstone Fynbos (Figure 4.21).</t>
  </si>
  <si>
    <t>Skeletal and rocky acidic lithosol soils derived from Ordovician sandstones of the Table Mountain Group (Cape Supergroup). Narrow shale bands run across some ridges in both the Klein and Groot Swartberg. Land types mainly Ic and Ib.</t>
  </si>
  <si>
    <t>Dg4</t>
  </si>
  <si>
    <t>Kwaggarug Mountain Desert</t>
  </si>
  <si>
    <t xml:space="preserve">South of the Springbokvlakte sheet wash plain and north of the Rosyntjieberge. It includes the Kwaggarug Mountain, the lower slopes of Mount Terror and most of the catchment of the Oudannisiep River. The unit borders on SKr 8 Rosyntjieberg Succulent Shrubland of the Succulent Karoo Biome to the south. </t>
  </si>
  <si>
    <t>Patchy mosaic of isolated hills and mountains, surrounded by limited plains of sheet wash character</t>
  </si>
  <si>
    <t>MAP about 45–70 mm. Transitional, highly variable climate between winter and summer rainfall. No significant occurrence of fog. High summer maximum temperature can reach up to 50°C. Frost is very rare, but occurs at high altitudes.</t>
  </si>
  <si>
    <t>Metavolcanics and metasediments (including quartzite) of the Mokolian Orange River Group are most abundant (both the De Hoop Subgroup and Rosyntjieberg Formation are represented). Dwyka diamictite is also present and the Vioolsdrif Suite occurs on the northern and western fringes of the area. Very rocky, with little developed soils or no soil cover. Sands are found in sheet washes and on valley bottoms. Land type Ic.</t>
  </si>
  <si>
    <t>Gs14</t>
  </si>
  <si>
    <t>Mthatha Moist Grassland</t>
  </si>
  <si>
    <t xml:space="preserve">Eastern Cape Province: Plains between Mthatha and Butterworth parallel to the coastline and excluding the river valleys that intrude landwards into this unit. </t>
  </si>
  <si>
    <t>Undulating plains and hills</t>
  </si>
  <si>
    <t>Summer rainfall, with MAP 600–970 mm. The coefficient of variation of MAP 25–30% across the unit, but drops to approximately 15% on the southeast-facing inland mountain slopes. Incidence of frost 2–14 days, but is higher further from the coast. See also climate diagram for Gs 14 Mthatha Moist Grassland (Figure 8.61).</t>
  </si>
  <si>
    <t>Mudstones of the Tarkastad and Adelaide Subgroups (Beaufort Group, Karoo Supergroup) underlie this area, with highly leached soils typical of the Fa land type.</t>
  </si>
  <si>
    <t>AZs3</t>
  </si>
  <si>
    <t>Subtropical Dune Thicket</t>
  </si>
  <si>
    <t>Eastern Strandveld</t>
  </si>
  <si>
    <t>MT2</t>
  </si>
  <si>
    <t>MT2.1</t>
  </si>
  <si>
    <t>Eastern Cape and KwaZulu-Natal Provinces (further north also in Mozambique): Coastal dune cordons along the subtropical coasts of the Indian Ocean between Kei Mouth and the KwaZulu-Natal/Mozambique international border.</t>
  </si>
  <si>
    <t xml:space="preserve">coastal dune </t>
  </si>
  <si>
    <t xml:space="preserve">Characterised by relatively high MAP (1 028 mm) and a high probability of rain any time of the year (with pronounced higher rainfall in all seasons, except for the winter months of June and July. Subtropical thermal regime with MAT 19.0°C and no incidence of frost. </t>
  </si>
  <si>
    <t>Recent dunes overlying calcretes as well as Maputaland Group calcareous sandstones and shallow marine deposits.</t>
  </si>
  <si>
    <t>Gd2</t>
  </si>
  <si>
    <t>Amathole Mistbelt Grassland</t>
  </si>
  <si>
    <t xml:space="preserve">Eastern Cape Province: On the highest ridges of the Winterberg, Katberg, Amathole and Kologha ranges. </t>
  </si>
  <si>
    <t xml:space="preserve">Mountains and moderately undulating slopes below peaks, often with ridges of rock or boulder outcrops. </t>
  </si>
  <si>
    <t>Bimodal spring-autumn rainfall pattern although rain can fall at any time of the year, and it increases from west to east as well as with increasing elevation. Coefficient of variation in MAP from 15–29% across the unit. MAP 550–1 100 mm (overall regional average 750 mm). Precipitation supplemented by orographically induced precipitation (mist and drizzle). MAT of 13°C indicates a cool-temperate climate. Incidence of frost is 20–95 days (average 42) per year, but the probability of the frost occurrence is higher in the western regions of the unit. See also climate diagram for Gd 2 Amathole Mistbelt Grassland (Figure 8.11).</t>
  </si>
  <si>
    <t>Deep, freely drained, highly weathered soils overlying the Beaufort Group (predominantly Triassic Tarkastad Subgroup) sedimentary rocks. Dominant land type Fb (two thirds of the region), Ib land type covers about a third.</t>
  </si>
  <si>
    <t>SVl15</t>
  </si>
  <si>
    <t>Northern Lebombo Bushveld</t>
  </si>
  <si>
    <t xml:space="preserve">Mpumalanga and Limpopo Provinces: Lebombo Mountains south of the Shingwedzi River to the Komatipoort area, including ridge points such as Nhlanguleni. The mountain range forms a natural frontier between Mozambique and South Africa (Kruger National Park). Much of the eastern slopes are in Mozambique. </t>
  </si>
  <si>
    <t xml:space="preserve">rocky slopes and ridges of a linear range of hills reaching about 100 m (and higher in places) above its surrounding basalt plains towards the west. </t>
  </si>
  <si>
    <t>Summer rainfall with dry winters. MAP about 350–750 mm. Incidence of fog in river gorges in the Lebombo Mountains supposedly contributes extensively to moisture availability to plants in these areas. Generally a frost-free area. Temperature on the western mountainside can become very high. See also climate diagram for SVl 15 Northern Lebombo Bushveld.</t>
  </si>
  <si>
    <t>Rhyolite of the Jozini Formation and lesser basalt of the Letaba Formation, both of the Lebombo Group (Karoo Supergroup) as well as dykes of granophyre (Jurassic) form ridges with stony, shallow lithosols with very frequent rocky outcrops. Soils are shallow (Mispah) as well as deeper (Swartland and Glenrosa). Land types Fb and Ea.</t>
  </si>
  <si>
    <t>SKk3</t>
  </si>
  <si>
    <t>Knersvlakte Quartz Vygieveld</t>
  </si>
  <si>
    <t xml:space="preserve">Western Cape Province: Knersvlakte (southern part of Namaqualand), from Bitterfontein southwards to just south of Klawer, with the main centre north and northwest of Vanrhynsdorp. </t>
  </si>
  <si>
    <t xml:space="preserve">Slightly undulating landscape with slopes and broad ridges covered by prominent though very patchy white layer of quartzite. </t>
  </si>
  <si>
    <t>Winter-rainfall climate with dry, hot summers and mild, rainy winters. MAP 116 mm. Fog and dew occasionally supplementing the water supply. The lowest temperatures in winter 5–10°C. The highest temperatures in summer 30–35°C. Winters are mild, with rare occurrence of frost (on average 3 days per year). See also climate diagram for SKk 3 Knersvlakte Quartz Vygieveld (Figure 5.53).</t>
  </si>
  <si>
    <t>Clastic sediments of the Vanrhynsdorp Group and some Gariep Supergroup schists supporting loamy-sandy shallow to moderately deep, slightly alkaline soils, low to high stone (especially quartz) content. Fc and Fb are land types of equal importance (both covering about a third of the area), followed by Ag land type.</t>
  </si>
  <si>
    <t>FFs19</t>
  </si>
  <si>
    <t>South Outeniqua Sandstone Fynbos</t>
  </si>
  <si>
    <t xml:space="preserve">Western Cape Province: Southern slopes of the Outeniqua Mountains from the Cloetesberg northeast of Albertinia in the west to the upper reaches of the Keurbooms River where it borders on FFs 20 Tsitsikamma Sandstone Fynbos. It includes sandstone outcrops on the lowlands from the vicinity of the Goukamma River near Knysna in the west and Komkromma Point near Nature’s Valley in the east. </t>
  </si>
  <si>
    <t>Gentle to steep south-facing slopes, over a 160 km long area, relatively broad with some moderately sloping intramontane valleys in the west where it is over 10 km wide.</t>
  </si>
  <si>
    <t>MAP 360–1 170 mm (mean: 785 mm), with a slight bimodal winter and a low in December. Mean daily maximum and minimum temperatures 27.8°C and 4.8°C for January and July, respectively. Frost incidence 2–10 days per year. See also climate diagram for FFs 19 South Outeniqua Sandstone Fynbos (Figure 4.21).</t>
  </si>
  <si>
    <t>Acidic lithosol soils derived from Ordovician sandstones of the Table Mountain Group (Cape Supergroup). Land types mainly Ib, Gb and Fa.</t>
  </si>
  <si>
    <t>SVmp8</t>
  </si>
  <si>
    <t>Mopane Gabbro Shrubland</t>
  </si>
  <si>
    <t xml:space="preserve">Limpopo and Mpumalanga Provinces: Occurs in narrow, irregular and disjunct belts from the Phoda Hills near Bateleur Bushveld Camp in the north, southwards in the vicinity of the Stapelkop Dam and Shimuwini Bushveld Camp, to the Shilawuri Hill area. Also further south in the vicinity of the Shisakashanghondo Dam. </t>
  </si>
  <si>
    <t xml:space="preserve">Slightly irregular to slightly undulating landscape with numerous outcrops of gabbro. </t>
  </si>
  <si>
    <t>Summer rainfall with very dry winters. MAP about 450–650 mm. Generally a frost-free area. See also climate diagram for SVmp 8 Mopane Gabbro Shrubland.</t>
  </si>
  <si>
    <t>The basement rocks of the general area are the Swazian Goudplaats and Makhutswi gneisses. These are intruded by sinuous dykes of Timbavati gabbro that are most significant in this shrubland. Soils are dark, with relatively high clay content. Vertisols occur in areas with concave topography and lithosols on the outcrops. Main soil forms are Milkwood, Mayo, Bonheim and Swartland. Main land types Fa, Ah, Ae, Fb and Ea.</t>
  </si>
  <si>
    <t>SKn3</t>
  </si>
  <si>
    <t>Namaqualand Blomveld</t>
  </si>
  <si>
    <t>Namaqualand Hardeveld Bioregion</t>
  </si>
  <si>
    <t xml:space="preserve">Northern Cape Province and to a small extent also Western Cape Province: Valleys and flat areas (piedmonts, vlaktes) between granitic rocky hills of the Namaqualand Escarpment, from Steinkopf southwards to Bitterfontein. </t>
  </si>
  <si>
    <t xml:space="preserve">Level to slightly undulating sedimentary surfaces between rocky granitic hills and mountains, such as wide plains and broad valleys with dry channels of intermittent water courses. </t>
  </si>
  <si>
    <t>Seasonal winter rainfall (May to September) with sporadic drought periods (well below 100 mm per year) of one or two years in succession. Dew is present throughout the winter. MAP 145 mm. An average of 13 days of frost per year, but varying greatly from year to year. Mean maximum and minimum daily temperatures from January to February and June to August span 29–32°C and 3–5°C, respectively. See also climate diagram for SKn 3 Namaqualand Blomveld (Figure 5.29).</t>
  </si>
  <si>
    <t>Underlain by granite-gneisses and metasediments of Mokolian age, affected by the Namaqualand Metamorphic Event. Supporting relatively deep, yellow-brown, fine to coarse loamy sand derived through weathering of the granite rocks. Ag and Ae land types make up almost 80% of the area, followed by Fc land type accounting for a further 15%.</t>
  </si>
  <si>
    <t>SKr18</t>
  </si>
  <si>
    <t>Bushmanland Inselberg Shrubland</t>
  </si>
  <si>
    <t xml:space="preserve">Northern Cape Province: A group of prominent solitary mountains (inselbergs) and smaller koppies towering over surrounding flat plains in northern Bushmanland in the Aggeneys and Pofadder regions. The most important inselbergs include Achab se Berg, Aggeneys se Berg, Ghaamsberg, Goob se Berg, Naib se Berg and Namiesberge. </t>
  </si>
  <si>
    <t>steep slopes of the inselbergs.</t>
  </si>
  <si>
    <t>Erratic, very low rainfall (MAP below 100 mm, range 70–120 mm) occurring mainly in the form of thunderstorms in late summer from February to April. Around 20 days of frost per year (range 10–30 days). Mean maximum and minimum mean monthly temperatures for Aggeneys are 38°C and –3°C for February and July, respectively. See also climate diagram for SKr 18 Bushmanland Inselberg Shrubland (Figure 5.12).</t>
  </si>
  <si>
    <t>Inselbergs of high-grade metamorphic rocks on a broad alluvial plain consist of clastic sediments, volcanics and intrusive rocks of Mokolian age that were metamorphosed during the Namaqualand Metamorphic Event. Ib and Ic land types are dominant in the area.</t>
  </si>
  <si>
    <t>Gh7</t>
  </si>
  <si>
    <t>Winburg Grassy Shrubland</t>
  </si>
  <si>
    <t xml:space="preserve">Free State Province: Series of larger patches between Trompsburg through Bloemfontein and Winburg to Ventersburg. </t>
  </si>
  <si>
    <t xml:space="preserve">Solitary hills, slopes and escarpments of mesas </t>
  </si>
  <si>
    <t>Summer-rainfall region, with MAP around 500 mm. Much of the rainfall is of convectional origin. Overall MAT is slightly higher than 15°C, with more than 40 days of frost in winter. See also climate diagram for Gh 7 Winburg Grassy Shrubland (Figure 8.23).</t>
  </si>
  <si>
    <t>Extensive dolerite sills forming ridges, plateaus and slopes of koppies, and small escarpments marking the erosion terraces. The sills cover alternating layers of mudstone and sandstone of sedimentary origin (Adelaide Subgroup of the Beaufort Group). Prominent soil forms are the stony Mispah and gravel-rich Glenrosa derived from Jurassic dolerite. Dominating land type Ea, with Dc also present in places.</t>
  </si>
  <si>
    <t>Gh9</t>
  </si>
  <si>
    <t>Western Free State Clay Grassland</t>
  </si>
  <si>
    <t xml:space="preserve">Free State Province: Region covering part of the western Bloemfontein District (south), Boshof (southwest), Hertzogville (west), Wesselsbron (north) and Brandfort (east) and consisting of three main areas, of which the southern and middle sections are separated by a slightly elevated area (dolerite hills) between Hertzogville, Boshof and Soutpan. The Vet River Valley separates the middle and northern sections and all three sections are separated from one another by belts of Gh 10 Vaal-Vet Sandy Grassland. </t>
  </si>
  <si>
    <t xml:space="preserve">Restricted to flat bottomlands </t>
  </si>
  <si>
    <t>Seasonal rainfall concentrated from November–March (overall MAP 450 mm). Cool temperate regime with MAT 16–17°C. Occurrence of frost frequent. See also climate diagram for Gh 9 Western Free State Clay Grassland (Figure 8.23).</t>
  </si>
  <si>
    <t>Deposits of sandstone, mudstone and shale (Volksrust Formation, Ecca Group) underlie extensive areas of flat to undulating plains, interrupted by dolerite sills in places. No rivers or streams drain away from these plains, and all the water drains into the numerous playas (pans)—a unique feature of this landscape. Dry, clayey, duplex soils typical of land types Da, Db and Dc. Fc land type also occurs.</t>
  </si>
  <si>
    <t>AZa7</t>
  </si>
  <si>
    <t>Subtropical Alluvial Vegetation</t>
  </si>
  <si>
    <t>T3.1</t>
  </si>
  <si>
    <t xml:space="preserve">Limpopo, Mpumalanga and KwaZulu-Natal Provinces and in Swaziland: Broad river alluvia and around some river-fed pans in the subtropical regions of eastern South Africa, in particular in the Lowveld, Central Bushveld and in northern KwaZulu-Natal. The most important alluvia include the Limpopo, Luvubu, Olifants, Sabie, Crocodile, Phongolo, Usutu and Mkuze Rivers. This unit is fully embedded within the Savanna Biome. </t>
  </si>
  <si>
    <t>KwaZulu-Natal, Mpumalanga, Limpopo</t>
  </si>
  <si>
    <t>Botswana, Zimbabwe, Mozambique</t>
  </si>
  <si>
    <t xml:space="preserve">Flat alluvial riverine terraces </t>
  </si>
  <si>
    <t>Subtropical, seasonal summer-rainfall climate with broad range of temperature (19.3°C in western Central Bushveld and 22.0°C in Mopane) and precipitation (MAP 311–672 mm for Limpopo Valley and Maputaland, respectively) due to large latitudinal and longitudinal ranges. See also climate diagram for AZa 7 Subtropical Alluvial Vegetation (Figure 13.2).</t>
  </si>
  <si>
    <t>Recent alluvial deposits with deep fine-structured sandy to loamy soils (Dundee, Estcourt, Valsrivier, Sterkspruit, Oakleaf forms), waterlogged as it is often exposed to floods (especially during the rainy summer season). Salt often accumulates in the alluvial soils (due to strong evaporation). Ia land type.</t>
  </si>
  <si>
    <t>SVmp1</t>
  </si>
  <si>
    <t>Musina Mopane Bushveld</t>
  </si>
  <si>
    <t xml:space="preserve">Limpopo Province: </t>
  </si>
  <si>
    <t>Botswana, Zimbabwe</t>
  </si>
  <si>
    <t>Undulating to very irregular plains, with some hills</t>
  </si>
  <si>
    <t>Summer rainfall with very dry winters including the shoulder months of May and September. MAP about 300–400 mm. Generally frost-free unit. Mean monthly maximum and minimum temperatures for Macuville-Agr (northwest of Musina) 39.9°C and 0.9°C for November and June, respectively. See also climate diagram for SVmp 1 Musina Mopane Bushveld.</t>
  </si>
  <si>
    <t>Most of the area is underlain by the Archaean Beit Bridge Complex, except where it is covered by much younger Karoo sandstones and basalts. The Beit Bridge Complex consists of gneisses and metasediments and is structurally very complex. Variable soils from deep red/brown clays, moderately deep, dark, heavy clays to deep, freely drained sandy soils to shallower types including skeletal Glenrosa and Mispah soil forms. Land types mainly Ae, Ah, Fc and Db.</t>
  </si>
  <si>
    <t>Dg2</t>
  </si>
  <si>
    <t>Richtersberg Mountain Desert</t>
  </si>
  <si>
    <t xml:space="preserve">Northeastern part of the Richtersveld National Park, south of Kook River and north of the Springbokvlakte and Tatasberg including the mountains of Rooiberg, Richtersberg, Claim Peak and Nabasberg. The unit borders on units of the Succulent Karoo Biome to the west. </t>
  </si>
  <si>
    <t>Rugged mountain ranges with bare rock and valleys some of which (e.g. lower Gannakouriep River) form deep canyons.</t>
  </si>
  <si>
    <t>Very variable transitional (winter to summer rainfall) climate. MAP about 45–70 mm. High summer maximum temperatures reach up to 50°C. Frost very rare, but occurs at high altitudes. Fog insignificant. At a new rain meter at 440 m altitude near Claim Peak a MAP of 47.1 mm has been recorded over a six-year period.</t>
  </si>
  <si>
    <t>Granodiorite and adamellite of the Vioolsdrif Suite dominate the area together with the metavolcanics and metasediments of the De Hoop Subgroup of the Orange River Group (Mokolian). Granite of the Tatasberg Pluton (part of the Kuboos-Bremen Suite) also features. Very rocky substrate, with very shallow to no soils. Sands occur in valley bottoms. Land type Ic.</t>
  </si>
  <si>
    <t>SKr12</t>
  </si>
  <si>
    <t>Kosiesberg Succulent Shrubland</t>
  </si>
  <si>
    <t xml:space="preserve">Northern Cape Province: Southwestern Richtersveld—a major part of the mountain ranges and escarpment region stretching 55 km from Eksteenfontein in the north over the slopes of the Kosiesberg to the Anenous Pass in the southeast. </t>
  </si>
  <si>
    <t>Escarpment that includes the steep slope between the high plateau in the east and the lower plateau in the west as well as several ranges of mountains and hills at the upper and lower level. Due to the incision of deep valley systems, the area is deeply dissected into a number of thinly connected fragments.</t>
  </si>
  <si>
    <t>MAP is estimated at 100–200 mm (and possibly slightly higher). Winter rainfall is clearly predominant. Orogenic cloud formation and fog are frequently observed in winter. At higher altitudes up to 10 frost days per year can be expected.</t>
  </si>
  <si>
    <t>Granite and gneiss of the Mokolian Hoogoor and Vioolsdrif Suites are most significant, but a large area in the west is underlain by Namaqua System alkali-granite of the Korridor Suite. These rocks support mostly loamy soils. Ib land type is dominant, followed by Ic land type.</t>
  </si>
  <si>
    <t>SKs2</t>
  </si>
  <si>
    <t>Northern Richtersveld Yellow Duneveld</t>
  </si>
  <si>
    <t xml:space="preserve">Northern Cape Province: Richtersveld, band some 5–25 km wide east of the coastline, stretching over 45 km from south of Brandkaros in the north to the Holgat River in the south. </t>
  </si>
  <si>
    <t>Most of the area is covered by flat sand shields, often interrupted by dunes, which normally form flat whale-backs. Steep dune crests and dune valleys form only rarely</t>
  </si>
  <si>
    <t>MAP is 50–70 mm with mainly winter rainfall. High frequency of coastal fog. Extreme wind speeds and sand blasting from the south. Storms occur frequently. Frost is very rare.</t>
  </si>
  <si>
    <t>Mainly yellow, wind-blown sands of coastal origin, older than the white dune sands found further west—an ancient mobile dune field, which became stabilised as a consequence of improving climate conditions and increase of vegetation cover after the last glaciation. The structure of south-north-oriented dune ridges and accompanying valley systems is still visible, but the local processes of erosion and sedimentation have resulted in formation of relatively saline valleys with silty or loamy soil. Currently wind erosion is active only to a very limited extent. Ah is the dominant land type, while Ai land type is of subordinate importance.</t>
  </si>
  <si>
    <t>SKk9</t>
  </si>
  <si>
    <t>Kobee Succulent Shrubland</t>
  </si>
  <si>
    <t>SVkd1</t>
  </si>
  <si>
    <t>Gordonia Duneveld</t>
  </si>
  <si>
    <t xml:space="preserve">Northern Cape Province: Areas with dunes comprising the largest part of the South African side of the Kgalagadi Transfrontier Park. South of the Molopo River border with Botswana (west of Van Zylsrus), interleaving with NKb 5 Kalahari Karroid Shrubland in the west (south of Rietfontein to the Orange River area) and in the south (around Upington and north of Groblershoop). Also occurs as a number of loose dune cordons south of the Orange River near Keimoes and between Upington and Putsonderwater. Eastern boundary is found at the longitude of Pearson’s Hunt, but with outliers near Niekerkshoop in the southeast and Floradora in the northeast. </t>
  </si>
  <si>
    <t>Parallel dunes about 3–8 m above the plains</t>
  </si>
  <si>
    <t>Summer and autumn rainfall with very dry winters. MAP about 120–260 mm. Frost fairly frequent to frequent in winter. Mean monthly maximum and minimum temperatures for Vrouenspan 41.5°C and –4.0°C for December and July, respectively. See also climate diagram for SVkd 1 Gordonia Duneveld.</t>
  </si>
  <si>
    <t>Aeolian sand underlain by superficial silcretes and calcretes of the Cenozoic Kalahari Group. Fixed parallel sand dunes, with Af land type almost exclusively.</t>
  </si>
  <si>
    <t>AZd4</t>
  </si>
  <si>
    <t>Subtropical Seashore Vegetation</t>
  </si>
  <si>
    <t>Seashore Vegetation</t>
  </si>
  <si>
    <t>Eastern Cape and KwaZulu-Natal Provinces: Beaches, coastal dunes, dune slacks and coastal cliffs of the subtropical coasts of the Indian Ocean (from northeast of Kei Mouth in the Eastern Cape to the Mozambique border), the region includes South East, Transkei and KwaZulu-Natal coasts (sensu Tinley 1985, Lubke et al. 1997).</t>
  </si>
  <si>
    <t xml:space="preserve">Rainfall can occur any time during the year but with more in summer in the western part of the area (Kei Mouth region), with a pronounced summer precipitation peak along most of the northern coastal stretch. Overall MAP more than 1 000 mm. MAT of 20.3°C is indicative of a subtropical thermal regime. No frost occurs in the region. Very intensive solar irradiation enhanced by reflected albedo from the white dunes and the sea. </t>
  </si>
  <si>
    <t>Recent coastal sandy sediments forming beaches and dunes, exposed to reworking by relentless wind and sea storms.</t>
  </si>
  <si>
    <t>AZi3</t>
  </si>
  <si>
    <t>Southern Kalahari Mekgacha</t>
  </si>
  <si>
    <t xml:space="preserve">Northern Cape and North-West Provinces: Valleys (including beds and adjacent slopes) of the intermittent rivers draining the dry savanna south of the Bakalahari Schwelle (broad interfluve at 1 000–1 100 m altitude) in the South African part of the Kalahari region. The major mekgacha of the region include the Nossob, Auob, Molopo and Kuruman Rivers. A more extensive (endorheic) system of mekgacha is found north of the Bakalahari Schwelle in central Botswana. </t>
  </si>
  <si>
    <t>Northern Cape, North West</t>
  </si>
  <si>
    <t>Subarid region with seasonal, summer-rainfall regime with a slight shift of the major peak towards late summer (February–March). Overall MAP 240 mm (ranging from 180 mm at southwestern boundary to as much as 420 mm further north). High thermic continentality is obvious from the extreme differences between the mean daily maximum and minimum temperatures in January and July: 34°C and 1°C, respectively, great daily temperature differences (sometimes reaching amplitude between 25°C and 30°C, especially in transitional climatic periods) as well as the fairly frequent occurrence of frost. The overall MAT of 19°C (range 17.5–19.1°C) is indicative of a subtropical climate, classified in the Köppen’s system as BWKw’ in its southernmost regions and as BWhw further north (Coetzee &amp; Werger 1975, Schultze &amp; McGee 1978, Werger 1978). See also climate diagram for AZi 3 Southern Kalahari Mekgacha (Figure 13.2).</t>
  </si>
  <si>
    <t>The river channels are embedded within prevalently sandy Kalahari sediments that cover the Precambrian metamorphic crust of the area. The substrate of the dry riverbeds are silty, sandy and rocky, poorly drained and rich in nutrients though the ionic composition of the soils in particular rivers show considerable differences. The banks of the dry rivers can cut deep into duricrust (calcrete or silcrete and various transitions between these end-members, and in places also ferricretes), sometimes vertical bluffs (steep cliffs) of a few metres high may develop (Werger 1978, Thomas &amp; Shaw 1991). The mekgacha may stay without any water for a very long time and floods (sometimes of considerable magnitude) occur only in response to dramatic short-term precipitation events, for example the Nossob was in flood in 1806, 1963 and 1987 and the Auob was in flood in 1973, 1974 and 2000 (Thomas &amp; Shaw 1991; H. Bezuidenhout, personal communication). Some of the rivers such as the Kuruman must experience effective subsurface flow of water judging from the near-continuous belt of trees.</t>
  </si>
  <si>
    <t>SKn6</t>
  </si>
  <si>
    <t>Kamiesberg Mountains Shrubland</t>
  </si>
  <si>
    <t xml:space="preserve">Northern Cape Province: Kamiesberg Mountains (central Namaqualand) from about 30 km north of Kamieskroon southwards almost to Kliprand as well as on western slopes of the northern Bokkeveld Escarpment in the Vanrhynsdorp-Nieuwoudtville area. </t>
  </si>
  <si>
    <t>Steep, mainly south- to east-facing upper (high-altitude) slopes of large granite domes exposed to increased topographic precipitation as well as in deep gullies in the Hardeveld</t>
  </si>
  <si>
    <t>Winter-rainfall area with MAP of 230 mm. Almost all the rainfall occurs from May to August, while rain is very rare between December and February. Dew is experienced throughout the winter. Frost occurs for about 13 days of the year and the lowest temperatures in the winter are 5–10ºC. The highest temperatures in summer are around 30ºC. See also climate diagram for SKn 6 Kamiesberg Mountains Shrubland (Figure 5.29).</t>
  </si>
  <si>
    <t>Bitterfontein quartzites of the Bushmanland Group and the Kamieskroon gneiss occur in the north, giving rise to moderate to steep rocky slopes. Rock sizes vary from medium to large, with flat to gentle rock sheets as well as rock domes. In the south, the clastic sediments of the Knersvlakte Subgroup of the Vanrhynsdorp Group predominate. Most of the soils are yellow-brown to brown, loamy and sandy. Ib land type dominates the area (70%), while the rest is characterised by Ic land type.</t>
  </si>
  <si>
    <t>Dg10</t>
  </si>
  <si>
    <t>Eastern Gariep Rocky Desert</t>
  </si>
  <si>
    <t xml:space="preserve">All the rocky desert areas along the Orange River, including Groot Pellaberge, Dabenorisberge, Abbasasberge and many smaller mountains between Pella and Vioolsdrif. Also some mountains mapped further south well away from the Orange River such as the Haramoebberge and Witberg. </t>
  </si>
  <si>
    <t xml:space="preserve">Hills and mountains (up to 650 m of relative altitude from their base), mostly with bare rock outcrops </t>
  </si>
  <si>
    <t>MAP about 45–80 mm with rainfall peak in late summer and early autumn, becoming more pronounced eastwards. Summer maximum temperatures often more than 40°C, occasionally reaching 50°C at low altitudes. Frost is very rare, but occurs at high altitudes.</t>
  </si>
  <si>
    <t>In the east mainly leucocratic biotite gneiss and quartz-feldspar gneiss of the Stalhoek Complex and lesser amounts of leucocratic biotite gneiss occur, with intercalations of calc-silicate rocks, mafic gneiss, and a quartzite-schist association of the Hom Subgroup, Bushmanland Group. In the west the area consists of granodiorite, adamellite, leucogranite, tonalite and diorite of the Vioolsdrif Suite and intermediate and acid volcanics of the Haib Subgroup of the Orange River Group (all of the above of Mokolian age). Very rocky substrate, with little or no soils. Land type Ic.</t>
  </si>
  <si>
    <t>FFs26</t>
  </si>
  <si>
    <t>South Kammanassie Sandstone Fynbos</t>
  </si>
  <si>
    <t xml:space="preserve">Western Cape Province: On the southern slopes of the Kammanassie Mountains between Dysselsdorp and Uniondale. </t>
  </si>
  <si>
    <t>Steep to precipitous upper southern slopes, with gentler foot slopes, well dissected and rugged.</t>
  </si>
  <si>
    <t>MAP 310–1 150 mm (mean: 690 mm), even with no peak, but with a low from December to February. Mean daily maximum and minimum temperatures 29.0°C and 2.3°C for January and July, respectively. Frost incidence 10–30 days per year. See also climate diagram for FFs 26 South Kammanassie Sandstone Fynbos (Figure 4.21).</t>
  </si>
  <si>
    <t>Acidic lithosol soils derived from Ordovician sandstones of the Table Mountain Group (Cape Supergroup), Glenrosa and Mispah forms prominent. Land types mainly Ib, Ic and Fb.</t>
  </si>
  <si>
    <t>SVmp6</t>
  </si>
  <si>
    <t>Lowveld Rugged Mopaneveld</t>
  </si>
  <si>
    <t xml:space="preserve">Limpopo and Mpumalanga Provinces: Broken veld from the area southeast of Giyani in the west to Shimuwini and Boulders Camps in the east as well as the rugged area of the Olifants River Valley south of Phalaborwa, from Grietjieberg in the west to the Maveni River tributary in the east. </t>
  </si>
  <si>
    <t>Slightly to extremely irregular plains with sometimes steep slopes and a number of prominent hills. The area around the Olifants River has more dissected and steeper slopes than the northern part of this unit</t>
  </si>
  <si>
    <t>Summer rainfall with very dry winters. MAP about 400–600 mm. Generally a frost-free area, but frost sometimes occurs in the low-lying areas. See also climate diagram for SVmp 6 Lowveld Rugged Mopaneveld.</t>
  </si>
  <si>
    <t>The Goudplaats Gneiss and Makhutswi Gneiss underlie most of this area, with a smaller contribution from the ultramafic metavolcanics (rocks rich in chlorite, amphibole, talc and serpentine) and metasediments of the Giyani Greenstone Belt (all Swazian Erathem). Soils are red-yellow apedal, freely drained, but also shallow and stony, especially in the east. Soil forms are mainly Hutton, Mispah and Glenrosa. Land types Ae, Fb and Fa.</t>
  </si>
  <si>
    <t>FFd2</t>
  </si>
  <si>
    <t>Leipoldtville Sand Fynbos</t>
  </si>
  <si>
    <t xml:space="preserve">Western Cape Province: On the coastal plains on either side of the Olifants River to Aurora and extending deep inland to the foot of the Graafwater Mountains and Piketberg. It also occurs in the Olifants River Valley from the Bulshoek Dam to The Baths (Keerom), with a gap between Klawer Vlei and Sandkop. Outliers are found scattered in the Swartveld from Het Kruis to the vicinity of Porterville. </t>
  </si>
  <si>
    <t>Plains, slightly rolling in places</t>
  </si>
  <si>
    <t>Winter-rainfall regime with precipitation peaking from May to August. MAP 130–450 mm (mean: 260 mm). Dense mists are common in winter. Mean daily maximum and minimum temperatures 30.2°C and 6.6°C for February and July, respectively. Frost incidence 3 or 4 days per year. See also climate diagram for FFd 2 Leipoldtville Sand Fynbos (Figure 4.57).</t>
  </si>
  <si>
    <t>Deep, acid, Tertiary sands, generally pale yellow to reddish brown, or grey. Land types mainly Ai, Hb, and Ca.</t>
  </si>
  <si>
    <t>SVl19</t>
  </si>
  <si>
    <t>Western Maputaland Sandy Bushveld</t>
  </si>
  <si>
    <t xml:space="preserve">KwaZulu-Natal Province: Isolated patches on the coastal plain in the Maputaland region east of the Lebombo Mountains from the Ndumo Game Reserve on the Mozambique border in the north to the Mkhuze Game Reserve (now part of Greater St Lucia Wetland Park) in the south. </t>
  </si>
  <si>
    <t>mid- and lower midslopes of ancient coastal dune cordons on gently undulating terrain.</t>
  </si>
  <si>
    <t>Summer rainfall with dry winters. MAP about 500–700 mm. Mean daily maximum and minimum temperatures for Mkhuze Game Reserve 32.5oC and 11.7oC for January and July, respectively. Mean monthly maximum and minimum temperatures for Ndumo Game Reserve 40.1°C and 6.2°C for January and July, respectively. Mean annual evaporation (A-pan) 2 100 mm for Mkhuze Game Reserve. No incidence of frost. See also climate diagram for SVl 19 Western Maputaland Sandy Bushveld.</t>
  </si>
  <si>
    <t>Underlying geology comprises the innermost (most westerly) carbonate-rich sandy dune cordon and siltstones formed in the shallow marine and near-coastal environment of the Cenozoic Maputaland and the Mesozoic Zululand Groups. This cordon is poorly preserved with generally well-developed soil profiles which are commonly red to orange. Soils comprise ferruginous arenosols of the Clovelly and Hutton forms. These are well-drained mesotrophic soils with a low clay content (5–14%). Land types typically Ae and Ah.</t>
  </si>
  <si>
    <t>CB4</t>
  </si>
  <si>
    <t>Pondoland-Ugu Sandstone Coastal Sourveld</t>
  </si>
  <si>
    <t xml:space="preserve">Eastern Cape and KwaZulu-Natal Provinces: Elevated coastal sandstone plateaus from Port St Johns on the Pondoland coast (Eastern Cape) to the vicinity of Port Shepstone (Ugu District, KwaZulu-Natal), incl. the sourveld of the well-known Oribi Gorge. </t>
  </si>
  <si>
    <t xml:space="preserve">Coastal peneplains and partly undulating hills with flat table-lands and very steep slopes of river gorges. </t>
  </si>
  <si>
    <t>Summer rainfall with some rain in winter. No or very infrequent incidence of frost. Mean maximum and minimum monthly temperatures at Paddock (near Oribi Gorge in the north) are 32.2°C and 5.8°C (for January and July, respectively). The corresponding values for Cape Hermes Lighthouse (Port St Johns, in the south) are 29.5°C and 9.6°C for the same months. See also climate diagram for CB 4 Pondoland-Ugu Sandstone Coastal Sourveld (Figure 11.2).</t>
  </si>
  <si>
    <t>This unit is strictly delimited by its geology—it is built of hard, white, coarse-grained, siliceous quartz arenites (sandstones) of the Msikaba Formation of the Devonian Period. (Thomas et al. 1992) giving rise to shallow, nutrient-poor (highly leached), skeletal, acidic sandy soils. Almost 80% of the area is classified as Fa land type, followed by Aa land type (10%).</t>
  </si>
  <si>
    <t>FRs3</t>
  </si>
  <si>
    <t>Roggeveld Shale Renosterveld</t>
  </si>
  <si>
    <t xml:space="preserve">Northern and Western Cape Provinces: Major part of the Roggeveld bordered by the edge of the western Great Escarpment mostly above the Tanqua Basin. South of the Hantam Plateau region in the upper parts of the range of the Keiskieberge and isolated high plateaus to the south including plateaus such as Grootberg, Saalfontein se Berg, Sneewkrans and Swaarweerberg encompassing the vicinity of Middelpos and Sutherland, reaching as far east as the higher-lying areas of the Teekloof Pass south of Fraserburg along the northwest summit plateaus of the Nuweveldberge. </t>
  </si>
  <si>
    <t>Undulating, slightly sloping plateau landscape, with low hills and broad shallow valleys</t>
  </si>
  <si>
    <t>MAP 180–430 mm (mean: 305 mm), even throughout the year, showing a slight peak in March. Mean daily maximum and minimum temperatures 29.3°C and 0.2°C for January and July, respectively. Frost incidence is remarkably high for a renosterveld type (30–70 days per year). See also climate diagram for FRs 3 Roggeveld Shale Renosterveld (Figure 4.101).</t>
  </si>
  <si>
    <t>Mudrocks and sandstones of the Adelaide Subgroup (Beaufort Group of the Karoo Supergroup) dominate the geology. Some intrusions of the Karoo Dolerite Suite are also present. Glenrosa and Mispah forms are prominent. Land types mainly Fc and Da.</t>
  </si>
  <si>
    <t>Gd3</t>
  </si>
  <si>
    <t>Stormberg Plateau Grassland</t>
  </si>
  <si>
    <t xml:space="preserve">Eastern Cape Province: Gently sloping landscapes on the Stormberg Plateau north of Molteno and Dordrecht, east of Burgersdorp and extending northwards not much beyond Jamestown. </t>
  </si>
  <si>
    <t>Relatively flat to undulating landscape with hills and mountain peaks jutting above the general landscape.</t>
  </si>
  <si>
    <t>Variable. The rainfall pattern shows a spring-autumn bimodality with overall MAP 540 mm. There is an east-west rainfall gradient across this vegetation unit from 450 mm in the west to over 700 mm in the east. Coefficient of variation of MAP 30%, varying only slightly from 26–31% across the unit. MAT of nearly 13°C indicates a cool-temperate regime, with climate becoming extremely cold in places. One of the coldest recorded minimum temperatures in South Africa was –18.9°C at Buffelsfontein in the centre of this unit. Frosts can occur at any time of the year, but with a low probability in summer. Incidence of frost from 30–75 days, increasing with elevation. See also climate diagram for Gd 3 Stormberg Plateau Grassland (Figure 8.11).</t>
  </si>
  <si>
    <t>Generally shallow soils (typical of Fb, Da and Db land types), with variable amounts of soil skeleton and overlying mudstones and sandstones of the Elliot Formation and in some areas also of the Molteno Formation (Stormberg Group, Karoo Supergroup).</t>
  </si>
  <si>
    <t>SKv7</t>
  </si>
  <si>
    <t>Robertson Karoo</t>
  </si>
  <si>
    <t xml:space="preserve">Western Cape Province: Broad valley of the middle reaches of the Breede River around Worcester, Robertson and Ashton. </t>
  </si>
  <si>
    <t xml:space="preserve">Undulating flats and adjacent hills (sometimes with very steep flanks) </t>
  </si>
  <si>
    <t>Robertson Karoo is a semi-arid region with a mainly winter-rainfall regime and with maximum precipitation occurring in August (61 mm for Worcester, Smitheman &amp; Perry 1990). Another slight precipitation peak is in June. MAP 125–350 mm; most of the region receiving about 300 mm. The low precipitation of this region surrounded from all sides by various Fynbos Biome vegetation units is ascribed to the rainshadow effect due to the high surrounding mountain ranges. MAT is above 16°C. Summer temperatures are high and in January vary from 30–40°C (an average of 34.5°C in February was recorded for Worcester). Occasional northwestern berg winds may intensify the heat. Winter nights might experience light frost—7 days a year on average. See also climate diagram for SKv 7 Robertson Karoo (Figure 5.65).</t>
  </si>
  <si>
    <t>Shale of the Devonian Ceres and Bidouw Subgroups (Bokkeveld Group, Cape Supergroup) as well as diamictite and shale of the Carboniferous Dwyka and Ecca Groups (Karoo Sequence). Jurassic Enon conglomerates occur as well. The soils are deep, red, apedal and loamy to loamy-sandy with a high clay and sodium content. Fc land type is representative of half of the region, while Fb and Ic are of lesser importance.</t>
  </si>
  <si>
    <t>FFg1</t>
  </si>
  <si>
    <t>Kamiesberg Granite Fynbos</t>
  </si>
  <si>
    <t>Northern Cape Province: Namaqualand, summits and upper slopes of Rooiberg in the north (1 395 m) on the Farm Pedroskloof, Sneeukop (1 589 m), Kamiesberg (1 527 m), Johannes se Berg (1 550 m), Sittenberg (1 553 m), Eselkop (1 664 m) and Rooiberg (1 705 m) south of Rhebokskloof in the south, in the Kamiesberg Mountains (roughly in the area between Kamieskroon, Leliefontein and Garies). Rather anomalously, the unit is not very strongly correlated with altitude. A</t>
  </si>
  <si>
    <t xml:space="preserve">System of round-top mountains and broad-shoulder ridges dominated by granite domes and slabs. </t>
  </si>
  <si>
    <t>Precipitation low, with the lowest average values at the semi-arid limit. MAP 240–450 mm (mean: 355 mm), peaking from May to August. This type is near the lower-rainfall limits for fynbos on granite, and is the driest of the granite types. Mean daily maximum and minimum temperatures 24.9°C and 2.1°C for January and July, respectively. Frost incidence 10–40 days per year. See also climate diagram for FFg 1 Kamiesberg Granite Fynbos (Figure 4.92).</t>
  </si>
  <si>
    <t>Granites and gneisses of the Mokolian Kamieskroon Gneiss and Stalhoek Complex. Soils skeletal, shallow and sandy, typical of Ic land type.</t>
  </si>
  <si>
    <t>CB1</t>
  </si>
  <si>
    <t>Maputaland Coastal Belt</t>
  </si>
  <si>
    <t xml:space="preserve">KwaZulu-Natal Province (and continuing also in southern Mozambique): Up to 35 km broad strip along the coast of the Indian Ocean stretching from the Mozambique border in the north to Mtunzini in the south. </t>
  </si>
  <si>
    <t>Flat coastal plain</t>
  </si>
  <si>
    <t>Weak rainfall seasonality near the coast tending toward summer rainfall towards the interior. Relatively high precipitation attaining annual values up to 1 200 mm in coastal localities, decreasing rapidly to the interior. High humidity and temperature. Mean maximum and minimum monthly temperature for Lake St Lucia Research Centre are 35.3°C and 5.5°C (for January and June, respectively). No incidence of frost. See also climate diagram for CB 1 Maputaland Coastal Belt (Figure 11.2).</t>
  </si>
  <si>
    <t>Up to about 18 000 yrs old Quaternary sediments of marine origin—mainly yellowish and argillaceous redistributed sands (Berea and Muzi Formations of the Maputaland Group, respectively). Soils nutritionally very poor and well leached, except in the interdune depressions where organic-rich soils are sometimes found. The dominant land types include Hb and Ha, with some contribution of Db land type.</t>
  </si>
  <si>
    <t>Gs6</t>
  </si>
  <si>
    <t>KwaZulu-Natal Highland Thornveld</t>
  </si>
  <si>
    <t xml:space="preserve">KwaZulu-Natal Province: A series of several patches in the central-northern regions of KwaZulu-Natal, where it occurs on both dry valleys and moist upland. The most extensive area is found in the region from Ladysmith, Winterton, Estcourt and Colenso, between Mooi River and Greytown, between Pomeroy and Babanago, and further north in a triangle between Vryheid, Paulpietersburg and Louwsburg as well as a large patch around Newcastle. </t>
  </si>
  <si>
    <t xml:space="preserve">Hilly, undulating landscapes and broad valleys </t>
  </si>
  <si>
    <t>Summer rainfall. MAP about 750 mm (79 rain days per year; Camp 1999c). The midwinter months of June and July have 2.6 rain days on average. Much of the summer precipitation comes in form of thunderstorms (63 and 56 thunderstorm days per year for Ladysmith and Estcourt, respectively). Mist is uncommon (14 days of mist per year for both Ladysmith and Estcourt). MAT 15.6–19.0°C (overall average 16.5°C). Summers are warm to hot, winters are cool. There are 15 frost days per year. The mean annual evaporation recorded at Estcourt is 1 725 mm, while the range for the entire vegetation unit is 1 706–1 918 mm (Camp 1999c), the overall average 1 830 mm. See also climate diagram for Gs 6 KwaZulu-Natal Highland Thornveld (Figure 8.61).</t>
  </si>
  <si>
    <t>A variety of Karoo Supergroup rocks occur in the area, including the Dwyka, Ecca and Beaufort Groups and marginally also Jurassic dolerite intrusions. Yellow-brown soils over plinthic subsoil and shallow duplex soils are common. Red and black heavy soils are derived from dolerites and show high resistance to erosion. The unit falls within various land types, including Ca, Fb, Fa, Db and Bb.</t>
  </si>
  <si>
    <t>SKr4</t>
  </si>
  <si>
    <t>Lekkersing Succulent Shrubland</t>
  </si>
  <si>
    <t xml:space="preserve">Northern Cape Province: Longitudinal band in the southwestern Richtersveld extending north and south of Lekkersing, with an additional extension to the southeast and some scattered patches further north. All these parts are located in the lowlands west and southwest of the central mountain ridge of the Richtersveld. The core area has a north-south extension of some 70 km from near the Goariep Mountain in the north to the vicinity of Oograbies in the south. </t>
  </si>
  <si>
    <t>Mosaic of hills, flat or slightly rolling plains, with embedded quartz fields and ridges, some sand sheets and dunes, rocky gorges and including some rocky mountains. Quartz and quartzitic rocks are the most important</t>
  </si>
  <si>
    <t xml:space="preserve">MAP is 60–120 mm. Winter rainfall is clearly predominant. Coastal fog is not as frequent as along the coast, but more important than in the Richtersveld mountains. Frost is very rare. </t>
  </si>
  <si>
    <t>Mainly quartzite, sometimes schist, dolomite of the Precambrian Gariep Complex supporting sandy, skeletal soils. Half of the area is classified as Ag land type, followed by Fc, Ae, Ic.</t>
  </si>
  <si>
    <t>SVl18</t>
  </si>
  <si>
    <t>Tembe Sandy Bushveld</t>
  </si>
  <si>
    <t xml:space="preserve">KwaZulu-Natal Province: Part of the Maputaland lowveld, east of the Pongola River. Strip of land between the Mozambique border and the Tembe Elephant Park in the north extending south as far as the surrounds of the confluence of the Mkuze and Msunduzi Rivers. Sandwiched between the SVl 20 Western Maputaland Clay Bushveld in the west and CB 1 Maputaland Coastal Belt in the east. Isolated patch found east of the town of Hluhluwe. </t>
  </si>
  <si>
    <t>Extensive flat plains to slightly undulating in places</t>
  </si>
  <si>
    <t>Summer rainfall with some rain in winter. MAP about 550–800 mm. Mist of the warm Indian Ocean contributes to precipitation. No incidence of frost. See also climate diagram for SVl 18 Tembe Sandy Bushveld.</t>
  </si>
  <si>
    <t>System of old (5–3 million years) and younger (125 000 years) grey regic to reddish redistributed sand dunes of marine origin. Nutritionally the sandy soils are very poor and well leached. In some depressions, duplex soils can be found. Land type mainly Ha, with some Ae, Ah and Hb also occurring.</t>
  </si>
  <si>
    <t>FFs13</t>
  </si>
  <si>
    <t>North Sonderend Sandstone Fynbos</t>
  </si>
  <si>
    <t xml:space="preserve">Western Cape Province: Northern slopes of the Riviersonderend Mountains from Villiersdorp to Bromberg and Luiperdsberg east of Stormsvlei, including Klipberg and Sandberg towards Robertson. </t>
  </si>
  <si>
    <t>Gentle to steep north-facing slopes, highly dissected in a few places, with a midslope sandy plateau and extensive gentle lower slopes</t>
  </si>
  <si>
    <t>MAP 250–1 410 mm (mean: 605 mm), peaking May to August. Mean daily maximum and minimum temperatures 26.2°C and 4.4°C for February and July, respectively. Frost incidence 7–10 days per year. See also climate diagram for FFs 13 North Sonderend Sandstone Fynbos (Figure 4.21).</t>
  </si>
  <si>
    <t>FFd3</t>
  </si>
  <si>
    <t>Hopefield Sand Fynbos</t>
  </si>
  <si>
    <t xml:space="preserve">Western Cape Province: West Coast lowlands from Aurora to Rondeberg, just south of Yzerfontein, with an outlier in the Strandveld at Kleinberg north of Langebaanweg. </t>
  </si>
  <si>
    <t>Coastal sand plains, flat to undulating, and also including localised inland dune fields</t>
  </si>
  <si>
    <t>MAP 210–430 mm (mean: 325 mm), peaking from May to August. Mists common in winter. Mean daily maximum and minimum temperatures 28.3°C and 7.1°C for February and July, respectively. Frost incidence 3 or 4 days per year. See also climate diagram for FFd 3 Hopefield Sand Fynbos (Figure 4.57).</t>
  </si>
  <si>
    <t>Deep, acid, tertiary sands, generally grey regic sands, sometimes pale yellow to reddish brown. Land types mainly Hb, Ha and Db.</t>
  </si>
  <si>
    <t>CB5</t>
  </si>
  <si>
    <t>Transkei Coastal Belt</t>
  </si>
  <si>
    <t xml:space="preserve">Eastern Cape Province: Narrow coastal strip along the Wild Coast of Transkei and the Indian Ocean seaboards between Port St Johns (Egossa Interval) as far as the vicinity of the Great Kei River in the south. </t>
  </si>
  <si>
    <t>The Transkei Coastal Belt is highly dissected, hilly coastal country with alternating steep slopes of low-reach river valleys and coastal ridges, sometimes broad enough to form small plains.</t>
  </si>
  <si>
    <t>Summer rainfall with some rain in winter (with up to 36.6% rainfall in winter at Bashee Lighthouse). No incidence of frost. Bashee Lighthouse recording a mean minimum temperature of 7.7°C in July. See also climate diagram for CB 5 Transkei Coastal Belt (Figure 11.2).</t>
  </si>
  <si>
    <t>Most of the area is built of Karoo Supergroup sediments including sandstone and mudstone of the Adelaide Subgroup, shale, mudstone and sandstone of the Ecca Group as well as tillite of the Dwyka group. Intrusions of Jurassic Karoo Dolerite Suite occur in places. The dominating soil forms are Glenrosa and Mispah. Fa land type dominates the area.</t>
  </si>
  <si>
    <t>SKr3</t>
  </si>
  <si>
    <t>Goariep Mountain Succulent Shrubland</t>
  </si>
  <si>
    <t xml:space="preserve">Northern Cape Province: The unit is entirely formed by the Goariep Mountain (Ploegberg)—a large granite inselberg located southwest of the village of Khubus and west of the Vandersterrberg-Stinkfonteinberge mountain range in the northwestern Richtersveld. </t>
  </si>
  <si>
    <t>The circular geomorphological structure of the Goariep Mountain rises steeply above the surrounding landscape, mostly plains, and culminates in numerous granite domes.</t>
  </si>
  <si>
    <t>Winter-rainfall area with MAP about 70 mm, increasing with altitude and controlled by geomorphology, probably reaching as high as 200 mm at higher altitudes. High moisture levels are generated by orogenic uplift of moist air by the slopes of the large granite massif of the Goariep Mountain—the first high mountain in the pathway of the air stream moving in from the ocean from southern, southwestern or western directions. Consequently, rainfall and fog generate high precipitation along the southern and western slopes of the mountain, especially at higher altitudes. Frequency of frost depends on the altitude, reaching up to about 10 days per year in the summit area.</t>
  </si>
  <si>
    <t>Built of granite of the Kuboos Pluton (Cambrian). Soils are mostly loamy sands. Ic is almost the exclusive land type.</t>
  </si>
  <si>
    <t>Gs15</t>
  </si>
  <si>
    <t>Tsomo Grassland</t>
  </si>
  <si>
    <t xml:space="preserve">Eastern Cape Province: In the region to the east of the Queenstown Basin. The villages of Tsomo, Cala and Engcobo define the eastern extent of this unit and Cathcart, Queenstown and Sterkstroom the western extent. This vegetation unit occupies the plains in between the mountain peaks and ridges in this region. </t>
  </si>
  <si>
    <t xml:space="preserve">Flat or gently undulating lowland plains intersected by mountains. </t>
  </si>
  <si>
    <t>Late summer rainfall, although some rain may fall at other times of the year. MAP 430–790 mm, increasing from west to east. The coefficient of variation in MAP 25–31% across the unit. Incidence of frost is variable (7–65 days), but is higher in the northwest. See also climate diagram for Gs 15 Tsomo Grassland (Figure 8.61).</t>
  </si>
  <si>
    <t>Mudstones of the Tarkastad Subgroup (Karoo Supergroup) overlain mostly by soils of moderate depth typical of Fb and Db land types.</t>
  </si>
  <si>
    <t>FS2</t>
  </si>
  <si>
    <t>Saldanha Granite Strandveld</t>
  </si>
  <si>
    <t>Western Cape Province: On the West Coast, granite domes from Vredenburg to St Helena Bay and many points along the coast including Paternoster and Saldanha’s North Head; also around Langebaan town and at Postberg on the Langebaan Peninsula.</t>
  </si>
  <si>
    <t>Rounded forms of granite sheets and smooth forms at their feet dominate the landscapes of this vegetation unit</t>
  </si>
  <si>
    <t>Mainly cyclonic annual rainfall varying from approximately 250 mm in the north to 350 mm in the south, almost exclusively in winter. Mean daily maximum and minimum temperatures 25.4°C and 7.9°C for February and July, respectively. Advective sea fog and dew contribute significantly to the moisture in summer and autumn. Frost rare. Winds tend to be strong northwesterly in winter and southerly in summer. See also climate diagram for FS 2 Saldanha Granite Strandveld (Figure 4.128).</t>
  </si>
  <si>
    <t>Deep, coarse sandy to loamy soils derived from the Vredenburg Batholith in the north and the Saldanha Batholith in the south (both of the Cape Granite Suite). Dominant land type Ab, followed by Fc.</t>
  </si>
  <si>
    <t>FFd7</t>
  </si>
  <si>
    <t>Agulhas Sand Fynbos</t>
  </si>
  <si>
    <t>South Coast Fynbos Bioregion</t>
  </si>
  <si>
    <t xml:space="preserve">Western Cape Province: Very fragmented patches on the Agulhas forelands from around the lower Uilkraalsrivier near Gansbaai, Hagelkraal, flats west of the Soetanysberg, small patches east of Elim to the largest patch northwest of Struisbaai, west of Arniston and south of Bredasdorp, with unmapped patches to Hermanus in the west, and De Hoop Vlei in the east. </t>
  </si>
  <si>
    <t>Low-lying coastal plains</t>
  </si>
  <si>
    <t>MAP 380–660 mm (mean: 475 mm), peaking slightly in winter. Mean daily maximum and minimum temperatures 25.6°C and 7.0°C for January and July, respectively. Frost incidence about 3 days per year. See also climate diagram for FFd 7 Agulhas Sand Fynbos (Figure 4.57).</t>
  </si>
  <si>
    <t>Neutral to acid Tertiary sands over various substrates, but most commonly over limestone of the Bredasdorp Formation. Land types mainly Db and Hb.</t>
  </si>
  <si>
    <t>SKn5</t>
  </si>
  <si>
    <t>Platbakkies Succulent Shrubland</t>
  </si>
  <si>
    <t xml:space="preserve">Northern Cape Province: Western piedmonts at boundaries between Namaqualand Hardeveld and Bushmanland between Gamoep in the north and Banke in the south. </t>
  </si>
  <si>
    <t xml:space="preserve">Mainly plains, but also low koppies and hills </t>
  </si>
  <si>
    <t>Seasonal winter-rainfall climate with shallow peak from May to August. About a third of the annual rainfall (MAP slightly above 100 mm, range 80–120 mm) arrives as late summer thunderstorms. Overall MAT is about 16°C, mean maximum and minimum monthly temperatures in Platbakkies are 37°C and –3°C for January and July, respectively. Incidence of frost is between 20 and 40 days per year. See also climate diagram for SKn 5 Platbakkies Succulent Shrubland (Figure 5.29).</t>
  </si>
  <si>
    <t>Gneiss of the Little Namaqualand Suite, and Bushmanland Group metasediments and metavolcanics with shallow unstructured soils predominate in the west. In the east the landscape is covered by sandy Bushmanland soils overlying calcrete. A unique feature in this vegetation type is the presence of silcrete caps (Bitterfontein Formation) along the edge of the erosion front between the Bushmanland surface and the underlying metamorphic rocks—these are associated with deeply weathered underlying gneiss giving rise to quartz pebble-covered gravel plains. In the east and north, another type of gravel plain is formed by the presence of palaeo-river terraces characterised by the presence of rounded rocks and boulders and calcrete nodules. Northwest and west of Gamoep, and in the south around Banke, the gravel plains comprise quartz pebble lags over kaolinised gneiss, often associated with eroding silcrete outcrops. The dominant land type is Ag (78%), while the rest of the area is classified as Ae land type.</t>
  </si>
  <si>
    <t>SVl6</t>
  </si>
  <si>
    <t>Gabbro Grassy Bushveld</t>
  </si>
  <si>
    <t xml:space="preserve">Mpumalanga Province: Flats and hills mainly in the Kruger National Park in isolated patches from Orpen Camp in the north, southwards including Rooigras Vlakte (northeast of Skukuza) and some areas stretching from north of Pretoriuskop to around Afsaal in the south. </t>
  </si>
  <si>
    <t>Open savanna with a dense grass cover</t>
  </si>
  <si>
    <t>Summer rainfall with dry winters. MAP about 500–650 mm. Generally a frost-free region. See also climate diagram forSVl 6 Gabbro Grassy Bushveld.</t>
  </si>
  <si>
    <t>The distribution of this bushveld closely follows the sinuous intrusions of the Timbavati gabbro (Mokolian Erathem). The unit is also mapped on surrounding potassic granite and gneiss of Archaean basement and the gneiss and migmatite of the Nelspruit Suite (also Archaean). Dark vertic clay soils (20–50% clay) often swell and shrink. Loose rock is often present on the surface. Some shallow lithosols occur in places. Where gabbro is in contact with the adjacent granite, a mixed soil sometimes develops with a gabbro-derived A-horizon overlying a granite-derived B-horizon. Land types mainly Fb and Dc.</t>
  </si>
  <si>
    <t>Gh12</t>
  </si>
  <si>
    <t>Vaal Reefs Dolomite Sinkhole Woodland</t>
  </si>
  <si>
    <t xml:space="preserve">North-West and Free State Provinces: Small area associated with the dolomite sinkholes in and around Stilfontein and Orkney (Vaal Reefs). The Vaal River forms the southern distribution limit of this vegetation unit. </t>
  </si>
  <si>
    <t>Slightly undulating landscape dissected by prominent rocky chert ridge</t>
  </si>
  <si>
    <t>Warm-temperate summer-rainfall region, with overall MAP around 560 mm. The summer temperatures are high. Severe frequent frost occurs in winter. See also climate diagram for Gh 12 Vaal Reefs Dolomite Sinkhole Woodland (Figure 8.23).</t>
  </si>
  <si>
    <t>This area occurs almost exclusively on the dolomites of the Malmani Subgroup (Chuniespoort Group, Transvaal Supergroup), where underground dissolution of the rock causes sinkholes. More than 50% of the main soil types are relatively shallow (50–150 mm) and rocky, with the dominant soil forms Mispah, Glenrosa and shallow Hutton. The latter soils are associated with the Fa land type.</t>
  </si>
  <si>
    <t>FFs6</t>
  </si>
  <si>
    <t>Piketberg Sandstone Fynbos</t>
  </si>
  <si>
    <t xml:space="preserve">Western Cape Province: Mainly on the Piketberg Mountains in a triangle formed by Aurora, Het Kruis and the town of Piketberg but also on isolated hills to the north of the mountain including Driefonteinberg, Tiernesberg, Dassieberg and Klein Tafelberg. </t>
  </si>
  <si>
    <t>Large inselberg built of slowly eroding hard rocks towering over the surrounding sandy and shale plains of the West Coast. Mostly steep slopes, with some small plateaus and peaks.</t>
  </si>
  <si>
    <t>MAP 320–860 mm (mean: 510 mm), peaking May to August. Mean daily maximum and minimum temperatures 28.1°C and 5.6°C for February and July, respectively. Frost incidence 2–4 days per year. See also climate diagram for FFs 6 Piketberg Sandstone Fynbos (Figure 4.21).</t>
  </si>
  <si>
    <t>Acidic lithosol soils derived from Ordovician sandstones of the Table Mountain Group (Cape Supergroup). Land type mainly Ib.</t>
  </si>
  <si>
    <t>FFs24</t>
  </si>
  <si>
    <t>South Swartberg Sandstone Fynbos</t>
  </si>
  <si>
    <t xml:space="preserve">Western and Eastern Cape Provinces: Southern slopes of the Anysberg, Klein and Groot Swartberg to Slypsteenberg and Resbosrand in the east. Also includes the southern slope of the Touwsberg. </t>
  </si>
  <si>
    <t xml:space="preserve">Steep, very steep, and precipitous south-facing slopes, deeply dissected in parts, of rugged mountain ranges. </t>
  </si>
  <si>
    <t xml:space="preserve"> MAP 170–850 mm (mean: 475 mm), peaking slightly in March, but otherwise even with a low from December to February. Mean daily maximum and minimum temperatures 28.5°C and 2.0°C for January and July, respectively. Frost incidence 10–30 days per year. See also climate diagram for FFs 24 South Swartberg Sandstone Fynbos (Figure 4.21).</t>
  </si>
  <si>
    <t>SVcb15</t>
  </si>
  <si>
    <t>Springbokvlakte Thornveld</t>
  </si>
  <si>
    <t xml:space="preserve">Limpopo, Mpumalanga, North-West and Gauteng Provinces: Flats from Zebediela in the northeast to Hammanskraal and Assen in the southwest as well as from Bela-Bela and Mookgophong in the northwest to Marble Hall and Rust de Winter in the southeast. </t>
  </si>
  <si>
    <t>Mpumalanga, Limpopo, Gauteng, North West</t>
  </si>
  <si>
    <t>flat to slightly undulating plains.</t>
  </si>
  <si>
    <t>Summer rainfall with very dry winters. MAP about 500–650 mm. Frost fairly infrequent in winter. Mean monthly maximum and minimum temperatures for Warmbaths–Towoomba are 35.2°C and –2.0°C for October and July, respectively. Corresponding values are 36.8°C and –1.2°C for Marble Hall for January and June, respectively. See also climate diagram for SVcb 15 Springbokvlakte Thornveld.</t>
  </si>
  <si>
    <t>Rocks are part of the volcano-sedimentary Karoo Supergroup. Most abundant in the area are the mafic volcanics (tholeitic and olivine basalts and nephelinites) of the Letaba Formation, then the mudstones of the Irrigasie Formation and the shale, with sandstone units, of the Ecca Group. Soils are red-yellow apedal, freely drained with high base status and self-mulching, black, vertic clays. The vertic soils, with a fluctuating water table, experience prolonged periods of swelling and shrinking during wet and dry periods, considerable soil cracking when dry, a loose soil surface, high calcium carbonate content and gilgai micro-relief. Land types mainly Ae and Ea.</t>
  </si>
  <si>
    <t>FFs7</t>
  </si>
  <si>
    <t>North Hex Sandstone Fynbos</t>
  </si>
  <si>
    <t xml:space="preserve">Western Cape Province: Northern slopes of the Hex River Mountains from Mitchell’s Pass near Ceres to Sonklip Ridge extending along the northern slope of the lower-altitude Witberg Ridge to Grootstraat west of Touws River. </t>
  </si>
  <si>
    <t>North-facing steep and gentle slopes from foothills to high mountain peaks</t>
  </si>
  <si>
    <t>MAP 300–1 800 mm (mean: 750 mm), peaking markedly May to August. Snow regular in winter on higher slopes and may last for a week or more. Mean daily maximum and minimum temperatures 26.0°C and 2.5°C for February and July, respectively. Frost incidence 10–50 days per year. See also climate diagram for FFs 7 North Hex Sandstone Fynbos (Figure 4.21).</t>
  </si>
  <si>
    <t>FRd2</t>
  </si>
  <si>
    <t>Hantam Plateau Dolerite Renosterveld</t>
  </si>
  <si>
    <t xml:space="preserve">Northern Cape Province: Plateau of the Hantamberg in the triangle between Sandkop, Downes and Driekuilspunt north of Calvinia as well as surrounding points such as Toringkop, Blomberg and to the south, Rebunieberg. </t>
  </si>
  <si>
    <t xml:space="preserve">Plateau of tafelbergs </t>
  </si>
  <si>
    <t>MAP 160–440 mm (mean: 250 mm), peaking slightly from May to August. Mean daily maximum and minimum temperatures 31.1°C and 1.4°C for February and July, respectively. Frost incidence 10–40 days per year. See also climate diagram for FRd 2 Hantam Plateau Dolerite Renosterveld (Figure 4.117).</t>
  </si>
  <si>
    <t>Heavy, clayey soils and outcrops of intrusive dolerites (Jurassic Karoo Dolerite Suite) as well as (to a small extent) shales of the Ecca Group (Karoo Supergroup). Land type mainly Ib.</t>
  </si>
  <si>
    <t>SVcb13</t>
  </si>
  <si>
    <t>Loskop Mountain Bushveld</t>
  </si>
  <si>
    <t>Mpumalanga, Gauteng and Limpopo Provinces: Occurs on mountains in the vicinity of Loskop Dam extending southwestwards towards Bronkhorstspruit on mountains including the Gouwsberge and westwards to Rust de Winter on mountains including Ditlhabane</t>
  </si>
  <si>
    <t>Mpumalanga, Limpopo, Gauteng</t>
  </si>
  <si>
    <t xml:space="preserve">Low mountains and ridges </t>
  </si>
  <si>
    <t>Summer rainfall with very dry winters. Frost fairly infrequent. MAP about 600–750 mm. See also climate diagram for SVcb 13 Loskop Mountain Bushveld.</t>
  </si>
  <si>
    <t>Rhyolite of the Selons River Formation (Rooiberg Group, Transvaal Supergroup) and sandstone with subordinate conglomerate and minor shale of the Wilge River Formation (Mokolian Waterberg Group) are most abundant. The Rashoop Granophyre Suite and granite of the Lebowa Granite Suite, (both Bushveld Igneous Complex, Vaalian) are also represented, as are some mudrock, sandstone, conglomerate and volcanic rocks of the Loskop Formation (Vaalian Transvaal Supergroup). Rocky areas with miscellaneous soils ranging from sandy to sandy loams, sandy clays and some clays. Land type is mainly Ib.</t>
  </si>
  <si>
    <t>SKr19</t>
  </si>
  <si>
    <t>Aggeneys Gravel Vygieveld</t>
  </si>
  <si>
    <t xml:space="preserve">Northern Cape Province: Plains at foothills or on peneplains of inselbergs in northern Bushmanland scattered between Pofadder and Aggeneys and further westwards to the edges of the Namaqualand granite hill ridges. </t>
  </si>
  <si>
    <t>Flat or slightly sloping plains (appearing as distinctly white surface quartz layers against the background of red sand or reddish soil)</t>
  </si>
  <si>
    <t>Overall climatic characters are largely identical (or very similar) to those listed for the topographically neighbouring SKr 18 Bushmanland Inselberg Shrubland. See also climate diagram for SKr 19 Aggeneys Gravel Vygieveld (Figure 5.12).</t>
  </si>
  <si>
    <t>Gneiss of the Little Namaqualand and Hoogoor Suites, and quartzite of the Bushmanland and Geelvloer Groups dominate. The occurrence of these two broad geological groups is the primary determinant of the location of the different types of gravel patches usually found at the foothills or on peneplains associated with the base of inselbergs or low ridges amongst the gently undulating plains. In places rare feldspar patches occur, always associated with the pink gneiss of the Hoogoor Suite. Four types of gravel patches are encountered in the area: (1) fine-grained quartz patches with a uniform covering of small diameter (&lt;1 cm) quartz pebbles occur on the summits and foothills of some inselbergs (e.g. Gamsberg and Achab), (2) quartz gravel patches with more variable size-class distribution occurring more widely, but generally associated with the foothills of the quartzite inselbergs of the region, (3) feldspar gravel patches associated with open plains with underlying gneiss geology, and (4) calcrete gravel patches occurring on open plains, where the topsoil and dorbank of the colluvial soils have been eroded, exposing the underlying calcrete layer. The soils are very shallow, skeletal and loamy-sandy. Ag land type covers half of the area, followed by Ic and Af land types.</t>
  </si>
  <si>
    <t>FRg2</t>
  </si>
  <si>
    <t>Swartland Granite Renosterveld</t>
  </si>
  <si>
    <t xml:space="preserve">Western Cape Province: Discrete areas in the Swartland and Boland: largest patch centred on Darling from Ratelberg in the north to Dassenberg near Mamre and Pella; several centred on Malmesbury from Darmstadt in the north to the lower slopes of the Perdeberg (and small patches to the west towards Atlantis); east of Wellington from Micha to Valencia, lower surrounds of Paarl Mountain; Joostenberg, Muldersvlei, Bottelaryberg, Papegaaiberg (Stellenbosch West), to Firgrove and northern Somerset West. </t>
  </si>
  <si>
    <t>Moderate foot slopes and undulating plains</t>
  </si>
  <si>
    <t>MAP 360–790 mm (mean: 520 mm), peaking from May to August. Mists common in winter. This is the wettest renosterveld unit. Mean daily maximum and minimum temperatures 27.7°C and 6.7°C for February and July, respectively. Frost incidence about 3 days per year. See also climate diagram for FRg 2 Swartland Granite Renosterveld (Figure 4.117).</t>
  </si>
  <si>
    <t>Coarse sandy to loamy soils of a variety of forms ranging from Glenrosa and Mispah, to prismacutanic and pedocutanic diagnostic horizons to red-yellow apedal soils—all derived from Cape Granite. The soils can contain a considerable volume of moisture in winter and spring. Land types mainly Fa, Ca, Db and Ac.</t>
  </si>
  <si>
    <t>A3_nat, A3_wc, A2b, B1i_rod, B1iii_sp</t>
  </si>
  <si>
    <t>SKr9</t>
  </si>
  <si>
    <t>Tatasberg Mountain Succulent Shrubland</t>
  </si>
  <si>
    <t xml:space="preserve">Northern Cape Province: Tatasberg—a prominent granitic inselberg massif north of the Springbokvlakte in the northeastern Richtersveld. The southern slope forms an important part of the vegetation unit. </t>
  </si>
  <si>
    <t xml:space="preserve">Huge granitic domes separated by fields of large boulders. </t>
  </si>
  <si>
    <t>MAP estimated at 50–120 mm and appears to be less in the rainshadow of the Vandersterrberge than on the Rosyntjieberg. Due to the higher altitude, the Tatasberg catches more rainfall and less water evaporates, in strong contrast to the surrounding (mostly desert) areas. Rainfall seasonality has transitional features between winter and summer rainfall, and is poorly predictable. High temperatures in summer are common. Very few frost days per year. Fog does not play an important role.</t>
  </si>
  <si>
    <t>Acid and intermediate metavolcanics and metasediments of the Orange River Group (Mokolian) as well as granite and syenite of the Tatasberg Complex (Cambrian Kuboos, Bremen Suite). Soils are very shallow and only very patchy. Deeper and more developed soils are formed in cracks and crevices in places that receive larger amounts of rainfall runoff. Ic land type is dominant.</t>
  </si>
  <si>
    <t>Gd10</t>
  </si>
  <si>
    <t>Drakensberg Afroalpine Heathland</t>
  </si>
  <si>
    <t xml:space="preserve">Lesotho and very marginally also in KwaZulu-Natal Province: The highest plateaus and mountain ridges above an altitude of about 2 900 m in northeastern Lesotho. This includes the highest mountain in southern Africa (Thabana-Ntlenyana, 3 482 m). Further away from the edge of the Drakensberg Escarpment it is particularly extensive in the area of the Tlaeen Pass and Pass of Guns (between Mokhotlong and Oxbow) with good examples visible on the Kotisephola Pass (between Sani Pass top and Mokhotlong), Mafika-Lisiu Pass (between Lejone and Pitseng) and Matebeng Pass (between Sehlabathebe and Sehonghong). </t>
  </si>
  <si>
    <t>Rolling plateaus with steep slopes in places</t>
  </si>
  <si>
    <t>Summer rainfall, but subject to some precipitation from cold fronts in winter. MAP has a considerable range, with 1 609 mm at the top of the Organ Pipes Pass on the Escarpment at 2 927 m elevation, and only 634 mm at a point 365 m higher at 3 292 m, but between 15 and 20 km away from the Escarpment edge (Killick 1979). There is thus a rapid decline in MAP from near (2–3 km) the edge of the Escarpment (but further in the Oxbow area) to the interior even at higher elevations (Bawden &amp; Carrol 1968, Chakela 1999). The mean annual temperature of about 4.0°C is lower than that of any of the other vegetation units. Frost occurs probably more than half the year, including occasionally in summer. Letseng-la-Terae, at an altitude of 3 000 m, holds the record for the lowest temperature ever recorded in Lesotho (–20.4°C in June 1967). See also climate diagram for Gd 10 Drakensberg Afroalpine Heathland (Figure 8.11).</t>
  </si>
  <si>
    <t>The area occurs entirely on basalt of the Drakensberg Group (Karoo Supergroup). Soils are Mollisols indicating an Udic moisture regime and frigid temperature regime. Frost action is important in alpine soil formation (Mokuku 1991). The freezing and thawing of the soil heaves the soil material, resulting in gradual removal of finer soil particles downslope, mainly from the existing micro-erosion terraces. Soils derived from the basalt have fairly even proportions of coarse sand, fine sand, silt, clay and, importantly, organic matter (around 20%). In many areas the soil is shallow, with surface rock, including some areas with mostly rock rubble, for example on Thabana-Ntlenyana (Killick 1990).</t>
  </si>
  <si>
    <t>FFt1</t>
  </si>
  <si>
    <t>Kango Conglomerate Fynbos</t>
  </si>
  <si>
    <t xml:space="preserve">Western Cape Province: Northern foothills of the Little Karoo basin, south of the Groot Swartberg, from Gamkapoort to Barandas. Usually at higher altitude than the adjacent FRl 1 Kango Limestone Renosterveld such as on the Andriesberg. </t>
  </si>
  <si>
    <t>High foothills, tending to have flat summits, but well dissected.</t>
  </si>
  <si>
    <t>MAP 230–730 mm (mean: 455 mm), relatively even, but with a peak in March and a low in December–January. Mean daily maximum and minimum temperatures 30.6°C and 3.1°C for January and July, respectively. Frost incidence 10–20 days per year. See also climate diagram for FFt 1 Kango Conglomerate Fynbos (Figure 4.83).</t>
  </si>
  <si>
    <t>Shallow to deep, often yellow-red apedal soils derived chiefly from Cango sandstones, but also Buffelskloof conglomerate and dolerite intrusions. Land types mainly Ib.</t>
  </si>
  <si>
    <t>FFs15</t>
  </si>
  <si>
    <t>North Langeberg Sandstone Fynbos</t>
  </si>
  <si>
    <t xml:space="preserve">Western Cape Province: Northern slopes of the Langeberg from the Keerom Mountains near Worcester in the west to Cloete’s Pass north of Albertinia in the east, and to the interior on the Waboomsberg and Warmwaterberg Mountains north of Montagu and Barrydale, respectively. Also includes Aasvoëlberg hills from Albertinia to Mossel Bay. </t>
  </si>
  <si>
    <t>Gentle to steep, north-facing slopes, not much dissected over much of the range. Surface is gently sloping foothills of Waboomsberg, Warmwaterberg and Aasvoëlberg. The Cedarberg Shale Band is prominent in the west, mainly as a smooth-sided valley, along which most of the hiking trails are orientated.</t>
  </si>
  <si>
    <t>MAP 250–1 200 mm (mean: 580 mm), peaking very slightly in winter and with a slight low from December to February. Mean daily maximum and minimum temperatures 26.5°C and 4.1°C for January and July, respectively. Frost incidence 3–20 days per year. See also climate diagram for FFs 15 North Langeberg Sandstone Fynbos (Figure 4.21).</t>
  </si>
  <si>
    <t>Acidic lithosol soils derived from Ordovician sandstones of the Table Mountain Group (Cape Supergroup). Land types mainly Ic, Ib, Db and Fc.</t>
  </si>
  <si>
    <t>FFs18</t>
  </si>
  <si>
    <t>North Outeniqua Sandstone Fynbos</t>
  </si>
  <si>
    <t xml:space="preserve">Western Cape Province: Northern slopes of the Outeniqua Mountains from the Cloetesberg northeast of Albertinia in the west to Vlug se Berg south of Uniondale in the east, and eastwards along the low range north of the N9 road. </t>
  </si>
  <si>
    <t>Gentle to steep north-facing slopes, with some intramontane valleys over a 135 km long area</t>
  </si>
  <si>
    <t>MAP 240–950 mm (mean: 520 mm), evenly throughout the year. Mean daily maximum and minimum temperatures 29.2°C and 3.9°C for January and July, respectively. Frost incidence varies around 10 days per year. See also climate diagram for FFs 18 North Outeniqua Sandstone Fynbos (Figure 4.21).</t>
  </si>
  <si>
    <t>Acidic lithosol soils (Glenrosa and Mispah forms prominent) derived from Ordovician sandstones of the Table Mountain Group (Cape Supergroup). Land types mainly Ib and Fc.</t>
  </si>
  <si>
    <t>Gh4</t>
  </si>
  <si>
    <t>Besemkaree Koppies Shrubland</t>
  </si>
  <si>
    <t xml:space="preserve">Northern Cape, Free State and Eastern Cape Provinces: On plains of Eastern Upper Karoo (between Richmond and Middelburg in the south and the Orange River) and within dry grasslands of the southern and central Free State. Extensive dolerite-dominated landscapes along the upper Orange River belong to this unit as well. Extends northwards to around Fauresmith in the northwest and to the Wepener District in the northeast. </t>
  </si>
  <si>
    <t>Eastern Cape, Northern Cape, Free State</t>
  </si>
  <si>
    <t>Slopes of koppies, butts and tafelbergs</t>
  </si>
  <si>
    <t>Due to the large extent of the area, the rainfall pattern differs slightly from west to east. Seasonal summer rainfall prevails when the patches are found embedded within other units of the Grassland Biome, but the southern and southwestern regions show hints of bimodal climate patterns typical of the Nama-Karoo. Far more importantly, despite an overall MAP of almost 400 mm, MAP ranges from about 280 mm in the west (De Aar) to more than double, 580 mm, in the east (Edenburg). Much of the rainfall is of convectional origin. MAT 15°C. See also climate diagram for Gh 4 Besemkaree Koppies Shrubland (Figure 8.23).</t>
  </si>
  <si>
    <t>Dolerite koppies and sills embedded within Karoo Supergroup sediments. The dolerite dykes and sills are igneous intrusions that are the result of extensive volcanic activity, which accompanied the break-up of Gondwana in the Jurassic. In places the slopes of mesas and butts carrying this vegetation type have a mixed geology where dolerites occur together with sandstones and mudstones of the Ecca and Beaufort Groups. Fb land type covers almost 60% of the area, followed by Ib.</t>
  </si>
  <si>
    <t>Dn5</t>
  </si>
  <si>
    <t>Western Gariep Hills Desert</t>
  </si>
  <si>
    <t>Southern Namib Desert Bioregion</t>
  </si>
  <si>
    <t xml:space="preserve"> In the triangle between Sendelingsdrif, Kuboes and Sanddrif in the northern Richtersveld. It shares a border on the east with the Central Richtersveld Mountain Shrubland of the Succulent Karoo Biome. </t>
  </si>
  <si>
    <t xml:space="preserve">Very heterogeneous broken landscape, mostly hilly but including some smaller and larger plains. </t>
  </si>
  <si>
    <t>Predominantly winter rainfall with MAP from about 45–60 mm. High summer maximum temperatures up to 50°C. Frost absent. Fog less frequent than at coast but still estimated to be 40–50 fog days per year, becoming less frequent further up the course of the Orange River.</t>
  </si>
  <si>
    <t>Metasediments of the Gariep Supergroup dominate this area. They include quartzite, limestone, dolomite, diamictite and schist which occur in a structurally complex succession, making up the Port Nolloth Group (Namibian). Mispah and Glenrosa soils dominate, with lime generally present in the entire landscape. The dominant land type is Fc.</t>
  </si>
  <si>
    <t>Gs7</t>
  </si>
  <si>
    <t>Income Sandy Grassland</t>
  </si>
  <si>
    <t xml:space="preserve">KwaZulu-Natal Province: In a large triangle between Newcastle, Vryheid and Dundee and larger polygon in the Wasbank area in northern KwaZulu-Natal. </t>
  </si>
  <si>
    <t>Very flat extensive areas with generally shallow, poorly drained, sandy soils</t>
  </si>
  <si>
    <t>Region of summer rainfall, with most precipitation occurring between October and March (overall MAP 750 mm; range 650–800 mm), much of which falls as thundershowers often accompanied by hail. MAT is just below 17°C, and mean annual evaporation 1 845 mm. Frost moderate (Camp 1999c). See also climate diagram for Gs 7 Income Sandy Grassland (Figure 8.61).</t>
  </si>
  <si>
    <t>Sandstones and shale of the Madzaringwe Formation (Ecca Group of Karoo Supergroup) supporting poorly drained sandy soils, mostly of the Glenrosa form. Most important land types Ca, Bb and Fb.</t>
  </si>
  <si>
    <t>Dn3</t>
  </si>
  <si>
    <t>Western Gariep Plains Desert</t>
  </si>
  <si>
    <t xml:space="preserve">On the plains from east of Alexander Bay and south of Grootderm, extending about 15 km to the east and south. The unit borders on Succulent Karoo to the south. </t>
  </si>
  <si>
    <t>The landscape is dominated by plains, although slightly undulating hills and rocky outcrops do occur in places.</t>
  </si>
  <si>
    <t>MAP 45–55 mm and rainfall erratic, but predominantly in winter. High frequency of fog. Extreme wind speeds and sand-blasting from a southern direction and high frequency of sand storms which usually peak in the afternoon. No occurrence of frost. See other similar climate features under Dn 1 Alexander Bay Coastal Duneveld as well as Figure 6.2.</t>
  </si>
  <si>
    <t>Underlying rocks are mainly metasediments and metavolcanics of the Gariep Supergroup (Late Proterozoicum). Quartz-feldspar gneiss, schist, subordinate amphibolite and minor ultramafic rocks are all largely covered by young superficial deposits. Quaternary sediments have developed gypscretes in places, often with high salinity. Generally shallow wind-swept soils with desert pavement are caused by very strong movements of wind-blown sand over the soil surface. Land types Ai and Ia.</t>
  </si>
  <si>
    <t>FFq2</t>
  </si>
  <si>
    <t>Swartruggens Quartzite Fynbos</t>
  </si>
  <si>
    <t xml:space="preserve">Western and Northern Cape Provinces: West of the Cederberg from the Tra-Traberge north of Wuppertal, interrupted by the Tra-Tra River Valley, continuing on the high plateau including the Vaalheuningberge, Matjiesrivier, Klipbokberg, Rietriviersberg, eastern Blinkberg, continuing on the Swartruggens Plateau, Vleieberg, Watervalsberg, Baviaansberg and Kwarrieberg at Karoopoort in the south. </t>
  </si>
  <si>
    <t>Mountains alternating with broad ridges and plains</t>
  </si>
  <si>
    <t>Subarid, winter-rainfall regime with MAP 200–620 mm (mean: 330 mm), peaking from May to August. Mean daily maximum and minimum temperatures 27.9°C and 2.7°C for February and July, respectively. Frost incidence 10–20 days per year. See also climate diagram for FFq 2 Swartruggens Quartzite Fynbos (Figure 4.51).</t>
  </si>
  <si>
    <t>Sandy and skeletal soils (usually of Glenrosa or Mispah forms) derived from Witteberg Group quartzite. Land types mainly Ib and Fa.</t>
  </si>
  <si>
    <t>SVmp2</t>
  </si>
  <si>
    <t>Limpopo Ridge Bushveld</t>
  </si>
  <si>
    <t xml:space="preserve">Limpopo Province: On hills and ridges, such as Madiapala in the lower Mogalakwena River basin in the west through a cluster of hills in the Pontdrif area including Poortjieberg and Tsolwe, eastwards including Mapungubwe Mountain in the Mapungubwe National Park through to the hills and ridges in the vicinity of the Limpopo River further downstream (for example Ha-Tshansi at Musina, Ha-Dowe and Maremani). Also including hills and ridges well away from the river north of the Soutpansberg and generally east of the Sand River (e.g. Tshitangai, Bloukop and Ha-Manenzhe) through to some rugged areas in the far northern Kruger National Park. </t>
  </si>
  <si>
    <t xml:space="preserve">Extremely irregular plains with ridges and hills. </t>
  </si>
  <si>
    <t>Summer rainfall with very dry winters including the shoulder months of May and September. MAP about 300–400 mm. Generally a frost-free area. See also climate diagram for SVmp 2 Limpopo Ridge Bushveld.</t>
  </si>
  <si>
    <t>Mostly rocks of the Beit Bridge Complex (Swazian Erathem) as well as sediments (including sandstones of the Clarens Formation) and basalt (particularly in the east) of the Karoo Supergroup. Shallow gravel and sand (Glenrosa and Mispah soil forms) to calcareous clayey soil. Land types mainly Fc, Fb and Ib.</t>
  </si>
  <si>
    <t>SKs7</t>
  </si>
  <si>
    <t>Namaqualand Strandveld</t>
  </si>
  <si>
    <t xml:space="preserve">Northern and Western Cape Provinces: Namaqualand Sandveld—from Gemboksvlei (at southern foothills of the Vyftienmyl se Berge in southern Richtersveld as far south as Donkins Bay (south of Doringbaai). Especially in the northern region (plains north and south of Buffels River) this unit penetrates deeply inland (40 km in places). Most of the area is situated deep inland (isolated from the coast by a belt of SKs 8 Namaqualand Coastal Duneveld) and approaching the coast only near the river mouths of the Buffels River, Swartlintjies River, Spoeg River, Bitter River and Groen River. South of Abraham Villiersbaai (south of Groen River mouth) Namaqualand Strandveld descends to the coast and continues as an unequally broad band as far south as Donkins Bay (north of Lamberts Bay). In the south it also reaches deeply inland along the Groen and Swartdoorn Rivers as well as along the lower stretches of the Olifants River. </t>
  </si>
  <si>
    <t xml:space="preserve">Flat to slightly undulating landscape of coastal peneplain. </t>
  </si>
  <si>
    <t>Arid, winter-rainfall area with MAP of 112 mm. Almost all the rainfall occurs from May to August and almost always no rainfall in December and February. Frost is a rare event. Lowest temperatures in winter are 8–10ºC and the highest temperatures in the summer just below 30ºC. See also climate diagram for SKs 7 Namaqualand Strandveld (Figure 5.39).</t>
  </si>
  <si>
    <t>Quaternary stabilised aeolian, deep, red or yellowish red, stable dunes and deep sand overlying marine sediments and granite gneisses. Sometimes weakly defined scattered heuweltjies are found further away from the sea. Unstable white sand dune plumes originate from the river mouths and extend north- and northeastwards up to 25 km inland. Dunes become slightly more stable north of Kleinzee. The area is a combination of Ah, Ae, Af, Ai and Ag land types.</t>
  </si>
  <si>
    <t>FFb1</t>
  </si>
  <si>
    <t>Northern Inland Shale Band Vegetation</t>
  </si>
  <si>
    <t>Western Cape Province: Narrow shale band from Mount Synnott near the Pakhuis Pass in the Cederberg, to the Skurweberg, Koue Bokkeveld, Groot Winterhoek, Hex River and Keeroms Mountains. Small portions of this shale band unit are found at Piketberg and Breëvlei north of Het Kruis.  See also Figure 4.78 featuring the simplified distribution of this unit.</t>
  </si>
  <si>
    <t>A narrow 80–200 m linear feature, smooth and flat in profile compared to surrounding areas and thus favoured for paths and roads. The dominant landscape of the Cederberg (the long, linear plateaus) is often associated with the shale bands.</t>
  </si>
  <si>
    <t>MAP 250–1 360 mm (mean: 590 mm), peaking from May to August. Mean daily maximum and minimum temperatures 27.2°C and 3.4°C for February and July, respectively. Frost incidence 10–30 days per year. See also climate diagram for FFb 1 Northern Inland Shale Band Vegetation (Figure 4.77).</t>
  </si>
  <si>
    <t>Clays derived from shales of the Cedarberg Formation. Land types mainly Ic and Ib.</t>
  </si>
  <si>
    <t>AZi8</t>
  </si>
  <si>
    <t>Muscadel Riviere</t>
  </si>
  <si>
    <t xml:space="preserve">Western Cape Province: River alluvia of the lower Breede River (between Worcester and Bonnievale) as well as those embedded within the western Little Karoo (Montagu area) and eastern Little Karoo (the rivers draining the basin around Oudtshoorn). </t>
  </si>
  <si>
    <t>Flat, in places very broad alluvia</t>
  </si>
  <si>
    <t>The regional climate diagram for this unit suggests almost evenly spread precipitation. However, winter rainfall prevails in the western part of the region and becomes nonseasonal towards the eastern limits of the distribution of this vegetation type (eastern Little Karoo). MAP is low (210 mm; range 220 mm in the rainshadow of the Langeberg to 368 mm in the Breede River Valley) due to the rainshadow effect from the surrounding mountain ranges of the Cape Fold Belt. The region is characterised by relatively high MAT (17.9°C; range 16.0°C in Breede River Valley to 17.2°C near Willowmore) and particularly hot summers (with temperatures reaching above 40°C (especially in Worcester). See also climate diagram for AZi 8 Muscadel Riviere (Figure 13.2).</t>
  </si>
  <si>
    <t>Recent sandy and clayey alluvial (riverine) sediments mostly derived from the clastic sediments of the Jurassic-Cretaceous Uitenhage Group supporting soils typical of Ia land type. These alluvial habitats frequently suffer from devastating floods occurring especially with the first cold western frontal systems bringing torrential rain to the Cape (such as recently in 1981, 2002, 2004 and 2005).</t>
  </si>
  <si>
    <t>NKb6</t>
  </si>
  <si>
    <t>Bushmanland Basin Shrubland</t>
  </si>
  <si>
    <t xml:space="preserve">Northern Cape Province: Large Bushmanland Basin centred on Brandvlei and Van Wyksvlei area, spanning Granaatboskolk in the west to Copperton in the east, and Kenhardt vicinity in the north to Williston vicinity in the south. </t>
  </si>
  <si>
    <t xml:space="preserve">Slightly irregular plains </t>
  </si>
  <si>
    <t>Rainfall occurs in late summer and early autumn. MAP ranges from about 100–200 mm. Mean maximum and minimum monthly temperatures in Brandvlei are 39.6°C and –2.2°C for January and July, respectively. Corresponding values for Van Wyksvlei are 39.5°C and –4.6°C. See also climate diagram for NKb 6 Bushmanland Basin Shrubland (Figure 7.2).</t>
  </si>
  <si>
    <t>Mudstones and shales of Ecca Group (Prince Albert and Volksrust Formations) and Dwyka tillites, both of early Karoo age, dominate. About 20% of rock outcrop is formed by Jurassic intrusive dolerite sheets and dykes. Soils are shallow Glenrosa and Mispah forms, with lime generally present in the entire landscape (Fc land type) and, to a lesser extent, red-yellow apedal, freely drained soils with a high base status and usually &lt;15% clay (Ah and Ai land types) are also found. The salt content in these soils is very high.</t>
  </si>
  <si>
    <t>FFd9</t>
  </si>
  <si>
    <t>Albertinia Sand Fynbos</t>
  </si>
  <si>
    <t xml:space="preserve">Western Cape Province: Generally longitudinally east-west-trending patches on the coastal plain from Potberg in the west to the Gouritz River in the east. Also found from Kleinberg to west of Mossel Bay, with isolated unmapped outliers near Groot Brak River and between Potberg and De Hoop Vlei. The patches of this vegetation unit almost always border a limestone fynbos type. When enclosed by limestone, it is often found in depressions which can be extensive, for example the Wankoe south of Riversdale and Canca se Leegte south of Albertinia. </t>
  </si>
  <si>
    <t>Plains and undulating hills with numerous dune slacks—forming the most extensive area of sand fynbos within the limestone fynbos area and occupying most of the depressions, valleys and lower slopes.</t>
  </si>
  <si>
    <t>MAP 230–620 mm (mean: 430 mm), with no clear peak and a slight low in December–January. Mean daily maximum and minimum temperatures 25.5°C and 6.4°C for January–February and July, respectively. Frost incidence about 3 days per year. See also climate diagram for FFd 9 Albertinia Sand Fynbos (Figure 4.57).</t>
  </si>
  <si>
    <t>Deep neutral to acid, usually red, Tertiary sands associated with limestone of Bredasdorp Formation, but also acid sands derived from alluvial deposits from the Gouritz River. Acid Tertiary sands, usually grey, from Potberg and Aasvogelberg are locally prominent. Land types mainly Fc, Hb and Db.</t>
  </si>
  <si>
    <t>FFs12</t>
  </si>
  <si>
    <t>Overberg Sandstone Fynbos</t>
  </si>
  <si>
    <t xml:space="preserve">Western Cape Province: Spread irregularly from Bot River and Hawston in the northwest to the Soetanysberg and Bredasdorp in the southeast, including the Caledon Swartberg, Babilonstoring, Kleinrivier and Bredasdorp Mountains and Agulhas hills such as Franskraal se Berge and Buffeljachtsberg. </t>
  </si>
  <si>
    <t xml:space="preserve">Low mountains, undulating hills and moderately undulating plains </t>
  </si>
  <si>
    <t>MAP 450–830 mm (mean: 585 mm), peaking May to August. Southeasterly cloud brings mist precipitation to eastern and southern slopes at higher altitudes in summer. Mean daily maximum and minimum temperatures 25.6°C and 6.3°C for January and July, respectively. Frost incidence 2 or 3 days per year. See also climate diagram for FFs 12 Overberg Sandstone Fynbos (Figure 4.21).</t>
  </si>
  <si>
    <t>Acidic lithosol soils derived from Ordovician sandstones of the Table Mountain Group (Cape Supergroup), Houwhoek, Glenrosa and Mispah forms prominent. Land types mainly Ib and Gb.</t>
  </si>
  <si>
    <t>Dg7</t>
  </si>
  <si>
    <t>Northern Nababiepsberge Mountain Desert</t>
  </si>
  <si>
    <t xml:space="preserve">A large plateau of black limestone, south of the Orange River, west of Vioolsdrif, east of Helskloof with a southern boundary 15–20 km south of the river. </t>
  </si>
  <si>
    <t>Very rocky plateau interrupted by deep gorges</t>
  </si>
  <si>
    <t>MAP about 45–70 mm with rainfall peak in late summer and early autumn. High summer maximum temperatures often higher than 40°C, occasionally reaching 50°C. Frost is very rare, but occurs at high altitudes. See also Figure 6.2.</t>
  </si>
  <si>
    <t>Mainly shale, quartzite and limestone of the Schwarzrand Subgroup with a small area underlain by the quartzite of the Kuibis Subgroup (both Nama Group, Namibian Erathem). Very rocky with no soils to little and extremely shallow soils. Land type Ic.</t>
  </si>
  <si>
    <t>FFd11</t>
  </si>
  <si>
    <t>Southern Cape Dune Fynbos</t>
  </si>
  <si>
    <t>South Strandveld Bioregion</t>
  </si>
  <si>
    <t xml:space="preserve">Western and Eastern Cape Provinces: Two large mapped patches on the Indian Ocean Coast span the Wilderness Estuary and Buffels Bay near Knysna (Western Cape), and Tsitsikamma River mouth to Oyster Bay (Eastern Cape). Smaller cordons occur further east between Oyster and St Francis Bays. A series of smaller unmapped patches occur as far west as Mossel Bay and eastwards to near East London. </t>
  </si>
  <si>
    <t xml:space="preserve">Coastal dune cordons (those towering above the Groenvlei near Sedgefield considered the tallest vegetated dunes in southern Africa) often with steep slopes. </t>
  </si>
  <si>
    <t>MAP 600–900 mm (mean: 757 mm), with a slight peak in autumn and spring. Mean daily maximum and minimum temperatures 25.3°C and 8.0°C for February and July, respectively. Frost is a rare phenomenon due to the strong marine influence of the ocean. See also climate diagram for FFd 11 Southern Cape Dune Fynbos (Figure 4.57).</t>
  </si>
  <si>
    <t>Stabilised old calcareous or neutral dunes (some as old as 120 000 years) outside the influence of salt spray built of deep sands, moving in places. Soils of Lamotte form, main land types Hb and Ga.</t>
  </si>
  <si>
    <t>B1i_inv</t>
  </si>
  <si>
    <t>SKv4</t>
  </si>
  <si>
    <t>Tanqua Escarpment Shrubland</t>
  </si>
  <si>
    <t xml:space="preserve">Western Cape Province: Narrow belt on northwest-facing slopes of the Klein-Roggeveldberge and on southwest-facing and west-facing slopes of the Roggeveld Escarpment as far north as (and west of) Bloukrans Pass (south of Calvinia). </t>
  </si>
  <si>
    <t>Steep flanks below an escarpment overlooking a basin, generally facing southwest</t>
  </si>
  <si>
    <t>Less pronounced winter-rainfall regime with most of the rainfall spread between March and August (peaking from June to August). MAT is almost 16°C and the incidence of frost is relatively high (30 days). See also climate diagram for SKv 4 Tanqua Escarpment Shrubland (Figure 5.65).</t>
  </si>
  <si>
    <t>Mudrocks of the Adelaide Subgroup (Beaufort Group) and Permian Volksrust Formation (Ecca Group) as well as brown to grey shale, siltstone and sandstone of the Permian Waterford Formation (also Ecca Group), broken by network of intrusive Jurassic Karoo dolerites. The shallow soils form the basis for the classification of most of the area into Ib land type (with Dc land type being of lesser importance).</t>
  </si>
  <si>
    <t>SKv5</t>
  </si>
  <si>
    <t>Tanqua Karoo</t>
  </si>
  <si>
    <t xml:space="preserve">Western and Northern Cape Provinces: Basin encompassing valleys of Tanqua and Doring Rivers located between Cederberg (Swartruggens) in the west, the Roggeveld Escarpment in the east and Klein Roggeveld Mountains in the southeast; towards the north this unit borders on higher elevated plains of the Hantam Karoo. </t>
  </si>
  <si>
    <t xml:space="preserve">Slightly undulating intra-mountain basin sheltered by steep slopes of mountain ranges. The plain is interrupted by a series of solitary dolerite butts and elevated ridges, extensive, flat sheet-washes and deeper incised channels of intermittent rivers </t>
  </si>
  <si>
    <t>Winter-rainfall regime: most of the precipitation falls between May and August, while December and January are virtually precipitation-free. The region has high spatial variability of precipitation, with some rainshadows experiencing as little as 40 mm of rainfall per year (in extremely dry years). MAP varies from a low of 72 mm in the central part of the unit (Elandsvlei on the Tanqua River, 41 years of records) to 112 mm in the north of the unit (Reenen on the Wolf River, 79 years) and to 111 mm in the south of the unit (Spes Bona on the Doring River, 29 years). MAT is slightly above 17°C, but in winter the temperature can often fall below the frost mark (15 days in a year). Mean maximum and minimum monthly temperatures of 35.9°C and 5.64°C occur in January and July, respectively. See also climate diagram for SKv 5 Tanqua Karoo (Figure 5.65).</t>
  </si>
  <si>
    <t>Permian Volksrust Formation mudrocks of the Ecca Group, Carboniferous Dwyka Group diamictites and Ceres Subgroup sandstones (Bokkeveld Group) predominate. Intrusive Jurassic Karoo dolerite dykes occur in the northwest. Sandy-loamy soils of various depths. Quartz patches are a rare phenomenon concentrated in the southern portions of the Tanqua Basin. Fc is the dominant land type, with Ag land type playing subordinate role.</t>
  </si>
  <si>
    <t>SKn1</t>
  </si>
  <si>
    <t>Namaqualand Klipkoppe Shrubland</t>
  </si>
  <si>
    <t>Northern and Western Cape Provinces: Central and north-central regions of Namaqualand spanning Steinkopf in the north and Nuwerus in the south.</t>
  </si>
  <si>
    <t>Dramatic landscape of huge granite and gneiss domes, smooth glacis and disintegrating boulder koppies</t>
  </si>
  <si>
    <t>Seasonal winter rainfall (May to September). MAP about 160 mm, with epizodic drought periods (well below 100 mm per year) of one or two years in succession. Dew is present throughout the winter. MAT 16.6°C. Hot summers, with mean maximum and minimum daily temperatures 30°C and 5°C for January and July, respectively. Frost occurs about 8 days per year, but can vary widely from year to year. See also climate diagram for SKn 1 Namaqualand Klipkoppe Shrubland (Figure 5.29).</t>
  </si>
  <si>
    <t>A number of Mokolian granites and gneisses (most widespread is the Kamieskroon Gneiss) form gentle to moderate rocky slopes, rock sizes varying from medium to large with flat to gentle rock sheets as well as rock domes, yellow-brown to brown loamy sand, 0.15–0.6 m deep. Ag and Ib land types (35% each), followed by Fb and Fc (10% each).</t>
  </si>
  <si>
    <t>SVcb25</t>
  </si>
  <si>
    <t>Poung Dolomite Mountain Bushveld</t>
  </si>
  <si>
    <t xml:space="preserve">Limpopo and Mpumalanga Provinces: Mountain slopes from the area of the Abel Erasmus Pass in the south, more or less continuously northwards along the western rainshadow side of the escarpment, including Poung Mountain near Penge becoming discontinuous towards the Wolkberg and westwards along the Strydpoort Mountains to Chuniespoort and Mokopane. </t>
  </si>
  <si>
    <t>Low to high mountain slopes. Various slope angles, aspects and altitude, especially along the western extension.</t>
  </si>
  <si>
    <t>Summer rainfall with dry winters. MAP about 500–900 mm, lowest in the escarpment rainshadow and peaking near the border, with grassland at higher altitudes on the escarpment, lower on the Strydpoort Mountain part of this unit than on the escarpment. Mist absent and frost infrequent. See also climate diagram for SVcb 25 Poung Dolomite Mountain Bushveld.</t>
  </si>
  <si>
    <t>Geology almost entirely Malmani Formation dolomite of the Transvaal Supergroup with chert always interlayered. Soils with high pH, rich in calcium and magnesium, and with low levels of phosphorus. Soils are usually shallow (Mispah soil form) and occasionally deep (Hutton and Griffin soil forms). Land types mainly Ib and Fa.</t>
  </si>
  <si>
    <t>FOz6</t>
  </si>
  <si>
    <t>Southern Coastal Forest</t>
  </si>
  <si>
    <t>T1</t>
  </si>
  <si>
    <t>T1.2</t>
  </si>
  <si>
    <t xml:space="preserve">Eastern Cape and Western Cape Provinces: Coastal plains between Alexandria and Van Stadens River canyon (west of Port Elizabeth) and on coastal dunes of the Eastern Cape. Also found at low altitudes (close to the sea) in deeply incised river valleys in the Albany District surrounded by subtropical succulent thickets. The westernmost forest type of this group is the Western Cape Milkwood Forest found as an interrupted belt of patches stretching along the southern seaboard between Nature’s Valley (Plettenberg Bay) and Llandudno (Cape Town). </t>
  </si>
  <si>
    <t/>
  </si>
  <si>
    <t>Well-drained sandy soils of coastal (dune) origin over sedimentary rocks of Alexandria and Nanaga Formations of the Algoa Group. Loamy skeletal soils are supported by the Bokkeveld Group sediments, while deep, nutrient-rich sandy soils over aeolinite or limestone of Bredasdorp Group. The patches situated deeper inland (such as those in Albany region) are found at colluvial valley-bottom sediments derived from Karoo Supergroup shales.</t>
  </si>
  <si>
    <t>FOz1</t>
  </si>
  <si>
    <t>Southern Afrotemperate Forest</t>
  </si>
  <si>
    <t xml:space="preserve">Western Cape, Eastern Cape and also (only few patches) in Northern Cape Provinces: The largest complex is found in the southern Cape along the narrow coastal strip (250 km long) between Humansdorp in the east and Mossel Bay (Knysna-Tsitsikamma forest region)—here occurring on sheltered seaward slopes, plateaux and coastal scarps. The easternmost outlier forest patches occur near Port Elizabeth, while westwards ?oristically impoverished forms of these forests occur along the feet of south- and east-facing slopes and in deep kloofs and ravines of the Cape Fold Belt mountains as far as the Cape Peninsula in the west. The northernmost localities are near Vanrhynsdorp Pass and in the Matsikamma Mountains. </t>
  </si>
  <si>
    <t xml:space="preserve">forests </t>
  </si>
  <si>
    <t>Soils varying from shallow (and skeletal) Mispah, Glenrosa and Houwhoek forms to sandy humic Fernwood form, derived from Table Mountain Group sandstones and shales of the Cape Supergroup and partly also from Cape Granite.</t>
  </si>
  <si>
    <t>SVcb2</t>
  </si>
  <si>
    <t>Madikwe Dolomite Bushveld</t>
  </si>
  <si>
    <t xml:space="preserve">North-West and Limpopo Provinces: Extends along the low ridge from the international border at Ramotswa in the west via the Rand Van Tweede Poort, Tlhapitse and Maakane to Modimong in the east. It is also found on dolomite hills between Assen and Northam. </t>
  </si>
  <si>
    <t>Gentle ridges and low hills up to about 100–150 m above the surrounding plains.</t>
  </si>
  <si>
    <t>Summer rainfall with very dry winters. MAP from about 520 mm in the west to 650 mm in the east. Frost fairly frequent in winter. See also climate diagram for SVcb 2 Madikwe Dolomite Bushveld.</t>
  </si>
  <si>
    <t>Stony, shallow soils of the Glenrosa and Mispah forms underlain mainly by dolomite, subordinate chert, minor carbonaceous shale, limestone and quartzite of the Malmani Subgroup (Chuniespoort Group, Transvaal Supergroup, Vaalian Erathem). Land type is mainly Fa.</t>
  </si>
  <si>
    <t>SVl16</t>
  </si>
  <si>
    <t>Southern Lebombo Bushveld</t>
  </si>
  <si>
    <t xml:space="preserve">Mpumalanga and KwaZulu-Natal Provinces and Swaziland: From Komatipoort, widening southwards into Swaziland, including the Mbuluzi River Gorge, through Siteki and across the Isuthu River Gorge into KwaZulu-Natal, extending east of Mkuze and terminating about 10 km north of Hluhluwe in the south. The high-altitude sourvelds are excluded and are SVl 17 Lebombo Summit Sourveld. Relatively small parts of this unit extend into Mozambique, mainly at the northern end. </t>
  </si>
  <si>
    <t xml:space="preserve">On very shallow soils (e.g. slopes of deep gorges or exposed ridges) </t>
  </si>
  <si>
    <t>Summer rainfall with very little rain in winter. MAP about 550–1 000 mm. Frost very infrequent. See also climate diagram for SVl 16 Southern Lebombo Bushveld.</t>
  </si>
  <si>
    <t>Shallow lithosols developing over rhyolites of the Jozini Formation, Lebombo Group (Karoo). Soils shallow Glenrosa and Mispah forms. Land types are unclassified in Swaziland and in South Africa the dominant land type is Fb.</t>
  </si>
  <si>
    <t>FS6</t>
  </si>
  <si>
    <t>Cape Flats Dune Strandveld</t>
  </si>
  <si>
    <t xml:space="preserve">Western Cape Province: This unit occurs as four discontinuous regions—the largest patch spans the south coast of False Bay (between Gordon’s Bay and Muizenberg) and penetrates deep into the Cape Flats as a broad wedge as far north as Bellville, the other patch spans Silverstroomstrand and Table Bay (Cape Town) and includes the Atlantis dune plume, the third region is a series of small patches covering coastal dune pockets on the Cape Peninsula, while the last patch is situated on Robben Island. </t>
  </si>
  <si>
    <t>Flat to slightly undulating (dune fields) landscape</t>
  </si>
  <si>
    <t>Exclusive winter-rainfall regime with mean annual rainfall varying from approximately 350 mm in the north to 560 mm in the south. The winter rains are accompanied by strong northwesterly winds and cooler temperatures. Mean daily maximum and minimum temperatures 26.7°C and 7.5°C for February and July, respectively. Mean monthly maximum and minimum temperatures for Cape Town International Airport 34.3°C and 1.1°C for February and July, respectively. Winds are southerly or southeasterly in summer. Frost very infrequent. See also climate diagram for FS 6 Cape Flats Dune Strandveld (Figure 4.128).</t>
  </si>
  <si>
    <t>Built mainly of Tertiary to Recent calcareous sand of marine origin and overlying metasediments of the Tygerberg Formation (Malmesbury Group, Namibian Erathem). Outcrops of Sandveld Group limestone (hardpan) are found on the False Bay coast (Cape Peninsula and especially the Wolvengat area). Dominant land type Ha (about 50%), with Hb and Ga playing subordinate roles.</t>
  </si>
  <si>
    <t>B1i_rod, B1i_inv, B1iii_sp, B2i_rod, B2i_inv, B2iii_sp</t>
  </si>
  <si>
    <t>Gm4</t>
  </si>
  <si>
    <t>Eastern Free State Sandy Grassland</t>
  </si>
  <si>
    <t xml:space="preserve">Free State Province, Lesotho and marginally into KwaZulu-Natal Province: Ladybrand (west) to the base of foothills of the Drakensberg (Maloti) and the Escarpment in the vicinity of Harrismith (east) and Mafeteng (south). The towns of Marquard, Paul Roux, Bethlehem, Memel and Vrede bound this unit on its northern border. </t>
  </si>
  <si>
    <t>Flat to slightly undulating and undulating terrain with streams and rivers that drain the foothills of the Drakensberg.</t>
  </si>
  <si>
    <t>Summer-rainfall region, with MAP around 700 mm. Much of the precipitation falls in form of thunderstorms between November and March. Great differences between the average temperatures in winter and summer as well as very frequent occurrence of frost confirm a continental climate. See also description of climate for Gm 3 Eastern Free State Clay Grassland and climate diagram for Gm 4 Eastern Free State Sandy Grassland (Figure 8.36).</t>
  </si>
  <si>
    <t>Mudstones, sandstones and shale of the Beaufort Group (Tarkastad Formation in the south and Adelaide Formation in the north). Glenrosa, Bonheim, Avalon and Mayo soil forms dominate the outcrops and slightly elevated areas while Sepane, Arcadia and Rensburg soil forms are typical for moist bottomlands. Major land types Bb, Bd and Ca.</t>
  </si>
  <si>
    <t>SKt3</t>
  </si>
  <si>
    <t>Roggeveld Karoo</t>
  </si>
  <si>
    <t xml:space="preserve">Northern (and to a very small extent also Western) Cape Province: Keiskiesberg and Kapgat se Berge southeast of Calvinia, surrounds of Sutherland and Hondefontein as far west as Teekloof Pass in the Nuweveld Mountains southeast of Fraserburg: the area constitutes a gradually sloping plateau situated inland of the Roggeveld Escarpment towards the Bushmanland Basin. Only negligible patches of this vegetation type move into Western Cape Province in the Besemgoedberge area (Nuweveld Mountains region). </t>
  </si>
  <si>
    <t xml:space="preserve">Diverse landscape including vast stretches of slightly undulating hills, steeper mountain slopes as well as extensive slightly sloping plateaus. </t>
  </si>
  <si>
    <t>Roggeveld is climatically one of the most peculiar regions of southern Africa due to the unusual combination of high altitude, a land-locked continental position and a transitional position between two major climatic systems responsible for winter- and summer-rainfall regimes. It is a semidesert region under slight influence of a rainshadow (the area slopes landwards, away from the elevated Escarpment), with MAP reaching around 230 mm. Pronounced precipitation peaks are in March and June, and the overall precipitation in December to January is markedly lower than during the rest of the year. MAT 14–15°C, but the high frequency of low temperatures in autumn and winter resulting in an average of 56 frost days per year, has won the region (the town of Sutherland in particular) the reputation as the coldest place in South Africa. Clear skies (low cloudiness due to overall dry climate and high altitude as well as remoteness from major settlements and especially sources of air pollution) put Sutherland on the world map of astronomy through its famous telescope centre built near the town. See also climate diagram for SKt 3 Roggeveld Karoo (Figure 5.60).</t>
  </si>
  <si>
    <t>The area is dominated by Adelaide Subgroup mudrock and subordinate sandstone (Beaufort Group, Karoo Sequence), with Ecca Group shale and sandstone found in the northeast (Waterford and Volksrust Formations). Karoo dolerites are found throughout the area. Fc land type dominates the region, while Da land type is also present.</t>
  </si>
  <si>
    <t>FRs13</t>
  </si>
  <si>
    <t>Eastern Ruens Shale Renosterveld</t>
  </si>
  <si>
    <t xml:space="preserve">Western Cape Province: Eastern Rûens (Overberg) from Bredasdorp (Patryskraal) and the area of the Breede River near Swellendam, between the coastal limestone (and sandstone) belt in the south and vegetation types of the southern foothills of the Langeberg, encompassing the areas in the vicinity of Malgas and Heidelberg, to the Goukou River at Riversdale. </t>
  </si>
  <si>
    <t>Moderately undulating hills and plains</t>
  </si>
  <si>
    <t>MAP 270–540 mm (mean: 385 mm), with an even distribution and a slight low from December to February. Mean daily maximum and minimum temperatures 26.9°C and 5.9°C for January and July, respectively. Frost incidence about 3 days per year. See also climate diagram for FRs 13 Eastern Rûens Shale Renosterveld (Figure 4.101).</t>
  </si>
  <si>
    <t>Clays and loams derived from Bokkeveld Group shales with some contribution from Mesozoic Uitenhage Group sediments in the northeast; Glenrosa and Mispah forms dominant. Land types mainly Fb, Fc and Db.</t>
  </si>
  <si>
    <t>FRs19</t>
  </si>
  <si>
    <t>Humansdorp Shale Renosterveld</t>
  </si>
  <si>
    <t xml:space="preserve">Eastern Cape Province: Three swathes: from Jeffreys Bay and Marina Glades near the coast inland past Humansdorp to the lower reaches of the Dieprivier near Two Streams; the Mondplaas/Mondhoek area near the mouth of the Gamtoos River stretching inland in a series of patches south of the Gamtoos River to west of Patensie; between thicket and fynbos types from Burghley Hills to Rocklands and the Dell to Nooitgedacht southwest of Uitenhage. Coastal forelands from Humansdorp to Port Elizabeth. </t>
  </si>
  <si>
    <t xml:space="preserve">Moderately undulating plains and undulating hills </t>
  </si>
  <si>
    <t>MAP 500–850 mm (mean: 630 mm), peaking slightly in March, but otherwise even. Mean daily maximum and minimum temperatures 25.1°C and 7.5°C for February and July, respectively. Frost incidence about 3 days per year. See also climate diagram for FRs 19 Humansdorp Shale Renosterveld (Figure 4.101).</t>
  </si>
  <si>
    <t>Clays and loams derived from the Ceres Subgroup of the Bokkeveld Group shales. Plinthic catenas prominent. Land types mainly Ca and Bb.</t>
  </si>
  <si>
    <t>SKv10</t>
  </si>
  <si>
    <t>Little Karoo Quartz Vygieveld</t>
  </si>
  <si>
    <t xml:space="preserve">Western Cape Province: Especially in the western regions of the Little Karoo, bordered by the Witteberg and Swartberg Mountains from the north and the Riviersonderend, Langeberg and Outeniqua Mountains from the south, between the Koegaberge in the west and Oudtshoorn in the east. The largest patches are found at the northern foothills of the Langeberg Mountains, between Barrydale and Muiskraal. </t>
  </si>
  <si>
    <t>Flat and slightly undulating plains</t>
  </si>
  <si>
    <t>MAP of 220 mm is multimodal and distributed in similar fashion as in SKv 8 Western Little Karoo and SKv 9 Western Gwarrieveld. A tendency towards winter-rainfall regime can be detected in the western part of the distribution area of the quartz fields, while the influence of summer rainfall increases in an eastwards direction. MAT 16.5°C, high temperatures can be reached in summer (well above 30°C). Winters are mild, with occurrence of occasional light night frost (7 days a year). See also climate diagram for SKv 10 Little Karoo Quartz Vygieveld (Figure 5.65).</t>
  </si>
  <si>
    <t>Loamy-sandy, shallow to moderately deep, slightly alkaline soils, mainly derived from micaceous sandy shales and mudstones of the Devonian Ceres and Bidouw Subgroups (both belonging to Bokkeveld Group, Cape Supergroup) as well as (to lesser extent) sandstones of the Silurian Nardouw Subgroup (member of the Table Mountain Group, Cape Supergroup). The soil surface is densely covered with characteristic quartz gravel and rubble (derived from weathered quartz veins accompanying the shales). Fc is the overwhelmingly dominant land type.</t>
  </si>
  <si>
    <t>FFa3</t>
  </si>
  <si>
    <t>Swartland Alluvium Fynbos</t>
  </si>
  <si>
    <t xml:space="preserve">Western Cape Province: Swartland lowlands at west-facing piedmonts of the Groot Winterhoekberge near Porterville, Saronberg, Elandskloofberge to the Limietberge near Wellington; broad valley bottoms of the Paarl, Drakenstein, Franschhoek and Banhoek Valleys, with some extensions west of Paarl Mountain and to Klapmuts. </t>
  </si>
  <si>
    <t>Moderately undulating plains, adjacent mountains and in river basins</t>
  </si>
  <si>
    <t>Seasonal, winter-rainfall regime, peaking from May to August. MAP (mean: 655 mm) varies broadly from 320–980 mm (close to foot of mountains). Mean daily maximum and minimum temperatures 29.5°C and 6.0°C for February and July, respectively. Frost an infrequent phenomenon. This is the wettest and hottest alluvium fynbos type. See also climate diagram for FFa 3 Swartland Alluvium Fynbos (Figure 4.88).</t>
  </si>
  <si>
    <t>Alluvial gravel and cobble fields typically resting over Malmesbury Group schists and phyllites (in the northern part of the area) as well as over Cape Suite granites (in Drakenstein Valley from Wellington to Franschhoek) and on Malmesbury Group sandstones from Simondium to Klipheuwel. Dominant land types Db (soils with prismacutanic and pedocutanic horizons) and Ga (soils with ferrihumic horizon).</t>
  </si>
  <si>
    <t>A3_nat, B1i_rod, B1iii_sp</t>
  </si>
  <si>
    <t>Gh8</t>
  </si>
  <si>
    <t>Bloemfontein Karroid Shrubland</t>
  </si>
  <si>
    <t xml:space="preserve">Free State and Mpumalanga (only in the southwest) Provinces: An archipelago of isolated patches found on koppies, butts and ridges embedded mainly within dry highveld grasslands in the region extending over large distances between Bloemfontein in the southwest, Verkeerdevlei and Lindley in the southeast, Standerton in the northeast as well as Heilbron and Bultfontein in the northwest. </t>
  </si>
  <si>
    <t>Mpumalanga, Free State</t>
  </si>
  <si>
    <t>Plateaus or slightly sloping flanks of dolerite outcrops</t>
  </si>
  <si>
    <t>Summer-rainfall area, with MAP close to 570 mm and from 550 mm (Bloemfontein) to 650 mm (Standerton). Much of the rainfall is of convectional origin. MAT 15°C, indicating a warm-temperate climatic regime. Winters can be very cold and frost incidence is high (40 days). See also climate diagram for Gh 8 Bloemfontein Karroid Shrubland (Figure 8.23).</t>
  </si>
  <si>
    <t>Restricted to Jurassic dolerite intrusions (sills) embedded within sediments of the Adelaide Subgroup (Beaufort Group, Karoo Supergroup). Typical feature of this habitat is a shallow (only 1–5 cm thick) layer of sand of aeolian origin that overlies sheets of dolerite. Dominant land type is Ea, followed by Dc and Fa (the last-named on the Karoo Supergroup sediments).</t>
  </si>
  <si>
    <t>FFd6</t>
  </si>
  <si>
    <t>Hangklip Sand Fynbos</t>
  </si>
  <si>
    <t xml:space="preserve"> Western Cape Province: Cape Peninsula on old dune fields at Hout Bay, in the Fish Hoek gap (between Fish Hoek and Noordhoek) and on Smith’s Farm (Cape Point Nature Reserve). Further on it occurs on the coastal flats from Rooiels and Cape Hangklip to Hermanus and it is well developed at the Bot River estuary. </t>
  </si>
  <si>
    <t xml:space="preserve">Sand dunes and sandy bottomlands </t>
  </si>
  <si>
    <t>MAP 520–1 170 mm (mean: 750 mm), peaking from May to August. By far this is the wettest of all the sandstone fynbos types. Mean daily maximum and minimum temperatures 25.9°C and 7.5°C for January–February and July, respectively. Frost incidence about 3 days per year. See also climate diagram for FFd 6 Hangklip Sand Fynbos (Figure 4.57).</t>
  </si>
  <si>
    <t>Leached, acid Tertiary sand in coastal areas, derived mostly from dunes. Soils generally of Lamotte or Houwhoek forms or grey, regic sands. Land types mainly Ga, Hb and Gb.</t>
  </si>
  <si>
    <t>Gs17</t>
  </si>
  <si>
    <t>Tarkastad Montane Shrubland</t>
  </si>
  <si>
    <t xml:space="preserve">Eastern Cape and marginally into Northern Cape Province: Noupoort, Middelburg and a point west of Cradock define the western extent of this unit and Cathcart, Queenstown and Sterkstroom the eastern extent. The unit falls within the area between the Great Escarpment in the north, marked by the Bamboesberg and Stormberg Mountains, and the minor escarpment, marked by the Winterberg and Amathole Mountains in the south. </t>
  </si>
  <si>
    <t>Eastern Cape, Northern Cape</t>
  </si>
  <si>
    <t xml:space="preserve">Ridges, hills and isolated mountain slopes, characterised by high surface rock cover, this often consisting of large, round boulders. </t>
  </si>
  <si>
    <t>Rainfall in late summer to autumn (peak in February–March). MAP 280–720 mm (overall MAP 470 mm), increasing from west to east. Coefficient of variation of MAP from 22–35% across the unit (31% overall APCV), decreasing with distance eastwards. Incidence of frost 7–68 days (average: 39 days), increasing with proximity to the Escarpment. See also climate diagram for Gs 17 Tarkastad Montane Shrubland (Figure 8.61).</t>
  </si>
  <si>
    <t>Sedimentary rocks of the Tarkastad Subgroup (Beaufort Group, Karoo Supergroup), widely affected by intrusions of Jurassic dolerites forming numerous dykes and sills. Soils typical of land types Ib, Fb and Fc.</t>
  </si>
  <si>
    <t>FS7</t>
  </si>
  <si>
    <t>Overberg Dune Strandveld</t>
  </si>
  <si>
    <t xml:space="preserve">Western Cape Province: Scattered patches from Rooiels (Cape Hangklip area) as far east as Cape Infanta at the mouth of the Breede River, with the largest one surrounding the Agulhas Peninsula—as a rule bordering on coastal limestone formations. </t>
  </si>
  <si>
    <t>Flat or slightly undulating dune fields of Die Plaat near Stanford and those of De Hoop</t>
  </si>
  <si>
    <t>Mainly cyclonic rainfall varying from approximately 400 mm in the east to 600 mm in the west, mainly in winter, but still with considerable summer rainfall in the eastern regions of the unit. The winter rains are accompanied by strong northwesterly winds and cooler temperatures. The winds tend to be strong southwesterly (trade winds with average velocity of 35 km per hour) in summer. Mean daily maximum and minimum temperatures 25.1°C and 7.0°C for January and July, respectively. Mean monthly maximum and minimum temperatures for Cape Agulhas 27.1°C and 7.3°C for January and June, respectively. No incidences of snowfalls have been recorded; frost is infrequent and hail occurs occasionally. Dense mist banks regularly occur through the Overberg region in autumn and winter. See also climate diagram for FS 7 Overberg Dune Strandveld (Figure 4.128).</t>
  </si>
  <si>
    <t>Deep, Recent marine-derived calcareous sands forming dunes that line the coast (Quaternary Strandveld Formation of the Bredasdorp Group), to shelly, shallow-marine sandstones and limestones of the Bredasdorp Group deposited on underlying Table Mountain Group sandstone. The most important land types include Hb (37%), Ha (31%) and Fc (18%).</t>
  </si>
  <si>
    <t>B1i_inv, B1iii_sp, B2i_inv, B2iii_sp</t>
  </si>
  <si>
    <t>SVl24</t>
  </si>
  <si>
    <t>Zululand Coastal Thornveld</t>
  </si>
  <si>
    <t xml:space="preserve">KwaZulu-Natal Province: Immediately west of Mtubatuba (in the north) and Empangeni (in the south) bisected by the iMfolozi River, extending westwards for 10–20 km. </t>
  </si>
  <si>
    <t xml:space="preserve">Gently rolling landscapes </t>
  </si>
  <si>
    <t>Summer rainfall but also some in winter (each winter month receiving about 20 mm, which is greater than that of any of the other savanna vegetation units for this period). MAP about 800–1 050 mm, generally higher towards the coast. Frost very infrequent. See also climate diagram for SVl 24 Zululand Coastal Thornveld.</t>
  </si>
  <si>
    <t>The area is situated almost entirely on Letaba Formation basalts of the Karoo Supergroup. Soils are mainly black with a high (35–55%) clay content and depth in the range 200–300 mm. Land types mainly Ea with some Fb and Dc.</t>
  </si>
  <si>
    <t>Gm13</t>
  </si>
  <si>
    <t>Amersfoort Highveld Clay Grassland</t>
  </si>
  <si>
    <t xml:space="preserve">Mpumalanga and KwaZulu-Natal Provinces: This unit extends in a north-south band from just south of Ermelo, down through Amersfoort to the Memel area in south. </t>
  </si>
  <si>
    <t>Comprised of undulating grassland plains, with small scattered patches of dolerite outcrops in areas.</t>
  </si>
  <si>
    <t>Rainfall mainly in early summer, from 620 mm in the west to 830 mm in the east (MAP 694 mm). MAT 14ºC, with temperatures higher in the west than the east. Winters are cold and summers are mild. Incidence of frost very high. Also see climate diagram for Gm 13 Amersfoort Highveld Clay Grassland (Figure 8.36).</t>
  </si>
  <si>
    <t>Restricted to vertic clay soils derived from dolerite that is intrusive in the Karoo sediments of the Madzaringwe Formation in the north and the Volksrust Formation and the Adelaide Subgroup in the south. Dominant land type Ca, while Ea land type is of subordinate importance.</t>
  </si>
  <si>
    <t>FRs14</t>
  </si>
  <si>
    <t>Mossel Bay Shale Renosterveld</t>
  </si>
  <si>
    <t xml:space="preserve">Western Cape Province: Coastal plains and valleys from the Kruisrivier near Riversdale to Botterberg, west of the Robinson Pass, centred on the Gouritz River and bordered by mountains (Langeberg, Outeniqua) to the north and the N2 road to the south, except for a few small patches further south (south of Cooper). </t>
  </si>
  <si>
    <t>Undulating hills and tablelands, steeply dissected by rivers.</t>
  </si>
  <si>
    <t>MAP 270–620 mm (mean: 425 mm), even throughout the year with a slight low in December. Mean daily maximum and minimum temperatures 27.6°C and 6.1°C for January–February and July, respectively. Frost incidence about 3 days per year. See also climate diagram for FRs 14 Mossel Bay Shale Renosterveld (Figure 4.101).</t>
  </si>
  <si>
    <t>Clays and loams mostly derived from Bokkeveld Group shales as well as Uitenhage Group clastics in the west and east. Prismacutanic or pedocutanic diagnostic horizons occur in soils. Glenrosa and Mispah forms dominant. Land types mainly Db, Ea and Fc.</t>
  </si>
  <si>
    <t>NKu2</t>
  </si>
  <si>
    <t>Upper Karoo Hardeveld</t>
  </si>
  <si>
    <t xml:space="preserve">Northern, Western and Eastern Cape Provinces: Discrete areas of slopes and ridges including dolerite dykes and sills in the region spanning Middelpos in the west and Strydenburg, Richmond and Nieu-Bethesda in the east. Most crest areas and steep slopes of the Great Escarpment facing south between Teekloofpas (connecting Leeu-Gamka and Fraserburg) and eastwards to Graaff-Reinet. </t>
  </si>
  <si>
    <t>Steep slopes of koppies, butts, mesas and parts of the Great Escarpment covered with large boulders and stones</t>
  </si>
  <si>
    <t>In the western part of its area this unit experiences the same climate as the Western Upper Karoo. In the eastern part the climate is very close to that of Karoo Escarpment. The MAP ranges from about 150 mm in the northwest to 350 mm along some grassland margins on the Great Escarpment and in the east. Water concentrates between rocks as a result of rainfall runoff. Incidence of frost is relatively high, but ranging widely from &lt;30 days per year at lower altitudes to &gt;80 days at highest altitudes. See also climate diagram for NKu 2 Upper Karoo Hardeveld (Figure 7.2).</t>
  </si>
  <si>
    <t>Primitive, skeletal soils in rocky areas developing over sedimentary rocks such as mudstones and arenites of the Adelaide Subgroup of the Karoo Supergroup and to a lesser extent also the Ecca Group (Waterford and Volksrust Formations) as well as Jurassic dolerite sills and dykes and subsummit positions of mesas and butts with dolerite boulder slopes. Almost entirely Ib land type.</t>
  </si>
  <si>
    <t>SVk12</t>
  </si>
  <si>
    <t>Kathu Bushveld</t>
  </si>
  <si>
    <t xml:space="preserve">Northern Cape Province: Plains from Kathu and Dibeng in the south, through Hotazel, vicinity of Frylinckspan to the Botswana border roughly between Van Zylsrus and McCarthysrus. </t>
  </si>
  <si>
    <t>Summer and autumn rainfall with very dry winters. MAP about 220–380 mm. Frost frequent in winter. Mean monthly maximum and minimum temperatures for Sishen 37.0°C and –2.2°C for December and July, respectively. See also climate diagram for SVk 12 Kathu Bushveld.</t>
  </si>
  <si>
    <t>Aeolian red sand and surface calcrete, deep (&gt;1.2 m) sandy soils of Hutton and Clovelly soil forms. Land types mainly Ah and Ae, with some Ag.</t>
  </si>
  <si>
    <t>Gh6</t>
  </si>
  <si>
    <t>Central Free State Grassland</t>
  </si>
  <si>
    <t xml:space="preserve">Free State Province and marginally into Gauteng Province: A broad zone from around Sasolburg in the north to Dewetsdorp in the south. Other major settlements located within this unit include Kroonstad, Ventersburg, Steynsrus, Winburg, Lindley and Edenville. </t>
  </si>
  <si>
    <t>Gauteng, Free State</t>
  </si>
  <si>
    <t>Undulating plains</t>
  </si>
  <si>
    <t>Summer-rainfall seasonal precipitation region, with MAP 560 mm. Much of the rainfall is of convectional origin and peaks in December to January. The overall MAT around 15°C. Incidence of frost relatively high (43 days on average). See also climate diagram for Gh 6 Central Free State Grassland (Figure 8.23).</t>
  </si>
  <si>
    <t>Sedimentary mudstones and sandstone mainly of the Adelaide Subgroup (Beaufort Group, Karoo Supergroup) as well as those of the Ecca Group (Karoo Supergroup) found in the extreme northern section of this grassland, giving rise to vertic, melanic and red soils (typical forms are Arcadia, Bonheim, Kroonstad, Valsrivier and Rensburg)—typical of Dc land type (dominating the landscape). The less common intrusive dolerites of the Jurassic Karoo Dolerite Suite support dry clayey soils typical of the Ea land type.</t>
  </si>
  <si>
    <t>SVl22</t>
  </si>
  <si>
    <t>Northern Zululand Sourveld</t>
  </si>
  <si>
    <t xml:space="preserve">KwaZulu-Natal Province and Swaziland: From the Lusthof area in Swaziland southwards with scattered patches in northern Zululand in the surrounds of Hlomohlomo, east of Louwsburg, Nongoma and the vicinity of Ulundi including Nkandla. In the Hluhluwe-iMfolozi Park it occurs at highest altitudes in the park. </t>
  </si>
  <si>
    <t>Terrain is mainly low, undulating mountains, sometimes highly dissected, and also some moderately undulating plains and hills.</t>
  </si>
  <si>
    <t>Summer rainfall with a little rain in winter. MAP about 600–1 050 mm reaching a maximum, for example, in the region northwest of Nongoma, towards the mistbelt Ngome Forest. Frost very infrequent to occasional. See also climate diagram for SVl 22 Northern Zululand Sourveld.</t>
  </si>
  <si>
    <t>Well-drained and shallow soil forms (Glenrosa and Mispah forms) derived from various lithologies; predominantly, Dwyka Group diamictites, but also shale, siltstone and sandstone from the Madzaringwe and Pietermaritzburg Formations, all of the Karoo Supergroup. Archaean granite and gneiss are also significant. Land types mainly Fb and Fa, with some Ac.</t>
  </si>
  <si>
    <t>Gd1</t>
  </si>
  <si>
    <t>Amathole Montane Grassland</t>
  </si>
  <si>
    <t xml:space="preserve">Eastern Cape Province: The main grassland unit of the Amathole, Winterberg and Kologha Mountains as well as the mountains just north of Somerset East (Bosberg and other outlying peaks). Also found on broken veld between Stutterheim and Komga. </t>
  </si>
  <si>
    <t>Low mountain ranges and moderately undulating landscapes</t>
  </si>
  <si>
    <t>Bimodal rainfall pattern with spring and late summer peaks. MAP around 670 mm (range 500–740 mm, up to 1 000 mm in isolated places). Rainfall the highest in high-altitude areas due to orographic factors and becoming lower with reduction in elevation and with distance westwards. Coefficient of variation in rainfall decreases with elevation, and ranges from 15–31% across the unit. Overall MAP close to 15°C. Winter frost is not common in the southeastern part of this unit, but it is more frequent (up to 80 days per year) in the western and northwestern regions. See also climate diagram for Gd 1 Amathole Montane Grassland (Figure 8.11).</t>
  </si>
  <si>
    <t>On sedimentary rocks of the Beaufort Group (Karoo Supergroup) overlaid by deep, freely drained, highly weathered soils (Hartmann 1988). Weakly developed lithosols are also found in places. Most common land types Fb, Fa and Fc.</t>
  </si>
  <si>
    <t>Dg6</t>
  </si>
  <si>
    <t>Helskloof Canyon Desert</t>
  </si>
  <si>
    <t xml:space="preserve">A small area of canyon landscape in the eastern Richtersveld, between the Nababiepsberge in the east and the Rooiberge in the west, south of Modderdrif on the Orange River and encompassing the lower reaches of the Groen River. </t>
  </si>
  <si>
    <t xml:space="preserve">The unit superficially represents the South African equivalent of the Namibian Fish River Canyon. It comprises the canyon floor and initial slopes of the north-south trending canyon, approximately 1 km wide and almost 10 km long. The canyon walls tower 250–350 m above the floor and are more precipitous on the eastern side. </t>
  </si>
  <si>
    <t>MAP roughly 40–60 mm per year tending to peak in late summer, but very variable. Some localised winter water input through drainage from the winter-rainfall area to the south. High summer maximum temperatures often reach 40°C and occasionally 50°C. The bottom of the canyon is one of the hottest environments in the Richtersveld. No incidence of frost.</t>
  </si>
  <si>
    <t>Mainly quartzite of the Kuibis Subgroup, Nama Group (Namibian Erathem), with fringes of the area occurring on the metavolcanics and metasediments of the De Hoop Subgroup (Orange River Group, Mokolian Erathem) and also the shale, quartzite and limestone of the Schwarzrand Subgroup (Nama Group, Namibian Erathem). Soil is alluvial sediment with colluvial material in places. Land types Ag and Ae.</t>
  </si>
  <si>
    <t>FRs9</t>
  </si>
  <si>
    <t>Swartland Shale Renosterveld</t>
  </si>
  <si>
    <t>Western Cape Province: Large, generally continuous areas of the Swartland and the Boland on the West Coast lowlands, from Het Kruis in the north, southwards between the Piketberg and Olifantsrivierberge, widening appreciably in the region around Moorreesburg between Gouda and Hopefield, and encompassing Riebeek-Kasteel, Klipheuwel, Philadelphia, Durbanville, Stellenbosch to the south and Sir Lowry’s Pass Village near Gordon’s Bay.</t>
  </si>
  <si>
    <t xml:space="preserve">Moderately undulating plains and valleys </t>
  </si>
  <si>
    <t>Winter-rainfall regime, with MAP 270–670 mm (mean: 430 mm), peaking from May to August. Mean daily maximum and minimum temperatures 29.6°C and 6.3°C for February and July, respectively. Frost incidence 3 or 4 days per year. Mists are common in winter. See also climate diagram for FRs 9 Swartland Shale Renosterveld (Figure 4.101).</t>
  </si>
  <si>
    <t>Clay soils derived from Malmesbury Group shales (specifically the Porterville Formation in the north and east and the Moorreesburg Formation in the west). The soils contain prismacutanic and pedocutanic diagnostic horizons and Glenrosa and Mispah forms are predominant. Land types mainly Db, Fb and Da.</t>
  </si>
  <si>
    <t>SKn2</t>
  </si>
  <si>
    <t>Namaqualand Shale Shrubland</t>
  </si>
  <si>
    <t xml:space="preserve">Northern Cape Province: Area some 10 km to the north and to the southwest of Steinkopf in southeastern Richtersveld. Reaching as far south as Spektakelberg west of Springbok. </t>
  </si>
  <si>
    <t xml:space="preserve">Smooth hilly country </t>
  </si>
  <si>
    <t>Seasonal, frontal winter rainfall peaking between May and August. Occasional late summer thunderstorms occur between February and April. MAP ranges from about 120 mm at low elevations to about 200 mm at higher elevations (overall MAP 155 mm). It is possible that areas along the edge of the escarpment such as Naries and Nigramoep would receive as much as 350 mm due to a regional precipitation effect. Mean maximum and minimum monthly temperatures in Nigramoep are 32°C and –5°C for February and July, respectively. The overall MAT lies between 16°C and 17°C. Incidence of frost averages 10 days per year, ranging from fewer than 5 days to more than 30 days per year. See also climate diagram for SKn 2 Namaqualand Shale Shrubland (Figure 5.29).</t>
  </si>
  <si>
    <t>Shales of Schwarzrand Subgroup accompanied by quartzites of the Kuibis Subgroup and of the Cambrian Nama Group supporting shallow soils over quartzite and deep-profile soils over shales. Almost 90% of the area falls within Fb land type, while the rest is largely classified as Ib land type.</t>
  </si>
  <si>
    <t>Gs13</t>
  </si>
  <si>
    <t>Mabela Sandy Grassland</t>
  </si>
  <si>
    <t>KwaZulu-Natal and Eastern Cape Provinces: Cedarville Flats (basin draining into Umzimvubu River) in the region of Cedarville-Matatiele (southwestern KwaZulu-Natal) as well as a small area in a basin of Simi and Ramohlakoana in the Kinira River Valley in Transkei (west of Matatiele). Altitude 1 440–1 500 m, but up to 1 550 m in a few places.</t>
  </si>
  <si>
    <t>Flat valley basins with a relatively high proportion of poorly drained soils with a generally low nutrient status</t>
  </si>
  <si>
    <t>Summer rainfall, with MAP of around 710 mm and mean evaporation up to 1 700 mm. MAT 14.4°C. Frost very frequent (40 days per year). See also the climate diagram Gs 13 Mabela Sandy Grassland (Figure 8.61).</t>
  </si>
  <si>
    <t>Tarkastad Subgroup mudstones and sandstones underlie this area to the east as do the Molteno and Elliot Formation sandstones and minor mudstones in the west (all of the Karoo Supergroup). The dominant soils are poorly drained, with a depth of 200–300 mm and a clay content of less than 15%. They are classified into soil forms of Katspruit and Longlands and Oatsdale, Vimy and Clovelly (in well-drained habitats). Most common land types Ia and Ca.</t>
  </si>
  <si>
    <t>SVcb26</t>
  </si>
  <si>
    <t>Ohrigstad Mountain Bushveld</t>
  </si>
  <si>
    <t xml:space="preserve">Limpopo and Mpumalanga Provinces: Mountain slopes and steep valleys from the Blyde River Canyon, Ohrigstad and Burgersfort in the south continuing in the vicinity of the western side of the escarpment northwards to the Mohlapitse Valley and eastwards along the Strydpoort Mountains as far as Chuniespoort. </t>
  </si>
  <si>
    <t>Moderate to steep slopes on mountainsides and sometimes deeply incised valleys; also fairly flat terrain in a few places.</t>
  </si>
  <si>
    <t>Summer rainfall with very dry winters. MAP about 500–800 mm. Frost infrequent. See also climate diagram for SVcb 26 Ohrigstad Mountain Bushveld.</t>
  </si>
  <si>
    <t>Primarily on quartzite and shale (Timeball Hill and Silverton Formations of the Pretoria Group), with some chemical sediments of the Chuniespoort Group, weathering to shallow rocky soils of either Glenrosa or Mispah soil forms. Land types mainly Ib, Ae and Fa.</t>
  </si>
  <si>
    <t>SVl23</t>
  </si>
  <si>
    <t>Zululand Lowveld</t>
  </si>
  <si>
    <t xml:space="preserve">KwaZulu-Natal Province, Swaziland and Mpumalanga Province: Main extent from around Big Bend south to Mkuze, Hluhluwe, Ulundi to just north of the Ongoye Forest. An isolated patch is found on the Swaziland–Mpumalanga border. </t>
  </si>
  <si>
    <t>Extensive flat or only slightly undulating landscapes</t>
  </si>
  <si>
    <t>Summer rainfall with some rain in winter. MAP about 500–900 mm (highest in the southeast). Generally a frost-free area. Mean monthly maximum and minimum temperatures for Mpila Camp (Hluhluwe-iMfolozi Park) 38.5°C and 7.8°C for February and June, respectively. See also climate diagram for SVl 23 Zululand Lowveld.</t>
  </si>
  <si>
    <t>Black-clay soils and duplex soils derived from a distinct variety of clastic sediments of the Dwyka, Ecca, Beaufort and igneous rocks of the Lebombo Groups (all of the Karoo Supergroup). Also well-drained soil forms occur especially on stony slopes. Land types Fb and Ea, with some Db and Dc.</t>
  </si>
  <si>
    <t>SVk10</t>
  </si>
  <si>
    <t>Kuruman Mountain Bushveld</t>
  </si>
  <si>
    <t xml:space="preserve">Northern Cape and North-West Provinces: From the Asbestos Mountains southwest and northwest of Griekwastad, along the Kuruman Hills north of Danielskuil, passing west of Kuruman town and re-emerging as isolated hills, i.e. Makhubung and the hills around Pomfret in the north. </t>
  </si>
  <si>
    <t>Rolling hills with generally gentle to moderate slopes and hill pediment areas</t>
  </si>
  <si>
    <t>Summer and autumn rainfall with very dry winters. MAP about 250–500 mm. Frost frequent in winter. The unit corresponds in part to cluster 17 of the 27 in the physio-climatic classification of South Africa’s woodland areas with summer rainfall (Fairbanks 2000). See also climate diagram for SVk 10 Kuruman Mountain Bushveld.</t>
  </si>
  <si>
    <t>The Kuruman and Asbestos Hills consist of banded iron formation, with jaspilite, chert and riebeckite-asbestos of the Asbestos Hills Subgroup of the Griqualand West Supergroup (Vaalian). Most common land type Ib, followed by Ae, Ic and Ag. Soils are shallow sandy soils, of the Hutton form.</t>
  </si>
  <si>
    <t>FFg2</t>
  </si>
  <si>
    <t>Boland Granite Fynbos</t>
  </si>
  <si>
    <t xml:space="preserve">Western Cape Province: Upper slopes and summits of Paardeberg and Paarl Mountain as well as the lower slopes of mountains spanning the Groenberg and Hawequasberge (western foothills near Wellington), Pniel (Simonsberg and Groot Drakenstein Mountains and Klapmutskop), Franschhoek (Middelberg, Dassenberg, Skerpheuwel, Middagkransberg), Stellenbosch (Jonkershoek Valley and northern side of the Helderberg) and Helderberg Municipality (including lower south- and west-facing slopes of Haelkop and the Hottentots Holland Mountains and also the free-standing Skapenberg). It also occurs in the Du Toitskloof and Wemmershoek Valleys, Kaaimansgat and lower Stettynskloof, with outcrops on the Bottelary Hills and Kanonkop (near Pella). </t>
  </si>
  <si>
    <t>Moderately undulating plains and hills, varying from extensive deep soils, to localised deep soils between large granite domes and sheets.</t>
  </si>
  <si>
    <t>MAP 610–2 220 mm (mean: 985 mm), peaking from May to August. Mean daily maximum and minimum temperatures 26.6°C and 5.9°C for February and July, respectively. Frost incidence 2 or 3 days per year. The mean rainfall for this type is well below the 1 400 mm limit suggested by Campbell (1985) for fynbos on granite. Mists are common in winter. See also climate diagram for FFg 2 Boland Granite Fynbos (Figure 4.92).</t>
  </si>
  <si>
    <t>Cape Granite Suite rocks (Paardeberg, Paarl, Stellenbosch and Wellington Plutons). Soils usually of Glenrosa, Mispah forms, or red-yellow apedal. Freely draining soils are dominant, with exposed dome rock and large boulders. Land types mainly Fa, Ic and Ac.</t>
  </si>
  <si>
    <t>AZa5</t>
  </si>
  <si>
    <t>Highveld Alluvial Vegetation</t>
  </si>
  <si>
    <t xml:space="preserve">Free State, North-West, Mpumalanga and Gauteng Provinces as well as in Lesotho and Swaziland: Alluvial drainage lines and floodplains along rivers embedded within the Grassland Biome and marginal (eastern) units of the Kalahari (Savanna Biome), such as along upper Riet, Harts, upper Modder, upper Caledon, Vet, Sand, Vals, Wilge, Mooi, middle and upper Vaal Rivers etc. and their numerous tributaries. </t>
  </si>
  <si>
    <t>Mpumalanga, Gauteng, Free State, North West</t>
  </si>
  <si>
    <t xml:space="preserve">Flat topography </t>
  </si>
  <si>
    <t>Seasonal, mainly summer rainfall. Precipitation in the western part of the highveld is erratic (MAP 300–400 mm), increasing sharply towards the east and north (up to 600 mm in places). The overall MAP is almost 500 mm (range 373 mm at the western distribution limit and 593 mm at the northern distribution limit near Carletonville). Typical continental thermal regime, showing subtropical features is typical of the summer season (daily temperature often surpassing 35°C), while cold-temperate features (such as frequent frost) prevail in winter. See also climate diagram for AZa 5 Highveld Alluvial Vegetation (Figure 13.2).</t>
  </si>
  <si>
    <t>Deep sandy to clayey (but mostly coarse sand) alluvial soils developed over Quaternary alluvial (fluviatile) sediments. Oakleaf, Dundee, Shortlands, Glenrosa and Mispah soil forms were identified in the Vaal River floodplain (Bezuidenhout 1994). The rivers are perennial, often in flood in summer. Erosion of banks and deposition of new fine soil on alluvium can be of considerable extent. Some smaller anastomosing channels of major rivers can dry out in winter.</t>
  </si>
  <si>
    <t>FFh6</t>
  </si>
  <si>
    <t>Elgin Shale Fynbos</t>
  </si>
  <si>
    <t xml:space="preserve">Western Cape Province: Elgin Basin east of Grabouw and Villiersdorp Basin around Vyeboom, with pockets to the north at the uppermost part of Stettynskloof, Kaaimansgat and Rooihoogte Pass, and at the Steenbras Dam to the west. </t>
  </si>
  <si>
    <t>Undulating hills and moderately undulating plains and steep slopes of adjacent mountains</t>
  </si>
  <si>
    <t xml:space="preserve"> Winter-rainfall regime, with MAP 560–1 300 mm (overall mean: 830 mm), peaking from May to August. Mean daily maximum and minimum temperatures 26.2°C and 6.2°C for February and July, respectively. Frost incidence 2 or 3 days per year. See also climate diagram for FFh 6 Elgin Shale Fynbos (Figure 4.68).</t>
  </si>
  <si>
    <t>Acidic, moist clay-loam, Glenrosa or Mispah forms derived from Bokkeveld Group shales. Land types mainly Fa.</t>
  </si>
  <si>
    <t>Gh14</t>
  </si>
  <si>
    <t>Western Highveld Sandy Grassland</t>
  </si>
  <si>
    <t xml:space="preserve">North-West Province: From Mafikeng to Schweizer-Reneke in the south and from Broedersput and Kameel in the west to Lichtenburg and Ottosdal in the east. </t>
  </si>
  <si>
    <t xml:space="preserve">Flat to gently undulating plains </t>
  </si>
  <si>
    <t>Warm-temperate, summer-rainfall region, with overall MAP of 520 mm. Summer temperatures are high. Severe frequent frost occurs in winter. See also climate diagram for Gh 14 Western Highveld Sandy Grassland (Figure 8.23).</t>
  </si>
  <si>
    <t>Basaltic lavas of the Klipriviersberg Group and andesitic lavas of the Allanridge Formation (both Ventersdorp Supergroup) covered by aeolian sand (western part of the area) or calcrete, with the eutrophic plinthic soils, which are mainly yellow apedals (Avalon and Pinedene) and rarely red apedals (Hutton) or Clovelly in bottomlands. Bd land type dominant.</t>
  </si>
  <si>
    <t>FOa1</t>
  </si>
  <si>
    <t>Lowveld Riverine Forest</t>
  </si>
  <si>
    <t>Azonal Forests</t>
  </si>
  <si>
    <t xml:space="preserve">KwaZulu-Natal, Mpumalanga and Limpopo Provinces (as well as in Swaziland and other countries neighbouring on South Africa): Broad river alluvia of Zululand (Hluhluwe, middle reaches of Phongolo), Maputaland (Mkuze, lower reaches of Phongolo, Usutu) and numerous rivers draining the northern provinces of South Africa (Limpopo, Luvuvhu, Phongolo, Shingwedzi, Letaba, Olifants, Timbavati, Sabie, Crocodile). </t>
  </si>
  <si>
    <t>Zimbabwe, Mozambique</t>
  </si>
  <si>
    <t>Tall forests fringing larger rivers (gallery forests) and water pans</t>
  </si>
  <si>
    <t>Recent alluvial deposits with deep, fine-textured soils (e.g. Dundee soil form). Subject to frequent flooding and occasionally to very heavy flood spells.</t>
  </si>
  <si>
    <t>B2i_rod</t>
  </si>
  <si>
    <t>FRs8</t>
  </si>
  <si>
    <t>Breede Shale Renosterveld</t>
  </si>
  <si>
    <t xml:space="preserve">Western Cape Province: Patches in the Breede River Valley from Tulbagh to Swellendam; more specifically, most of the valley floor between Tulbagh and Wolseley, isolated small patches to the vicinity of Worcester, diverse patches between Stettyn and McGregor south of the Breede River, a near continuous but irregular band on the southern foothills of the Langeberg from Philipsdale near Worcester to Ashton. The most extensive area occurs near Ashton. McGregor and the confluence of the Riviersonderend and Breede Rivers west of Swellendam. </t>
  </si>
  <si>
    <t>Low hills, slightly undulating to undulating plains and lower mountain slopes.</t>
  </si>
  <si>
    <t>MAP 210–610 mm (mean: 370 mm), peaking from May to August. Mean daily maximum and minimum temperatures 29.3°C and 4.8°C for February and July, respectively. Frost incidence 3–8 days per year. See also climate diagram for FRs 8 Breede Shale Renosterveld (Figure 4.101).</t>
  </si>
  <si>
    <t xml:space="preserve">Clays and loams mostly derived from Bokkeveld and some Witteberg Group shales as well as Porterville Formation phyllite shale of the Malmesbury Group (Namibian Erathem) in the northwest. Glenrosa and Mispah forms are dominant. Land types mainly Fb, Fa and Ic. </t>
  </si>
  <si>
    <t>FFs10</t>
  </si>
  <si>
    <t>Hawequas Sandstone Fynbos</t>
  </si>
  <si>
    <t xml:space="preserve">Western Cape Province: Between the Nuwekloof Pass near Gouda in the north to Franschhoek Pass near Franschhoek including the Elandskloof, Hawequas, Slanghoek, Klein-Drakenstein, Wemmershoek, Du Toitskloof and Stettyns Mountains. </t>
  </si>
  <si>
    <t>Mountains with slopes of various steepness, flanks of intermontane valleys and upland plateaus</t>
  </si>
  <si>
    <t>MAP 530–2 140 mm (mean: 1 200 mm), peaking markedly May to August. Mean daily maximum and minimum temperatures 25.4°C and 4.4°C for February and July, respectively. Frost incidence 3–20 days per year. Southeasterly cloud brings heavy mist precipitation to southern and eastern slopes at higher altitudes in summer. See also climate diagram for FFs 10 Hawequas Sandstone Fynbos (Figure 4.21).</t>
  </si>
  <si>
    <t>Acidic lithosol soils derived from Ordovician sandstones of the Table Mountain Group (Cape Supergroup). Land types mainly Ic and Ib.</t>
  </si>
  <si>
    <t>Gm22</t>
  </si>
  <si>
    <t>Northern Escarpment Dolomite Grassland</t>
  </si>
  <si>
    <t xml:space="preserve">Mpumalanga Province: From the high-lying dolomite grasslands of the Abel Erasmus Pass and Motlatse (Blyde) River (Vaalhoek) areas in the north, it extends southwards in a broad dolomite band along the Northern Escarpment, to as far south as the vicinity of Kaapsehoop. </t>
  </si>
  <si>
    <t xml:space="preserve"> Escarpment dolomite belt. </t>
  </si>
  <si>
    <t>Summer rainfall, varying from 700 mm in the north, increasing southwards to 1 420 mm (MAP 1 034 mm). Most of this unit occurs in the mistbelt, with increased precipitation. Warm-temperate climate, with low frequency of frost. Temperature increases northwards, ranging from MAT of 15ºC in the south to 17ºC in the northern regions of the unit. See also climate diagram for Gm 22 Northern Escarpment Dolomite Grassland (Figure 8.36).</t>
  </si>
  <si>
    <t>Malmani dolomites of the Chuniespoort Group (Transvaal Supergroup) which overlies the Black Reef Quartzite Formation. Soils usually have a high pH, are rich in calcium and magnesium, and with low phosphorus status. Deep Hutton and Griffin soil forms are common. Land types Fa, Ab and Ac.</t>
  </si>
  <si>
    <t>FFb6</t>
  </si>
  <si>
    <t>Eastern Coastal Shale Band Vegetation</t>
  </si>
  <si>
    <t>Western and Eastern Cape Provinces: Shale bands in the eastern Outeniqua (often also bearing forest patches), Langkloof, Tsitsikamma and Kareedouw Mountains and along the southern Cape coastal plains to around Oyster Bay with the most seaward belt reaching the coast at, for example, Clinton’s Bank south of Bloukrans Pass. See also Figure 4.78 featuring the simplified distribution of this unit.</t>
  </si>
  <si>
    <t>Shale bands form narrow 80–200 m, linear, smooth and flat landscape features</t>
  </si>
  <si>
    <t>Summer rainfall with very dry winters. MAP from about 550 mm in the southwest to about 750 mm in the northeast. Frequent frost in winter, but less on the ridges and hills. See also climate diagram for SVcb 11 Andesite Mountain Bushveld.</t>
  </si>
  <si>
    <t>Clays derived from shale of the Cedarberg Formation. Land types mainly Db, Ca, Bb, and Ib.</t>
  </si>
  <si>
    <t>SKs3</t>
  </si>
  <si>
    <t>Southern Richtersveld Yellow Duneveld</t>
  </si>
  <si>
    <t xml:space="preserve">Northern Cape Province: Richtersveld—a strip running parallel to, and roughly 5–12 km from, the coastline from the Holgat River in the north to almost level with Port Nolloth in the south. A small isolated patch also found east of Vyftienmyl se Berge. </t>
  </si>
  <si>
    <t xml:space="preserve">Flat to undulating sand shields, in places also with dunes forming flat whale-backs. </t>
  </si>
  <si>
    <t>MAP is 55–80 mm of winter rainfall. Low to medium average maximum temperatures. Wind and sand blasting from the south. Coastal fog also occurs. No incidence of frost.</t>
  </si>
  <si>
    <t>Yellow wind-blown sands, mainly of marine origin. Soils vary as to the soil depth covering various duricrusts, mainly calcrete. Ah is the dominant land type, while Ha land type is also present.</t>
  </si>
  <si>
    <t>Gm21</t>
  </si>
  <si>
    <t>Lydenburg Thornveld</t>
  </si>
  <si>
    <t xml:space="preserve">Mpumalanga Province: Situated in a broad band between the high-lying mountains from just north of Ohrigstad, tapering southwards through Lydenburg to as far south as the area in the vicinity of the Kwena Dam. </t>
  </si>
  <si>
    <t>This unit occurs at lower levels at the foot of the mountains and on undulating plains.</t>
  </si>
  <si>
    <t>This unit occurs in the rainshadow of the Escarpment, where the climate is much drier and the winters are very cold (MAT 16°C). The rainfall is generally lower than in surrounding areas since it falls within a rainshadow. Rainfall 580–810 mm (MAP 707 mm). Most of this unit experiences fairly infrequent frost. See climate diagram for Gm 21 Lydenburg Thornveld (Figure 8.36).</t>
  </si>
  <si>
    <t>Red clay soils mostly derived from shales of the Pretoria Group (including the Silverton and Timeball Hill Formations). Shales occasionally intersected with bands of quartzite or andesite. Land types Ba, Fa, Ib and Ae, with predominantly Mispah, Glenrosa or Hutton soil forms.</t>
  </si>
  <si>
    <t>SKv1</t>
  </si>
  <si>
    <t>Doringrivier Quartzite Karoo</t>
  </si>
  <si>
    <t xml:space="preserve">Western Cape Province: Valley of the Doring River (from Doringbos and the bottom of the Botterkloof) to the confluence of the Doring and Olifants Rivers. It also includes the broader surrounds of Knolvlei (north of Pakhuis Pass, north of Clanwilliam) and a small patch of the Karoo east of Trawal and southwest of Klawer. </t>
  </si>
  <si>
    <t xml:space="preserve">Slopes of low mountains and of deep river canyons as well as table lands </t>
  </si>
  <si>
    <t>Semidesert region (obviously accentuated by the rainshadow of deeply incised valleys) with MAP reaching almost 200 mm and MAPE exceeding 2 500 mm. Pronounced concentration of precipitation in winter (June, July, August). December to February have very low (and erratic) rainfall. Incidence of frost is very low. See also climate diagram for SKv 1 Doringrivier Quartzite Karoo (Figure 5.65).</t>
  </si>
  <si>
    <t>Here the Doring River cuts mostly through Table Mountain Group quartzites as well as some Bokkeveld Group (Nardouw Subgroup) sandstone and shale (both of Cape Supergroup). Ia , Ic and Ah land types are equally important.</t>
  </si>
  <si>
    <t>FS1</t>
  </si>
  <si>
    <t>Lamberts Bay Strandveld</t>
  </si>
  <si>
    <t xml:space="preserve">Western Cape Province: Broad coastal strip between Donkin Bay (north of Lambert’s Bay) and Elands Bay (Verlorenvlei), penetrating deeply inland north of and along the Jakkals and Langvlei Rivers. </t>
  </si>
  <si>
    <t>Series of old dunes and slightly undulating, consolidated sand-dune fields</t>
  </si>
  <si>
    <t>Mainly cyclonic annual rainfall varying from approximately 125 mm in the north to 200 mm in the south (overall MAP: 175 mm), occurring on average over six days in winter. Fog and dew contribute to the moisture in summer and autumn. Mean daily maximum and minimum temperatures 29.1°C and 7.0°C for February and July, respectively. Frost and hail are rare phenomena. The winds tend to be strong southerly in summer and northerly in winter. Hot, dry, desiccating offshore winds occur in both winter and summer. Salt-laden on-shore winds stunt shrubs along the coast. See also climate diagram for FS 1 Lambert’s Bay Strandveld (Figure 4.128).</t>
  </si>
  <si>
    <t>Table Mountain Group sandstones form a rocky coastline and occur as sporadic outcrops throughout the area. The substrate is mainly deep, Tertiary to Quaternary, white to pale red, calcareous, aeolian, sandy to sandy loam soil of the hillocky veld. Local white sand of Pleistocene origin forms unstable blow-out dunes north of the mouths of the Verlorenvlei River at Elands Bay and the Jakkals River at Lambert’s Bay. Recent calcareous sands of marine origin also line the coastal strip. Dominant land types Hb and Ha.</t>
  </si>
  <si>
    <t>FFs11</t>
  </si>
  <si>
    <t>Kogelberg Sandstone Fynbos</t>
  </si>
  <si>
    <t>Western Cape Province: From Franschhoek, Groot-Drakensteinberge and Simonsberg (near Stellenbosch) in the north passing southwards between Gordon’s Bay and Bot River to Cape Hangklip and Kleinmond in the south including the Jonkershoek, Stellenbosch, Franschhoek, Groenland, Hottentots Holland, Kogelberg and Palmietberge Mountains.</t>
  </si>
  <si>
    <t>High mountains with steep to gentle slopes, and undulating plains and hills of varied aspect</t>
  </si>
  <si>
    <t>MAP 670–3 000 mm (mean: 1 330 mm), peaking markedly May to August. This region has the highest recorded rainfall in the Cape (see Section 2.4.2 of this chapter). Mean daily maximum and minimum temperatures 24.0°C and 6.1°C for February and July, respectively. Frost incidence 2 or 3 days per year. The summit cloud (the ‘Hottentot’s Blanket’) is a regular feature in summer when the Southeaster (part of the global system of trade-winds) brings heavy mist precipitation to the summits and adjacent south-facing and east-facing slopes. See also climate diagram for FFs 11 Kogelberg Sandstone Fynbos (Figure 4.21).</t>
  </si>
  <si>
    <t>Acidic lithosol soils derived from Ordovician sandstones of the Table Mountain Group (Cape Supergroup). Deep sandy blankets (whitish, nutrient-poor acidic sand) develop in depressions and on slopes resisting erosion. Land types mainly Ic, Ib and Gb.</t>
  </si>
  <si>
    <t>SVl14</t>
  </si>
  <si>
    <t>Swaziland Sour Bushveld</t>
  </si>
  <si>
    <t xml:space="preserve">Mpumalanga Province, Swaziland and marginally into KwaZulu-Natal: From Badplaas, Tjakastad east to Piggs Peak area in the north, southwards through valleys around Manzini and slopes around the Grand Valley, and some isolated mountain outcrops in the lowveld plains, for example the Nkambeni Hills and Bulungu Mountains. </t>
  </si>
  <si>
    <t>Very hilly with moderate to steep slopes, positioned at higher altitudes than the adjacent SVl 3 Granite Lowveld to the east.</t>
  </si>
  <si>
    <t>Summer rainfall with dry winters. MAP about 700–1 350 mm. Frost infrequent to occasional at higher altitudes. See also climate diagram for SVl 14 Swaziland Sour Bushveld.</t>
  </si>
  <si>
    <t>Grey soils derived mostly from Randian granites (Mpuluzi and Mswati) and Swazian granites and gneisses (Usutu Suite and Ngwane gneiss). The area reaches to the Onverwacht Group of the Barberton Greenstone Belt in the far north. Soils are dark, very clayey, of the Sterkspruit, Valsrivier, Swartland soil forms. Land types were unclassified in Swaziland, but elsewhere they are mainly Fa, Fb and Ae.</t>
  </si>
  <si>
    <t>FOz2</t>
  </si>
  <si>
    <t>Northern Afrotemperate Forest</t>
  </si>
  <si>
    <t xml:space="preserve">Free State, KwaZulu-Natal, Mpumalanga, North-West, Gauteng and Limpopo Provinces (as well as Lesotho): Restricted to mountain kloofs and low ridges (Strydpoortberg, Waterberg, Pilanesberg, Witwatersrand, Magaliesberg, Suikerbosrand, Sekhukhuneland) interrupting the relatively ?at northern highveld. This group also comprises forests found in kloofs along the northern and eastern ?anks of the Drakensberg and those found on the slopes and scarps of the Low Escarpment between Van Reenen’s Pass and Pongola Bush near Piet Retief. The westernmost localities of these forests are found in the Koranaberg (close to Thaba ‘Nchu). The remnants of forests rich in afrotemperate elements in Lesotho might also be classi?ed within this vegetation unit. </t>
  </si>
  <si>
    <t>KwaZulu-Natal, Mpumalanga, Limpopo, Gauteng, Free State, North West</t>
  </si>
  <si>
    <t>Low (in the Low Escarpment region with canopy reaching up to 20 m)</t>
  </si>
  <si>
    <t>Shallow acidic soils over sandstones of the Karoo Supergroup, quartzites and rarely also volcanic rocks of Ventersdorp Supergroup and intrusive diabases of Pretoria Igneous Complex.</t>
  </si>
  <si>
    <t>Dg9</t>
  </si>
  <si>
    <t>Eastern Gariep Plains Desert</t>
  </si>
  <si>
    <t xml:space="preserve">Comprises the sheet wash plains east of the Richtersveld, which lead down to the Orange River at Henkries, Goodhouse, Kabis, Klein Pella/Kambreek and the vicinity of Onseepkans. Also mapped on plains west of Pella to south of Vuurdoodberg Mountain (and Goodhouse) in the west, forming a broad east-west passage between the mountains to the north that fringe or are close to the Orange River and the more broken east-west line of hills and mountains to the south (for example Annakoppies, Grootberg, Witberg, Haramoebberge, Bantamberg and Amankop). Also found at lower reaches of the Kaboep River in the east. This unit also occurs north of the Orange River in Namibia. </t>
  </si>
  <si>
    <t xml:space="preserve">Often sloping plains, sharply contrasting with the surrounding rocky hills and mountains. </t>
  </si>
  <si>
    <t>MAP about 45–80 mm, with rainfall peak in late summer and early autumn, becoming more pronounced eastwards. Summer maximum temperatures are often higher than 40°C, and occasionally reaching 50°C at low altitudes. Frost very rare. Mean monthly maxima and minima for Goodhouse are 44.9°C and 1.9°C for January and July, respectively. See also Figure 6.2.</t>
  </si>
  <si>
    <t>Quaternary sheet-wash alluvial deposits, sands, deep in places; in south, red-yellow apedal, freely drained soils with a high base status. Land types Ag and Ae.</t>
  </si>
  <si>
    <t>SVk8</t>
  </si>
  <si>
    <t>Kuruman Vaalbosveld</t>
  </si>
  <si>
    <t xml:space="preserve">North-West and Northern Cape Provinces: East of Kuruman to Lykso, south of Bendell towards Good Hope. </t>
  </si>
  <si>
    <t>much bare soil in places</t>
  </si>
  <si>
    <t>Summer and autumn rainfall with very dry winters. MAP about 350–450 mm. Frost very frequent in winter. See also climate diagram for SVk 8 Kuruman Vaalbosveld.</t>
  </si>
  <si>
    <t>Carbonates and chert of the Vaalian Griqualand West Supergroup and Kalahari sediments form flat, rocky, sandy plains with shallow (0.1–0.6 m) red aeolian sands, stony and underlain by rock. Dominant land types Ae and Fc, with Hutton, Clovelly and Mispah soil forms common.</t>
  </si>
  <si>
    <t>SKs6</t>
  </si>
  <si>
    <t>Oograbies Plains Sandy Grassland</t>
  </si>
  <si>
    <t xml:space="preserve">Northern Cape Province: Richtersveld—central and lower portion of the large plains east of Vyftienmyl se Berge, starting at about ca. 25 km east of Port Nolloth and continuing northeastwards for another 25 km. </t>
  </si>
  <si>
    <t>Flat or slightly undulating landscape with some dune ridges. Main habitats are dune formations and flat sand sheets</t>
  </si>
  <si>
    <t>MAP estimated to range from 80–120 mm, with winter rainfall clearly dominant. Frequent fog occurrence. Incidence of frost is very rare. See also climate diagram for SKs 6 Oograbies Plains Sandy Grassland (Figure 5.39).</t>
  </si>
  <si>
    <t>Stabilised, deep, red, aeolian sands forming fossil dunes and overlying gneiss of the Namaqualand Metamorphic Complex forming active dunes in places. Ai is the dominant land type, with Ae land type playing a minor role.</t>
  </si>
  <si>
    <t>SVmp5</t>
  </si>
  <si>
    <t>Tsende Mopaneveld</t>
  </si>
  <si>
    <t xml:space="preserve">Limpopo Province: The main block occurs on undulating terrain west of the basalt plains from the Mphongolo River and Sirheni Bushveld Camp area in the north, southwards across the Shingwedzi River and extending slightly outside the Kruger National Park to include areas near to Malamulele and Mahlathi, through the upper Tsende River catchment area to around Mopani Camp in the south. Another belt occurs further south from the area around the Hans Merensky Nature Reserve in the west to the vicinity of Letaba Rest Camp in the east. It is also mapped as a narrow irregular strip immediately to the east of the basalt plains as far south as the Shingwedzi River area. </t>
  </si>
  <si>
    <t>Summer rainfall with very dry winters. MAP about 450–650 mm. Generally a frost-free area. See also climate diagram for SVmp 5 Tsende Mopaneveld.</t>
  </si>
  <si>
    <t>Three quarters of the area is underlain by potassium-poor, quartz-feldspar rocks of the Goudplaats Gneiss Basement. The northeastern part of the area lies on Letaba basalts of the Karoo Supergroup. Typically clayey soils occur, but with less than 15% clay in the A-horizon on the upland positions. Generally deeper clayey soils are found on the flats; the northeastern outlier area has more sandy soils—weathered products of basalt and Quaternary sand and gravel.</t>
  </si>
  <si>
    <t>SKk2</t>
  </si>
  <si>
    <t>Central Knersvlakte Vygieveld</t>
  </si>
  <si>
    <t xml:space="preserve">Western Cape Province: Knersvlakte (southern part of Namaqualand), along the upper courses of the Salt River and the Groot-Graafwater River north of Vanrhynsdorp. </t>
  </si>
  <si>
    <t>Slightly undulating landscape</t>
  </si>
  <si>
    <t>Winter-rainfall climate with dry, hot summers and mild, rainy winters. MAP of 110 mm, fog and dew occasionally supplementing the water supply. Lowest temperatures in winter 5–10°C. The highest temperatures in summer 30–35°C. Winters are mild, with rare occurrence of frost (on average 3 days per year). See also climate diagram for SKk 2 Central Knersvlakte Vygieveld (Figure 5.53).</t>
  </si>
  <si>
    <t>Underlain by the clastic sediments of the Vanrhynsdorp Group (particularly by the Knersvlakte Subgroup, Namibian Erathem) and partly covered by Cenozoic superficial deposits and some Gariep Supergroup schists. Soils are shallow to moderately deep, with low salinity and sometimes deep, coarse and unstructured red, aeolian, sandy soils with very low skeletal content. Half of the area is classified as Fc land type, while Ia and Ah land types cover about one quarter of the area each.</t>
  </si>
  <si>
    <t>FOz7</t>
  </si>
  <si>
    <t>Northern Coastal Forest</t>
  </si>
  <si>
    <t xml:space="preserve">KwaZulu-Natal and (to a very small extent) Eastern Cape Province: Especially along the seaboards of Indian Ocean of KwaZulu-Natal Province and particularly well-developed in Maputaland. Few patches of the dune forest also occur on the Wild Coast of Transkei (Eastern Cape Province). Beyond South Africa these forests occur throughout the Mozambican seaboard as far as southern Tanzania. </t>
  </si>
  <si>
    <t>Well-developed sandy-loamy soils on sedimentary rocks of the Karoo Supergroup and Jurassic intrusive dolerites (in places) as well as on Holocene marine sediments. Forming stabilised sandy dune systems, mostly younger than 10 000 years and still in the process of sedimentation.</t>
  </si>
  <si>
    <t>FFq6</t>
  </si>
  <si>
    <t>Suurberg Quartzite Fynbos</t>
  </si>
  <si>
    <t xml:space="preserve">Eastern Cape Province: From Baroe in the west along the Kleinwinterhoekberge, the Suurberge north of Kirkwood, multiple ridges in the vicinity of Somerset East and Alicedale, immediately south of Grahamstown some slopes and hills, e.g. Signal Hill to the Kaprivierberge east of Grahamstown. </t>
  </si>
  <si>
    <t>Low rounded hills and mountains supporting low to medium high</t>
  </si>
  <si>
    <t>MAP 220–820 mm (mean: 545 mm), peaking bimodally from October–November and February–March. Mean daily maximum and minimum temperatures 27.7°C and 4.7°C for February and July, respectively. Frost incidence 2–10 days per year. See also climate diagram for FFq 6 Suurberg Quartzite Fynbos (Figure 4.51).</t>
  </si>
  <si>
    <t>Sandy soils, predominantly Glenrosa and Mispah forms, derived from Witteberg Group quartzite. Land types mainly Fa, Fb and Ib.</t>
  </si>
  <si>
    <t>SKn4</t>
  </si>
  <si>
    <t>Namaqualand Heuweltjieveld</t>
  </si>
  <si>
    <t xml:space="preserve">Northern Cape Province: At the western foothills of the Namaqualand Escarpment from west of Steinkopf southwards to Soebatsfontein and to Kotzesrust. </t>
  </si>
  <si>
    <t>Undulating plains leading up to the Escarpment with a mosaic of communities on heuweltjies (slightly raised, rounded termite mounds up to 10 m in diameter) and in between the heuweltjies.</t>
  </si>
  <si>
    <t>Winter-rainfall climate with irregular rain events occurring mostly from May to August and almost always no rain between November and February. MAP of 115 mm. Dew is experienced throughout the winter. MAT is quite high (17.8ºC) and frosts hardly occur. In the coldest months of the year (May to August) temperatures below 10ºC are often recorded. The highest temperatures are reached from December to January (may well exceed 30ºC). See also climate diagram for SKn 4 Namaqualand Heuweltjieveld (Figure 5.29).</t>
  </si>
  <si>
    <t>Deep red loamy soils on granites and gneisses of Mokolian age (most significantly the Kamieskroon Gneiss and Gladkop Suite). Ag land type dominates the area (58%), while Ae land type makes up most of the remainder of the area.</t>
  </si>
  <si>
    <t>SKt2</t>
  </si>
  <si>
    <t>Hantam Karoo</t>
  </si>
  <si>
    <t xml:space="preserve">Northern (and to a smaller extent also Western) Cape Province: Greater part of the Onder-Bokkeveld and Hantam region between Nieuwoudtville and Calvinia. The unit also encompasses the lower slopes of the Hantamsberg (but not the mountain itself). A small patch of the unit is found north of the Langberg (west of Loeriesfontein)—where, in places, it also moves into the Western Cape Province. </t>
  </si>
  <si>
    <t>Arid area (MAP around 190 mm and MAPE more than 2 550 mm), with clear peak in June to July and hardly any notable precipitation in December and January—characters typical of winter-rainfall regime. MAT 16–17°C and incidence of frost high (for the same reasons as with SKt 1 Western Bushmanland Klipveld). See also climate diagram for SKt 2 Hantam Karoo (Figure 5.60).</t>
  </si>
  <si>
    <t>Sediments of the Karoo Sequence (predominantly Ecca Group shales and Dwyka tillites), both significantly intruded by dykes and sills of the Jurassic Karoo Dolerite Suite. About half of the region is classified as Fc land type, followed by Fb, Ag and Da.</t>
  </si>
  <si>
    <t>FFs5</t>
  </si>
  <si>
    <t>Winterhoek Sandstone Fynbos</t>
  </si>
  <si>
    <t xml:space="preserve">Western Cape Province: Groot Winterhoek Mountains from Dasklip Pass in the north to Saronsberg and Nuwekloof Pass, including the Witsenberg and Skurweberge (west of Gydo Pass) (which encircle a large patch of FFh 1 Kouebokkeveld Shale Fynbos in the Agter-Witsenberg) to the vicinity of Ceres and including the Gydo, Waboom, Vaalkloof and Houdenbek Mountains in the east. </t>
  </si>
  <si>
    <t>Moderately undulating high plain in the west, with rugged high peaks in the south and southeast, and two linear parallel north-south high mountains in the east, dissected by the Olifants River Valley. The eastern blocks are relatively flat, south- and north-sloping, dissected tablelands</t>
  </si>
  <si>
    <t>MAP 370–1 350 mm (mean: 790 mm), peaking markedly May to August. Southeasterly cloud occasionally brings heavy mist precipitation at higher altitudes in summer. This is the wettest of the northern Sandstone Fynbos types. Mean daily maximum and minimum temperatures 26.7°C and 3.1°C for February and July, respectively. Frost incidence 10–30 days per year. See also climate diagram for FFs 5 Winterhoek Sandstone Fynbos (Figure 4.21).</t>
  </si>
  <si>
    <t>Acidic lithosol soils derived from Ordovician sandstones of the Table Mountain Group (Cape Supergroup). Land types mainly Ic, Fa and Ib.</t>
  </si>
  <si>
    <t>Gm9</t>
  </si>
  <si>
    <t>Tsakane Clay Grassland</t>
  </si>
  <si>
    <t>Gauteng and Mpumalanga Provinces: In patches extending in a narrow band from Soweto to Springs, broadening southwards to Nigel and from there towards Vereeniging, as well as north of the Vaal Dam and between Balfour and Standerton (including Willemsdal).</t>
  </si>
  <si>
    <t>Mpumalanga, Gauteng</t>
  </si>
  <si>
    <t>Flat to slightly undulating plains and low hills.</t>
  </si>
  <si>
    <t>Strongly seasonal summer rainfall, with very dry winters. MAP 630–720 mm. The overall MAT of 15°C indicates a transition between a cool-temperate and warm-temperate climate. The incidence of frost frequent, increasing towards the southeast. See also climate diagram for Gm 9 Tsakane Clay Grassland (Figure 8.36).</t>
  </si>
  <si>
    <t>The most significant rock is the basaltic lava of the Klipriviersberg Group (Ventersdorp Supergroup), together with the sedimentary rocks of the Madzaringwe Formation of the Karoo Supergroup. Soils typical of Ba and Bb land types.</t>
  </si>
  <si>
    <t>SVl3</t>
  </si>
  <si>
    <t>Granite Lowveld</t>
  </si>
  <si>
    <t xml:space="preserve">Limpopo and Mpumalanga Provinces, Swaziland and marginally also KwaZulu-Natal: A north-south belt on the plains east of the escarpment from Thohoyandou in the north, interrupted in the Bolobedu area, continued in the Bitavi area, with an eastward extension on the plains around the Murchison Range and southwards to Abel Erasmus Pass, Mica and Hoedspruit areas to the area east of Bushbuckridge. Substantial parts are found in the Kruger National Park spanning areas east of Orpen Camp southwards through Skukuza and Mkuhlu, including undulating terrain west of Skukuza to the basin of the Mbyamiti River. It continues further southward to the Hectorspruit area with a narrow westward extension up the Crocodile River Valley past Malelane, Kaapmuiden and the Kaap River Valley, entering Swaziland between Jeppe’s Reef in the west and the Komati River in the east, through to the area between Manzini and Siphofaneni, including the Grand Valley, narrowing irregularly and marginally entering KwaZulu-Natal near Pongola. </t>
  </si>
  <si>
    <t>Summer rainfall with dry winters. MAP from about 450 mm on the eastern flats to about 900 mm near the escarpment in the west. In a north-south direction, MAP of the unit appears to peak in Swaziland. Generally a frost-free region. Mean monthly maximum and minimum temperatures for Skukuza 39.5°C and –0.1°C for January and June, respectively. Corresponding values for Hoedspruit 38.0°C and 3.7°C for January and July, respectively. See also climate diagram for SVl 3 Granite Lowveld.</t>
  </si>
  <si>
    <t>From north to south, the Swazian Goudplaats Gneiss, Makhutswi Gneiss and Nelspruit Suite (granite gneiss and migmatite), and further south still, the younger Mpuluzi Granite (Randian) form the major basement geology of the area. Archaean granite and gneiss weather into sandy soils in the uplands and clayey soils with high sodium content in the lowlands.</t>
  </si>
  <si>
    <t>SVmp3</t>
  </si>
  <si>
    <t>Cathedral Mopane Bushveld</t>
  </si>
  <si>
    <t xml:space="preserve">Limpopo Province: Mapped as a limited area in the Kruger National Park on the flats east of Punda Maria Gate from around Dzundwini Mountain to Gumbandebvu Hills. Also extends northwards in the upper Madzaringwe River Valley and in the Shilahlandonga River Valley to the east. </t>
  </si>
  <si>
    <t>flats and gentle slopes</t>
  </si>
  <si>
    <t>Summer rainfall with very dry winters. MAP about 400–500 mm. Generally a frost-free area. See also climate diagram for SVmp 3 Cathedral Mopane Bushveld.</t>
  </si>
  <si>
    <t>Sandstone and shale of the Karoo Supergroup are most important, with sandstone, basalt and tuff of the Soutpansberg Group (Mokolian Erathem) also significant. Soils are often deep, with high sodium content. Prismacutanic and/or pedocutanic diagnostic horizons are often dominant. Land types mainly Dc, Fc and Ca.</t>
  </si>
  <si>
    <t>SVmp4</t>
  </si>
  <si>
    <t>Mopane Basalt Shrubland</t>
  </si>
  <si>
    <t xml:space="preserve">Limpopo and Mpumalanga Provinces: Mainly occurs in a large belt on the plains in the Kruger National Park from around Klopperfontein in the north, southwards and east of the Lebombo Mountain range through the Shingwedzi and Letaba Rest Camp areas to the vicinity of Olifants and Roodewal Rest Camps in the south. </t>
  </si>
  <si>
    <t>Zimbabwe</t>
  </si>
  <si>
    <t xml:space="preserve">Mainly plains and slightly undulating plains </t>
  </si>
  <si>
    <t>Summer rainfall with very dry winters. MAP about 400–600 mm. Generally a frost-free area. Mean monthly maximum and minimum temperatures for Shingwedzi 40.8°C and 2.4°C for November and June, respectively. See also climate diagram for SVmp 4 Mopane Basalt Shrubland.</t>
  </si>
  <si>
    <t>The area is built almost entirely by basalts (tholeitic and picritic) of the Letaba Formation (Lebombo Group, Karoo Supergroup). Soils are often deep and have a high clay content with a dark colour in the lower positions, becoming red on the higher middle slopes. Land types mainly Ea, with some Ia and Fb.</t>
  </si>
  <si>
    <t>Dn1</t>
  </si>
  <si>
    <t>Alexander Bay Coastal Duneveld</t>
  </si>
  <si>
    <t xml:space="preserve">Sandy coastal forelands between the mouth of the Orange and Cape Voltas south of Alexander Bay. The unit borders on the Richtersveld Coastal Duneveld of the Succulent Karoo Biome to the south. </t>
  </si>
  <si>
    <t>Mainly flats with few hills</t>
  </si>
  <si>
    <t>Winter rainfall with MAP 45–50 mm, but rainfall highly variable between years. At Alexander Bay WO (Figure 6.2) rainfall has been recorded from 17 mm in the driest year to 90 mm in the wettest. Mean monthly maximum and minimum temperatures at this weather station are 35.7°C and 4.4°C for April and July, respectively. Temperature is moderated by the cold Atlantic Ocean, except on infrequent occasions when easterly winds occur and temperatures can exceed 40°C. Frost not recorded. Annual daily cloud cover averages about 50% at 08:00 and about 25% at 14:00. Heavy dew and fog occur frequently. Very strong southerly winds dominate throughout the year and are the primary determinant of the distribution of sand substrate types.</t>
  </si>
  <si>
    <t>White to beige, semimobile aeolian sands (Quaternary) over dorbank, gypsum deposits or metavolcanic bedrock (schist, chlorite, subordinate amphibolite) of the Grootderm Formation (Gariep Supergroup, Namibian Erathem).</t>
  </si>
  <si>
    <t>A3_nat, B1i_rod, B2i_rod</t>
  </si>
  <si>
    <t>FFs16</t>
  </si>
  <si>
    <t>South Langeberg Sandstone Fynbos</t>
  </si>
  <si>
    <t>Western Cape Province: Southern slopes of the Langeberg from the Keerom Mountains near Worcester to Cloete’s Pass north of Albertinia, Waboomsberg (north of Montagu), Warmwaterberg (north of Barrydale) and Amandelbosberg (northeast of Heidelberg) Mountains. Altitude 200–1 800 m with several high peaks such as Misty Point (1 709 m) and Grootberg (1 637 m), generally higher in the west than the east. FFs 30 Western Altimontane Sandstone Fynbos on the western peaks above 1 800 m.</t>
  </si>
  <si>
    <t>Complex of gentle to very steep, south-facing slopes, not much dissected over most of the range, but deeply dissected in parts. The Cedarberg Shale Band is prominent in the east, in an almost vertical orientation, as a narrow, smooth-sided valley along which the hiking trails are orientated</t>
  </si>
  <si>
    <t>MAP 320–1 440 mm (mean: 675 mm), peaking very slightly in winter and with a slight low from December to February. Southeasterly cloud brings heavy mist precipitation at higher altitudes in summer. Mean daily maximum and minimum temperatures 26.6°C and 4.0°C for January and July, respectively. Frost incidence 3–20 days per year. See also climate diagram for FFs 16 South Langeberg Sandstone Fynbos (Figure 4.21).</t>
  </si>
  <si>
    <t>FFl3</t>
  </si>
  <si>
    <t>Canca Limestone Fynbos</t>
  </si>
  <si>
    <t xml:space="preserve">Western Cape Province: Coastal forelands from Witsand at the mouth of the Breede River to Mossel Bay, with narrow outliers close to the coast between Hartenbos and Groot Brak River. Furthest occurrence inland is at about 10 km south of Riversdale or roughly 25 km from the coast. </t>
  </si>
  <si>
    <t>A series of hills with parallel crests, sand-filled plains and undulating hills.</t>
  </si>
  <si>
    <t>MAP 310–630 mm (mean: 485 mm), relatively constant throughout the year, but with a low from December to February. Mean daily maximum and minimum temperatures 25.5°C and 6.3°C for February and July, respectively. A mild temperature regime, with frost incidence only about 3 days per year. This is a marginally warmer unit than the other two limestone fynbos units. See also climate diagram for FFl 3 Canca Limestone Fynbos (Figure 4.97).</t>
  </si>
  <si>
    <t>Shallow alkaline to neutral grey regic sands and Glenrosa and Mispah forms on limestone of the Bredasdorp Formation. Land types mainly Fc and Hb.</t>
  </si>
  <si>
    <t>FFt2</t>
  </si>
  <si>
    <t>Loerie Conglomerate Fynbos</t>
  </si>
  <si>
    <t xml:space="preserve">Eastern Cape Province: Hankey Valley on both sides of the Gamtoos River, from Andrieskraal to Mondplaas on the southwestern side, and Patensie to Thornhill on the northeastern side. Also found in the lower Kwazunga Valley above Springfield and Rooikrans near Uitenhage. </t>
  </si>
  <si>
    <t>Moderately undulating plains dissected by major rivers.</t>
  </si>
  <si>
    <t>MAP 360–780 mm (mean: 600 mm), even throughout the year with a slight bimodal peak in March and October–November. Mean daily maximum and minimum temperatures 26.1°C and 6.9°C for February and July, respectively. Frost incidence about 3 days per year. See also climate diagram for FFt 2 Loerie Conglomerate Fynbos (Figure 4.83).</t>
  </si>
  <si>
    <t>Acidic, moist clay-loam, Glenrosa and Mispah soils and conglomerates associated with shales and conglomerates of the Karoo Uitenhage sequence. Land types mainly Fc, Fa and Ib.</t>
  </si>
  <si>
    <t>FFh10</t>
  </si>
  <si>
    <t>Suurberg Shale Fynbos</t>
  </si>
  <si>
    <t xml:space="preserve">Eastern Cape Province: East-west-trending, complex and multiple bands from the Klein Winterberg at Baroe in the west, Suurberg, and highly fragmented distributions around Riebeek East and Grahamstown. </t>
  </si>
  <si>
    <t>Low mountains or hills</t>
  </si>
  <si>
    <t>MAP 280–1 560 mm (mean: 680 mm), relatively even with a low in December–January. Southeasterly cloud brings heavy mist precipitation at higher altitudes in summer. Mean daily maximum and minimum temperatures 27.2°C and 4.8°C for January and July, respectively. Frost incidence 3–10 days per year. See also climate diagram for FFb 4 Central Coastal Shale Band Vegetation (Figure 4.77).</t>
  </si>
  <si>
    <t>Acidic, moist clay-loam Mispah and Glenrosa forms derived from Witteberg Group shales, associated with quartzite. Land types mainly Fa, Ib and Fb.</t>
  </si>
  <si>
    <t>AZd3</t>
  </si>
  <si>
    <t>Cape Seashore Vegetation</t>
  </si>
  <si>
    <t>Western Cape and Eastern Cape Provinces: Temperate coasts of the Atlantic Ocean (Olifants River mouth to Cape Agulhas) and Indian Ocean (Cape Agulhas to East London). According to Tinley (1985; see also Lubke et al. 1997), this stretch of coast comprises the South West and South Coasts.</t>
  </si>
  <si>
    <t>Beaches, coastal dunes, dune slacks and coastal cliffs</t>
  </si>
  <si>
    <t xml:space="preserve">The climate diagram for this unit (Figure 14.3) shows a largely uniform, all-year precipitation pattern, but this pattern must be interpreted with care since the unit encompasses regions of very diverse precipitation regimes. The West Coast (under influence of the Benguela Current) and the portion of the South Coast bordering on the Atlantic Ocean are characterised by cold seawater and frequent upwelling events. The local precipitation is low (as low as 100 mm in places) and typically seasonal </t>
  </si>
  <si>
    <t>Young coastal sandy sediments forming beaches and dunes (Strandveld Formation), exposed to reworking by relentless winds and frequent sea storms. Some stretches of the West Coast are covered by extensive shell beds.</t>
  </si>
  <si>
    <t>NKu1</t>
  </si>
  <si>
    <t>Western Upper Karoo</t>
  </si>
  <si>
    <t xml:space="preserve">Northern Cape Province and a small part in the Western Cape Province: Plains from the Fish River and upper reaches of the Renoster River in the west as far as Fraserburg and Carnarvon in the east, sandwiched between the Bushmanland Basin in the north and the Roggeveld Karoo and edges of the Great Escarpment in the south. </t>
  </si>
  <si>
    <t xml:space="preserve">Much dissected landscape in the southwest associated with the tributaries of the upper catchment of the Sak River (e.g. Renoster River, Riet River, Klein Sak River), often rocky. </t>
  </si>
  <si>
    <t xml:space="preserve">Most of the precipitation occurs in autumn, peaking in March. MAP ranges from about 120–220 mm. Mean maximum and minimum monthly temperatures in Fraserburg are 36.2°C and –5.7°C for January and July, respectively. Corresponding values for Williston are 38.1°C and –4.5°C. Incidence of frost ranges from around 30 frost days per year in the north to about 60 days in the south. See also climate diagram for NKu 1 Western Upper Karoo (Figure 7.2). </t>
  </si>
  <si>
    <t>Karoo sediments (shales, mudstones and arenites) of the Beaufort Group (Adelaide Subgroup) and to a lesser extent also of the Waterford Formation (Ecca Group). Intrusive dolerites of the Jurassic Karoo Dolerite Suite also feature. Glenrosa and Mispah soils (with lime generally present in the entire landscape) are overwhelmingly dominant. Fc land type dominates.</t>
  </si>
  <si>
    <t>SKr11</t>
  </si>
  <si>
    <t>Rooiberg Quartz Vygieveld</t>
  </si>
  <si>
    <t xml:space="preserve">Northern Cape Province: Richtersveld, region east of Eksteenfontein, south of the Rooiberg and west of the Helskloof Canyon. </t>
  </si>
  <si>
    <t>Plateau with slightly undulating flats and hills, mosaic of rocky surfaces, loamy and silty-sandy plains and hills covered with quartz layers</t>
  </si>
  <si>
    <t>MAP is 70–120 mm, with winter rainfall predominant. Very few frost days per year and fog plays no important role.</t>
  </si>
  <si>
    <t>Metavolcanics and quartzitic metasediments of the De Hoop Subgroup of the Orange River Group account for half the area, with most of the remainder being granite of the Vioolsdrif Suite (both are early Mokolian). Patches of quartzite with a diameter of some metres to several hundred metres embedded within grey granite-gneiss of the Precambrian. Saline loamy soils often underlie the quartz-rich top layers. The almost exclusive Metavolcanics and quartzitic metasediments.The almost exclusive land type is Ag.</t>
  </si>
  <si>
    <t>Gm3</t>
  </si>
  <si>
    <t>Eastern Free State Clay Grassland</t>
  </si>
  <si>
    <t xml:space="preserve">Free State Province and marginally in Lesotho: Low-lying areas of the eastern regions of the province, covering the vicinities of Wepener (south), Petrus Steyn (north), Excelsior and east of Winburg (west) and Warden (east) and a thin extension between Maseru and Fouriesburg. </t>
  </si>
  <si>
    <t xml:space="preserve">Flat to gently rolling land surfaces </t>
  </si>
  <si>
    <t>Summer-rainfall region, with MAP around 630 mm. Much of the precipitation falls in form of thunderstorms between November and March. One of the coldest regions of the Highveld. Frost is very frequent in winter. See also climate diagram for Gm 3 Eastern Free State Clay Grassland (Figure 8.36).</t>
  </si>
  <si>
    <t>Mudstones and sandstones of the Adelaide Formation (Beaufort Group) underlie this flat to slightly undulating terrain in the north, while the Tarkastad Formation (Beaufort Group) dominates the geology in the south. Dolerite dykes and sills as well as sandstone outcrops, resistant to weathering, form isolated hills and ridges (Gm 5 Basotho Montane Shrubland) that create a broken landscape, especially in the southern parts of the unit. Sepane, Arcadia, Estcourt and Rensburg forms dominate the moist bottomlands while the Glenrosa, Bonheim, Avalon, Clovelly and Mayo forms dominate the outcrops and slightly elevated areas. Major land types Ca and Bd.</t>
  </si>
  <si>
    <t>A3_nat, B1i_rod</t>
  </si>
  <si>
    <t>SVs2</t>
  </si>
  <si>
    <t>Thukela Thornveld</t>
  </si>
  <si>
    <t xml:space="preserve">KwaZulu-Natal Province: Upper Thukela River basin fringing the SVs 1 Thukela Valley Bushveld on its upper border in a series of discontinuous patches. Largest area east of Estcourt–Colenso and including Ladysmith. Also some outliers on slopes south of Dundee. </t>
  </si>
  <si>
    <t xml:space="preserve">The dominant landscape features are valley slopes to undulating hills. </t>
  </si>
  <si>
    <t xml:space="preserve"> Summer rainfall with dry summers. MAP about 550–850 mm. Frost fairly infrequent, occurring mainly on the flats. Mean monthly maximum and minimum temperatures for Ladysmith 36.1°C and –3.6°C for January and July, respectively. Corresponding values for Escourt-TNK 34.5°C and –2.3°C for January and June, respectively. See also climate diagram for SVs 2 Thukela Thornveld.</t>
  </si>
  <si>
    <t>Broad variety of soils ranging from vertisols and solodised solonetzic soils to transitional fersiallitic soils (Edwards 1967) developing over Karoo Supergroup sediments of the Beaufort and Ecca Groups). Heavy soils are developed over Jurassic dolerite intrusions forming koppies and sills. Land types Fb, Fa, Db, Ea, Fc and Dc.</t>
  </si>
  <si>
    <t>SVs7</t>
  </si>
  <si>
    <t>Bhisho Thornveld</t>
  </si>
  <si>
    <t xml:space="preserve">Eastern Cape Province: From near Mthatha in a band parallel to but inland of the coast to north of East London, turning to run along the southern side of the Amathole Mountains as far as Fort Beaufort. Also on dissected hills and low mountains around Grahamstown, especially to the southwest, and in a few fragments in valleys northeast of the Amathole Mountains. </t>
  </si>
  <si>
    <t>On undulating to moderately steep slopes, sometimes in shallow, incised drainage valleys.</t>
  </si>
  <si>
    <t>Summer rainfall with some rain in winter. MAP from about 500 mm in the west to more than 900 mm in the east. The coefficient of variation in MAP is approximately 25%, but varies from about 20% at the coast to about 30% on the inland and western parts. Frost infrequent. The mean daily maximum temperatures for January 25°C in the east and 28°C in the west and the mean daily minimum temperatures for July 3°C inland and 9°C at the coast. Mean monthly maximum and minimum temperatures for King William’s Town 37.0°C and –1.6°C for February and June, respectively. See also climate diagram for SVs 7 Bhisho Thornveld.</t>
  </si>
  <si>
    <t>Mudstone with subordinate sandstone of the Adelaide Subgroup (Beaufort Group, Karoo Supergroup) underlies most of the area and is intruded by Karoo dolerite dykes and sills. The substrate is primarily loamy soils, but there is significant variability. The area was classified into a variety of land types, with Fa and Fb dominant.</t>
  </si>
  <si>
    <t>AZa1</t>
  </si>
  <si>
    <t>Fynbos Riparian Vegetation</t>
  </si>
  <si>
    <t xml:space="preserve">Western Cape and (partly) Eastern Cape Provinces: Vegetation of narrow belts of alluvial thickets and accompanying palmiet (Prionium serratum) vegetation along upper stretches of the rivers draining mountain fynbos. </t>
  </si>
  <si>
    <t xml:space="preserve">Narrow, flat or slightly sloping alluvial flats </t>
  </si>
  <si>
    <t>Similar to the climate of the surrounding mountains (see climate diagrams for mesic types of fynbos such as those of the FFs and FFh groups; see the chapter on Fynbos in this book), although the presence of a river influences the microclimate of the valley considerably, making it cooler, moister and better sheltered from wind. The most detailed study on the climate in a river valley (Jonkershoek) was published by Wicht et al. (1969). (See also climate diagram in Figure 13.2.)</t>
  </si>
  <si>
    <t>Alluvial sandy or silty soils over Quaternary sediments, largely derived from weathering of Table Mountain sandstone, Cape Supergroup shale and Cape Granite. The streams are fed mainly during the winter-rainfall season and later through seeps carrying acidic water rich in organic compounds (tannins) and with a characteristic brownish colour (locally called ‘tee-water’). Large streams carry water all year round, while some smaller streams can turn into a series of disconnected pools in the upper reaches in summer. Even in relatively small streams flooding can be quite violent, with strong flows especially in narrow gorges. Many trees and shrubs are adapted to uprooting or heavy damage by spates. The heavy erosion also results in a soil-poor substrate and plant cover is often very patchy, located in small depressions with some soil development or between boulders.</t>
  </si>
  <si>
    <t>AZi6</t>
  </si>
  <si>
    <t>Southern Karoo Riviere</t>
  </si>
  <si>
    <t xml:space="preserve">Western and Eastern Cape Provinces: Alluvia of the Buffels, Bloed, Dwyka, Gamka, Sout, Kariega, and Sundays Rivers and their tributaries), east of Laingsburg as far west as Graaff-Reinet and Jansenville. This vegetation unit is embedded within the Koedoesberge-Moordenaars Karoo, Prince Albert Succulent Karoo, Gamka Karoo, Eastern Lower Karoo, and southern parts of the Eastern Upper Karoo as well as some parts of the Albany Thicket Biome south of Cradock. </t>
  </si>
  <si>
    <t xml:space="preserve">Narrow riverine flats </t>
  </si>
  <si>
    <t>Transitional, bimodal (equinoctial) rainfall patterns with peaks in March (major) and November (minor). Climate is subarid on the whole, with overall MAP of 243 mm (range from 165 mm in the Gamka Karoo basin to 430 mm in the vicinity of Bedford). Overall warm-temperate regime, with MAT of 16.3°C, ranging from 14.6°C (Upper Karoo) to 18.3ºC (upper reaches of Sundays River). Frost occurs frequently in winter. See also climate diagram for AZi 6 Southern Karoo Riviere (Figure 13.2).</t>
  </si>
  <si>
    <t>Recent sandy-clayey alluvial deposits rich in salt occurring on mudrocks and sandstones of the Adelaide Subgroup (Beaufort Group of the Karoo Supergroup) that support soils typical of Ia land type. Torrential convectional rains in summer cause sudden flood surges which remodel the riverbed and adjacent alluvium.</t>
  </si>
  <si>
    <t>Gs10</t>
  </si>
  <si>
    <t>Drakensberg Foothill Moist Grassland</t>
  </si>
  <si>
    <t xml:space="preserve">KwaZulu-Natal and Eastern Cape Provinces: Broad arc of Drakensberg piedmonts covering the surrounds of Bergville in the north, Nottingham Road, Impendle, Bulwer in the east, and Kokstad, Mount Currie, Underberg (KZN) and the surrounds of Mt Fletcher, Ugie, Maclear and Elliot (Eastern Cape) in the southwest. </t>
  </si>
  <si>
    <t>Moderately rolling and mountainous, much incised by river gorges of drier vegetation types and by forest</t>
  </si>
  <si>
    <t>Summer rainfall, with MAP almost 890 mm. MAT of 14.6°C and 26 frost days per year are indicative of a cooler, submontane form of warm-temperate climate. See also the climate diagram Gs 10 Drakensberg Foothill Moist Grassland (Figure 8.61).</t>
  </si>
  <si>
    <t>Geology is dominated by mudstones and sandstones of the Tarkastad Subgroup and the Molteno Formation (Karoo Supergroup) as well as intrusive dolerites of Jurassic age. The dominant soils on the sedimentary parent material are well drained, with a depth of more than 800 mm and clay content from 15–55%, representing soil forms such as Hutton, Clovelly, Griffin and Oatsdale. On the volcanic parent material (dolerite) the soils are represented by forms such as Balmoral, Shortlands and Vimy. Most common land types Ac and Fa.</t>
  </si>
  <si>
    <t>Gs18</t>
  </si>
  <si>
    <t>Bedford Dry Grassland</t>
  </si>
  <si>
    <t xml:space="preserve">Eastern Cape Province: South of the Winterberg Mountains from Bruintjieshoogte and Somerset East in the west to Bedford and Adelaide, and to Fort Beaufort in the east. The eastern section lies north of the Great Fish River Valley. </t>
  </si>
  <si>
    <t>Gently undulating plains</t>
  </si>
  <si>
    <t>Bimodal rainfall occurring in spring and late summer. MAP 310–550 mm. MAP is relatively uniform across this unit, but increases closer to the mountains and slightly from west to east. The coefficient of variation in MAP varies from 28–35% across the unit. Incidence of frost 3–31 days, higher towards the west than the east. See also climate diagram for Gs 18 Bedford Dry Grassland (Figure 8.61).</t>
  </si>
  <si>
    <t>Loam or clay-loam soils typical of Fc (most of the region) as well as Db and Fb land types on the mudstones and sandstones of the Adelaide Subgroup (Beaufort Group, Karoo Supergroup).</t>
  </si>
  <si>
    <t>SVk9</t>
  </si>
  <si>
    <t>Kuruman Thornveld</t>
  </si>
  <si>
    <t xml:space="preserve">North-West and Northern Cape Provinces: On flats from the vicinity of Postmasburg and Danielskuil (here west of the Kuruman Hills) in the south extending via Kuruman to Tsineng and Dewar in the north. </t>
  </si>
  <si>
    <t xml:space="preserve">Flat rocky plains and some sloping hills </t>
  </si>
  <si>
    <t>Summer and autumn rainfall with very dry winters. MAP about 300–450 mm. Frost frequent in winter. Mean monthly maximum and minimum temperatures for Kuruman 35.9°C and –3.3°C for January and June, respectively. See also climate diagram for SVk 9 Kuruman Thornveld.</t>
  </si>
  <si>
    <t>Some Campbell Group dolomite and chert and mostly younger, superficial Kalahari Group sediments, with red wind-blown (0.3–1.2 m deep) sand. Locally, rocky pavements are formed in places. Most important land types Ae, Ai, Ag and Ah, with Hutton soil form.</t>
  </si>
  <si>
    <t>SVl5</t>
  </si>
  <si>
    <t>Tshokwane-Hlane Basalt Lowveld</t>
  </si>
  <si>
    <t xml:space="preserve">Mpumalanga Province and Swaziland (and very slightly into Limpopo Province): On plains immediately west of the Lebombo Mountains from Balule and Satara Camps in Kruger National Park in the north, through Tshokwane, Lower Sabie and Crocodile Bridge Camps, Komatipoort to around Ngwenyeni in the south. In Swaziland it occurs from Vuvulane Settlement in the north, through Hlane Game Sanctuary to a point in the south approximately halfway between Siteki and Big Bend. </t>
  </si>
  <si>
    <t xml:space="preserve">Usually fairly flat plains </t>
  </si>
  <si>
    <t>Summer rainfall with dry winters. MAP about 400–800 mm in the southernmost part in Swaziland. Mean monthly maximum and minimum temperatures for Satara (in the north of the unit) 40.2°C and 4.2°C for January and June, respectively. See also climate diagram for SVl 5 Tshokwane-Hlane Basalt Lowveld.</t>
  </si>
  <si>
    <t>The Letaba Formation basalts of the Karoo Supergroup in this area give rise to black, brown or red clayey soils, usually not more the 1 m deep. Vertisols, such as the Arcadia soil form, occur in low-lying areas and concave plains. Land types mainly Ea with some Dc.</t>
  </si>
  <si>
    <t>FOz9</t>
  </si>
  <si>
    <t>Ironwood Dry Forest</t>
  </si>
  <si>
    <t xml:space="preserve">Limpopo Province: Northern part of the Kruger National Park in the Lebombo Mountains as well as in the surroundings of Punda Maria. Possibly also found in the Soutpansberg. </t>
  </si>
  <si>
    <t>On moderate to steep mountain slopes (up to 22°)</t>
  </si>
  <si>
    <t>fine to medium-textured (dark red-brown to brown-red) sand to sandy- loamy soil derived from Soutpansberg Group sandstone and quartzite, Karoo Supergroup sandstone as well as Lebombo Group rhyolites and the Cretaceous Malvernia Formation sandstones. Rocks cover 60% of the surface and soil depth ranges from 100–250 mm. pH of soil spans 4.8–8.3 and there is a moderate concentration of soluble salts or the soil is strongly leached in places (Van Rooyen et al. 1981).</t>
  </si>
  <si>
    <t>Dn2</t>
  </si>
  <si>
    <t>Namib Lichen Fields</t>
  </si>
  <si>
    <t xml:space="preserve">Series of small patches on coast-facing hill slopes, about 3.5 km from the coast immediately southeast of Alexander Bay and covering some 75 ha. </t>
  </si>
  <si>
    <t>Mainly on the southwestern slopes of a series of low hills, which form the highest elevation in the otherwise flat or slightly undulating landscape east and south of Alexander Bay.</t>
  </si>
  <si>
    <t>MAP of about 45 mm and rainfall is erratic, predominantly occurring in winter. High frequency of fog, estimated to be greater than 100 days per year, compared to 67 fog days per year measured at the Alexander Bay airport in the lee of the lichen fields outcrop. Fog carried inland by strong winds during the day makes close contact with the ground and the lichens during their period of photosynthesis. MAT 17.2°C. No frost recorded. Although strong southerly winds predominate, the lichen field has no wind-blown sand and lies in a localised corridor outside the general area of moving sand (note that Ramalina capensis can grow in habitats with high incidence of sandstorms).</t>
  </si>
  <si>
    <t>The area straddles the divide between the metavolcanics of the Grootderm Formation and the schists and gneisses (metasediments) of the Oranjemund Formation, both of the Gariep Supergroup (Namibian). The former is mostly covered by quaternary coastal sediments—soft and powdery white clay soils (clay minerals kaolinite or chlorite) with gypsum crusts or gypsum deposits in the topsoil on the mid- to upper slopes and more sandy soils on the lower slopes. Salinity much higher than soils of the surrounding vegetation; some surface pebbles present.</t>
  </si>
  <si>
    <t>FFl2</t>
  </si>
  <si>
    <t>De Hoop Limestone Fynbos</t>
  </si>
  <si>
    <t xml:space="preserve">Western Cape Province: Broad swathe on the coastal forelands from Struisbaai and Bredasdorp to Infanta at the Breede River Mouth, remaining seawards of the Potberg and including the hills of Bobbejaanskrans and Voëlneskrans north of De Hoop Vlei. </t>
  </si>
  <si>
    <t>An inland range of hills, with plains and moderately undulating plains on the seaward foreland, in places dotted with karstic sinkholes and dry valleys (poljes)</t>
  </si>
  <si>
    <t>MAP 250–530 mm (mean: 385 mm), peaking slightly in autumn and winter with a low from December to February. This is the driest of the limestone fynbos types. Mean daily maximum and minimum temperatures 25.6°C and 6.6°C for January–February and July, respectively. Frost incidence about 3 days per year. See also climate diagram for FFl 2 De Hoop Limestone Fynbos (Figure 4.97).</t>
  </si>
  <si>
    <t>Shallow, alkaline to neutral sand and bedrock, Glenrosa and Mispah forms on limestone of the Bredasdorp Formation. Topographically with less variegated relief than in the other limestone fynbos units, characterised by distinctive karstic valleys, sinkhole depressions and caves. Land types mainly Fc, Ib and Ic.</t>
  </si>
  <si>
    <t>SVl17</t>
  </si>
  <si>
    <t>Lebombo Summit Sourveld</t>
  </si>
  <si>
    <t xml:space="preserve">KwaZulu-Natal Province with small parts in Mpumalanga Province and Swaziland: Localised high points on the crest of the Lebombo Mountains from Mbuzini (Mpumalanga) in the north to the Ubombo area immediately north of Mkuze River Gorge in the south. Also occurs in Mozambique in a very limited area north of Namaacha. </t>
  </si>
  <si>
    <t>Ridge plateaus and adjacent slightly sloping flanks</t>
  </si>
  <si>
    <t>Summer rainfall with little rain in winter. MAP about 600–1 050 mm. Generally frost-free. See also climate diagram for SVl 17 Lebombo Summit Sourveld.</t>
  </si>
  <si>
    <t>Shallow soils of Glenrosa and Mispah forms over Jozini Formation rhyolite lavas (Karoo Supergroup). Heavier soils have developed over dolerite in places. Rocky outcrops are typical. Land types mainly Fa, Ea and Ib.</t>
  </si>
  <si>
    <t>SVcb1</t>
  </si>
  <si>
    <t>Dwaalboom Thornveld</t>
  </si>
  <si>
    <t xml:space="preserve">Limpopo and North-West Provinces: Flats north of the Dwarsberge and associated ridges mainly west of the Crocodile River in the Dwaalboom area but including a patch around Sentrum. South of the ridges it extends eastwards from the Nietverdiend area, north of the Pilanesberg to the Northam area. </t>
  </si>
  <si>
    <t>Plains</t>
  </si>
  <si>
    <t xml:space="preserve"> Summer rainfall with very dry winters. MAP ranges from about 500–600 mm. This unit has the highest mean annual potential evaporation of savanna vegetation units outside the two Kalahari bioregions. Frost is fairly frequent in winter. See also climate diagram for SVcb 1 Dwaalboom Thornveld.</t>
  </si>
  <si>
    <t>Vertic black ultramafic clays which developed from norite and gabbro, also locally in small depressions along streams. Some areas have less clay. Some with high base status and eutrophic red soils. Underlying geology is an Archaean granite-gneiss terrane of the Swazian Erathem that is covered in parts by the mainly clastic as well as chemical sediments and volcanics of the Rayton and Silverton Formation, both of the Pretoria Group (Transvaal Supergroup). Mafic intrusive rocks of the Rustenburg Layered Suite, Bushveld Igneous Complex (Late Vaalian) are present in the east and include the Bierkraal Manetite Gabbro. Bronzite, harzburgite, norite and anorthosite are the major mafic rocks of the Rustenburg Suite. Land types mainly Ea and Ae.</t>
  </si>
  <si>
    <t>FRd1</t>
  </si>
  <si>
    <t>Nieuwoudtville-Roggeveld Dolerite Renosterveld</t>
  </si>
  <si>
    <t xml:space="preserve">Northern Cape Province: Dolerite ridges and surrounding plains east of the Bokkeveld Plateau, immediately east and northeast of Nieuwoudtville between the Doring River in the vicinity of Grasberg in the north and Schoongezicht in the south as well as similar small areas but collectively larger areas on the Roggeveld Plateau, between Middelpos and Sutherland. </t>
  </si>
  <si>
    <t>Ridges composed of rounded-block koppies and surrounding plains</t>
  </si>
  <si>
    <t>MAP 140–530 mm (mean: 290 mm), peaking slightly from May to August. Mean daily maximum and minimum temperatures 30.3°C and 1.5°C for January and July, respectively. Frost incidence 10–50 days per year. See also climate diagram for FRd 1 Nieuwoudtville-Roggeveld Dolerite Renosterveld (Figure 4.117).</t>
  </si>
  <si>
    <t>Intrusive dolerites of the Jurassic Karoo Dolerite Suite giving rise to clay soils varying from fine-textured sands on the koppies to heavy red-clay vertisols on the lower slopes and plains. Land types mainly Fc, Ea, Da and Ib.</t>
  </si>
  <si>
    <t>SKr14</t>
  </si>
  <si>
    <t>Southern Richtersveld Inselberg Shrubland</t>
  </si>
  <si>
    <t xml:space="preserve">Northern Cape Province: Southern Richtersveld—inselbergs scattered over the plains between Anenous Pass and Port Nolloth, partly surrounded by patches of SKr 13 Southern Richtersveld Scorpionstailveld. Includes Klaarkop, Kabies se Berg, Rooidam se Koppe, Steenbok se Berge and Beesvlei se Berg (but excludes the unique Vyftienmyl se Berge inselbergs). </t>
  </si>
  <si>
    <t xml:space="preserve">The inselbergs differ markedly in size, altitude, steepness, rockiness and spatial aggregation. </t>
  </si>
  <si>
    <t>MAP estimated at 80–150 mm, with winter rainfall clearly predominant. The importance of fog is high in the west and decreases towards the east. Frost is very rare. See also climate diagram for SKr 14 Southern Richtersveld Inselberg Shrubland (Figure 5.12).</t>
  </si>
  <si>
    <t>Granite, gneiss and schist mostly of the Gladkop and Hoogoor Suites (Mokolian) that were affected by the Namaqualand metamorphic event. Shallow soils of mostly loamy sand. Almost 75% of the area is Ag land type, followed by Ib.</t>
  </si>
  <si>
    <t>FFl1</t>
  </si>
  <si>
    <t>Agulhas Limestone Fynbos</t>
  </si>
  <si>
    <t xml:space="preserve">Western Cape Province: Agulhas Plain from the vicinity of Hermanus to Bredasdorp and Struisbaai. The largest expanses of limestone are found between the Klein River Lagoon and Grootbos, around Hagelkraal, Heuningrug and Soetanysberg. Some unmapped outliers occur at Hangklip, Macassar (False Bay) and Buffels Bay (Cape Peninsula). The most southerly patch of the unit extends to within 300 m of the southern tip of Africa. </t>
  </si>
  <si>
    <t>Low hills in plains, fragmented on the coastal margin of the Agulhas coastal forelands.</t>
  </si>
  <si>
    <t>MAP 410–660 mm (mean: 530 mm), peaking slightly from June to August. This is the wettest of all the limestone fynbos units. Mean daily maximum and minimum temperatures 25.5°C and 7.0°C for January and July, respectively. Frost incidence about 3 days per year. See also climate diagram for FFl 1 Agulhas Limestone Fynbos (Figure 4.97).</t>
  </si>
  <si>
    <t>Shallow alkaline bedrock and alkaline, grey, regic sands on limestones of the Bredasdorp Formation. Land types mainly Hb, Db and Fa.</t>
  </si>
  <si>
    <t>B1i_inv, B1iii_sp</t>
  </si>
  <si>
    <t>SKk7</t>
  </si>
  <si>
    <t>Citrusdal Vygieveld</t>
  </si>
  <si>
    <t xml:space="preserve">Western Cape Province: The unit encompasses several patches situated on the broad bottom of the Olifants River valley spanning surrounds of Citrusdal in the south, Clanwilliam, and Klawer in the north. Due to floristic and geologic reasons we incorporate into this unit also narrow shale bands crossing the low and mid-slopes of the valley. </t>
  </si>
  <si>
    <t>Broad, slightly sloping mountain flanks as well as ridges of low hillocks emerging from the bottom of the broad valley between mountain ranges</t>
  </si>
  <si>
    <t>Winter-rainfall climate—the modelled MAP of 316 mm is the highest among the Knersvlakte vegetation units, but one can accept real values to be lower, apparently due to pronounced rainshadow effect. The mountains of the Olifants River in the south and Swartberg and Uitkomsberge in the north catch the scanty precipitation brought in by northwesterly winds and prevent penetration of the ocean-borne fog into the Olifants River Valley. MAT is around 18°C. Winters are mild, while summers are relatively hot. The incidence of frost is within the Knersvlakte norm (3–5 days per year). See also climate diagram for SKk 7 Citrusdal Vygieveld (Figure 5.53).</t>
  </si>
  <si>
    <t>Dominated by shale and quartzite of the Cape Supergroup (most important being the Ceres Subgroup of the Bokkeveld Group and the Nardouw and Peninsula Subgroups of the TNardouw and Peninsula Subgroups) supporting sandy and sandy-loamy, moderately deep soils. The area is a mosaic of five almost equally important land types: Fc, Ib, Fb, Db and Ia.</t>
  </si>
  <si>
    <t>FFs4</t>
  </si>
  <si>
    <t>Cederberg Sandstone Fynbos</t>
  </si>
  <si>
    <t xml:space="preserve">Western Cape Province: Mountains and rocky flats south of the Doring River from the Nardousberge through the Cederberg Mountains including the Pakhuisberge, Krakadouberge, Middelberg, Sneeukoppe, Tafelberg, Sneeuberg (but excluding the uppermost parts of the last-mentioned three), Breekkransberge and Sandfontein Peaks, and terminating on the Skurweberg (excluding the summit area of Sneeukop). Also included are the higher peaks (for example, Engelsman se Berg, Swartberg and Maanberg) west of the Olifants River Valley. Substantial sections of the western parts of the central and northern Cederberg are excluded from this unit. </t>
  </si>
  <si>
    <t>Flat to gently east- or north-sloping tableland, with steeper west-facing slopes (only upper parts in this unit)—both being rugged and dominated by rocky outcrops with gullies and flats of deep sand. Isolated mountain peaks occur and a more dissected mountainous terrain occurs in the west. The character of the Cederberg—the long, linear step or plateau that dominates the landscape between the upper and lower blocks of rugged sandstone—is given by the Cedarberg Shale Band (see FFb 1 Northern Inland Shale Band Vegetation)</t>
  </si>
  <si>
    <t>MAP 180–600 mm (mean: 395 mm), peaking May to August. Mean daily maximum and minimum temperatures 28.4°C and 4°C for February and July, respectively. Frost incidence 3–30 days per year. See also climate diagram for FFs 4 Cederberg Sandstone Fynbos (Figure 4.21).</t>
  </si>
  <si>
    <t>Acidic lithosol soils derived from Ordovician sandstones of the Table Mountain Group (Cape Supergroup). Land types mainly Ic, Ib, Ai and Fa.</t>
  </si>
  <si>
    <t>SVcb17</t>
  </si>
  <si>
    <t>Waterberg Mountain Bushveld</t>
  </si>
  <si>
    <t xml:space="preserve">Limpopo Province:  Waterberg Mountains, including the foothills, escarpment and tablelands south of the line between Lephalale and Marken and north of Bela-Bela and west of Mokopane and with outliers in the southwest such as the Boshofsberge and Vlieëpoortberge near Thabazimbi. </t>
  </si>
  <si>
    <t xml:space="preserve">Rugged mountains </t>
  </si>
  <si>
    <t>Summer rainfall with very dry winters. MAP from about 500 mm in the lower-altitude northwest to about 750 mm on the higher parts of the main east-west range. Frost fairly frequent in winter. See also climate diagram for SVcb 17 Waterberg Mountain Bushveld.</t>
  </si>
  <si>
    <t>Mainly sandstone, subordinate conglomerate, siltstone and shale of the Kransberg Subgroup and medium- to coarse-grained sandstone, conglomerate, trachytic lava and quartz porphyry of the Swaershoek Formation, Nylstroom Subgroup (both Mokolian Waterberg Group). Dystrophic, acidic sandy, loamy to gravelly soil. Glenrosa and Mispah Forms. Land types mainly Ib, Ac, Fa and Ad.</t>
  </si>
  <si>
    <t>SKs8</t>
  </si>
  <si>
    <t>Namaqualand Coastal Duneveld</t>
  </si>
  <si>
    <t xml:space="preserve">Northern and Western Cape Provinces: Namaqualand Sandveld, coastal plains on or very near the sea, from Deurloopbaai (south of Port Nolloth) to Abraham Villiersbaai (south of the Groen River mouth). </t>
  </si>
  <si>
    <t>Coastal peneplain with semimobile sand plains to highly mobile, sharp, angular dune plumes usually north of the estuaries.</t>
  </si>
  <si>
    <t>Arid, winter-rainfall area with MAP only 114 mm and almost all rain events occurring from May to August. Winter dew occurs throughout and often with fog rolling in from the sea in the mornings, sometimes fog also occurs in summer. The lowest temperatures in winter are around 10ºC (but hardly any frost), and the highest temperatures in summer just above 25ºC. See also climate diagram for SKs 8 Namaqualand Coastal Duneveld (Figure 5.39).</t>
  </si>
  <si>
    <t>Quaternary, aeolian, yellowish or grey to white, up to 1.5 m deep fine sands forming mobile as well as stabilised coastal dune fields and overlying Tertiary sediments of marine origin. Ai land type covers about two thirds of the area and it is followed by Ha land type.</t>
  </si>
  <si>
    <t>FFd5</t>
  </si>
  <si>
    <t>Cape Flats Sand Fynbos</t>
  </si>
  <si>
    <t xml:space="preserve">Western Cape Province: Cape Flats from Blouberg and Koeberg Hills west of the Tygerberg Hills to Lakeside and Pelican Park in the south near False Bay, from Bellville and Durbanville to Klapmuts and Joostenberg Hill in the east, and to the southwest of the Bottelary Hills to Macassar and Firgrove in the south. </t>
  </si>
  <si>
    <t>Moderately undulating and flat plains</t>
  </si>
  <si>
    <t>Winter-rainfall regime with precipitation peaking from May to August. MAP 580–980 mm (mean: 575 mm). Mists occur frequently in winter. Mean daily maximum and minimum monthly temperatures 27.1°C and 7.3°C for February and July, respectively. Frost incidence about 3 days per year. This is the wettest and the coolest of the West Coast sand fynbos types. See also climate diagram for FFd 5 Cape Flats Sand Fynbos (Figure 4.57).</t>
  </si>
  <si>
    <t>Acid, tertiary, deep, grey regic sands, usually white, often Lamotte form. Land types mainly Ga, Hb and Db.</t>
  </si>
  <si>
    <t>A3_nat, A3_wc, B1i_rod, B1i_inv, B1iii_sp</t>
  </si>
  <si>
    <t>SVs3</t>
  </si>
  <si>
    <t>KwaZulu-Natal Hinterland Thornveld</t>
  </si>
  <si>
    <t>KwaZulu-Natal Province: Patches, scattered immediately above SVs 6 Eastern Valley Bushveld, at altitudes 450–900 m in river valleys of mainly the Mpisi (in the Thukela River catchment), Mvoti, Umgeni (below the Howick Falls), Mlazi, and Lufafa (vicinity of Ixopo) and Mtungwane (tributaries of the Mkomazi).</t>
  </si>
  <si>
    <t>upper margins of river valleys</t>
  </si>
  <si>
    <t>Summer rainfall pattern, with some rain in winter. MAP about 650–1 000 mm. Frost infrequent. Mean monthly maximum and minimum temperatures for Pietermaritzburg 37.2°C and –1.8°C for January and June, respectively. See also climate diagram for SVs 3 KwaZulu-Natal Hinterland Thornveld.</t>
  </si>
  <si>
    <t>Shallow sandy soils (Glenrosa and Mispah forms) developing over Ordovician Natal Group sandstones and compact, clayey soils on Dwyka diamictites (Karoo Supergroup) as well as on layered quartz-feldspar metasediments (Mapumulo Group, Mokolian) and granites of the Oribi Gorge Suite (also Mokolian). Land types mainly Fa and Fb with some Ca, Bd and Ac.</t>
  </si>
  <si>
    <t>FRa1</t>
  </si>
  <si>
    <t>Breede Alluvium Renosterveld</t>
  </si>
  <si>
    <t xml:space="preserve">Western Cape Province: Breede River, broad areas and narrow bands on valley bottomlands from Worcester to Ashton including the largest patch from Worcester to Nuy and Toontjiesrivier, and the belt in the vicinity of the Breede River also with many of its tributaries such as the Doringrivier south of Kwaggaskloof, Poesienetsrivier, Vinkrivier and Keisersrivier. </t>
  </si>
  <si>
    <t>Flat alluvial fans and valley bottoms</t>
  </si>
  <si>
    <t>MAP 170–470 mm (mean: 265 mm), peaking slightly from July to August. Mean daily maximum and minimum temperatures 29.8°C and 4.7°C for February and July, respectively. Frost incidence 4–10 days per year. See also climate diagram for FRa 1 Breede Alluvium Renosterveld (Figure 4.123).</t>
  </si>
  <si>
    <t>Fine loamy sand with high gravel and cobble contents of alluvial fans and river terraces, overlying a variety of rocks from the Cape and Karoo Supergroups as well as the Uitenhage Group. Glenrosa and Mispah forms and soils with prismacutanic and/or pedocutanic diagnostic horizons are dominant. Land types mainly Fc, Db, Da, Ae and Ia.</t>
  </si>
  <si>
    <t>SVcb22</t>
  </si>
  <si>
    <t>VhaVenda Miombo</t>
  </si>
  <si>
    <t xml:space="preserve">Limpopo Province: As far as is known, it is limited to a small area in the upper reaches of the Mbodi River Valley between Shakadaza and Mafukani within the eastern extension of SVcb 21 Soutpansberg Mountain Bushveld. </t>
  </si>
  <si>
    <t>Moderately gentle to some steeper slopes with surface stone, in a narrow valley straddling a north-flowing section of the Mbodi River</t>
  </si>
  <si>
    <t>Summer rainfall with very dry winters. MAP about 670–680 mm. Frost very infrequent. See also climate diagram for SVcb 22 VhaVenda Miombo.</t>
  </si>
  <si>
    <t>Sandstone and quartzite of the Wyllie’s Poort Formation (Mokolian Soutpansberg Group). Shallow sand with rock and deeper sands in some places. Land type is Ib.</t>
  </si>
  <si>
    <t>FOz5</t>
  </si>
  <si>
    <t>Scarp Forest</t>
  </si>
  <si>
    <t xml:space="preserve">Eastern Cape, KwaZulu-Natal and Mpumalanga Provinces as well as in Swaziland (and possibly also in Mozambique): An archipelago of scattered patches (some of them large, such as Ongoye) spanning southern Mpumalanga (Crocodile River Gorge), the southern part of Lebombo Mountains (KwaZulu-Natal) and reaching nearly as far as Kei River Mouth on the Transkei coast. Patches of this forest lie as far as 140 km inland (Mpumalanga), but extend increasingly closer to the sea in a southward direction—in Pondoland, and southern Transkei they occur at the coast or in deep gorges, often associated with krantzes, scarps and coastal platforms. </t>
  </si>
  <si>
    <t>KwaZulu-Natal, Eastern Cape, Mpumalanga</t>
  </si>
  <si>
    <t>Natal Sandstone outcrops (Msikaba Group Sandstones in Pondoland) as well as syenitic granite, rhyolite of the Jozini Formation of the Lebombo Group (Karoo Supergroup) and other Karoo sedimentary rocks; supporting nutrient poor, leached and shallow soils.</t>
  </si>
  <si>
    <t>FFq1</t>
  </si>
  <si>
    <t>Stinkfonteinberge Quartzite Fynbos</t>
  </si>
  <si>
    <t xml:space="preserve">Northern Cape Province: Central Richtersveld—a narrow belt along the top mountain ridges of the Vandersterrberg (1 366 m) east of Koeboes in the north, Cornellsberg (1 377 m) and Stinkfonteinberge (1 230 m) immediately north of Eksteenfontein in the south. </t>
  </si>
  <si>
    <t>This unit forms the upper north-south-trending backbone of the Richtersveld. The landscape at the high altitudes above 1 100 m is as diverse as the geomorphology of the longitudinal mountain range. While over long distances it forms a ridge, in other places steep or rounded mountain tops are embedded, separated by saddles and valleys. In other parts, a plateau has been formed, allowing accumulation of soils above bedrock.</t>
  </si>
  <si>
    <t xml:space="preserve">MAP probably slightly over 200 mm. Fog occurs especially on the western side. Mean daily maximum and minimum temperatures 28.8°C and 2.8°C for January and July, respectively. Frost incidence 10–20 days per year. </t>
  </si>
  <si>
    <t>A wide spectrum of different rocks, mostly quartzite, as well as other metamorphosed clastic sediments and minor volcanic rocks of the Stinkfontein Subgroup of the Precambrian Gariep Supergroup. Soils mainly loams or loamy sands. Land types mainly Ic.</t>
  </si>
  <si>
    <t>FFs23</t>
  </si>
  <si>
    <t>North Swartberg Sandstone Fynbos</t>
  </si>
  <si>
    <t xml:space="preserve">Western and Eastern Cape Provinces: Stretching 270 km along the northern slopes of the Anysberg, Klein and Groot Swartberg to Slypsteenberg and Resbosrand in the east. Also includes the northern slope of the Touwsberg. </t>
  </si>
  <si>
    <t xml:space="preserve">Steep to very steep, mostly north-facing slopes, deeply dissected in parts. East-west-trending rugged mountain ranges. </t>
  </si>
  <si>
    <t>MAP 160–580 mm (mean: 375 mm), peaking slightly in March, but otherwise even with a low from December to February. Mean daily maximum and minimum temperatures 28.3°C and 1.6°C for January and July, respectively. Frost incidence 10–40 days per year. See also climate diagram for FFs 23 North Swartberg Sandstone Fynbos (Figure 4.21).</t>
  </si>
  <si>
    <t>SVl9</t>
  </si>
  <si>
    <t>Legogote Sour Bushveld</t>
  </si>
  <si>
    <t xml:space="preserve">Mpumalanga and Limpopo Provinces: Lower eastern slopes and hills of the northeastern escarpment from Mariepskop in the north through White River to the Nelspruit area extending westwards up the valleys of the Crocodile, Elands and Houtbosloop Rivers and terminating in the south in the Barberton area. </t>
  </si>
  <si>
    <t xml:space="preserve">Gently to moderately sloping upper pediment slopes </t>
  </si>
  <si>
    <t>Summer rainfall with dry winters. MAP from about 700 mm on the footslopes of the escarpment in the east to about 1 150 mm where it borders on grassland at higher altitude to the west. Frost infrequent to occasional at higher altitudes. Mean monthly maximum and minimum temperatures for Nelspruit 35.7°C and 1.6°C for October and July, respectively. Corresponding values for Barberton-Agr 36.0°C and 0.8°C for October and June, respectively. Both weather stations lie at the eastern edge of the unit at lower altitude. See also climate diagram for SVl 9 Legogote Sour Bushveld.</t>
  </si>
  <si>
    <t>Most of the area is underlain by gneiss and migmatite of the Nelspruit Suite, but the southern part occurs on the potassium-poor rocks of the Kaap Valley Tonalite (both Swazian Erathem). The westernmost parts of the distribution are found in Pretoria Group shale and quartzite (Vaalian). Archaean granite plains with granite inselbergs and large granite boulders also occur. Soils are of Mispah, Glenrosa and Hutton forms, shallow to deep, sandy or gravelly and well drained. Diabase intrusions are common, giving rise to Hutton soils. Land types Ab, Fa and Ae.</t>
  </si>
  <si>
    <t>SVl1</t>
  </si>
  <si>
    <t>Makuleke Sandy Bushveld</t>
  </si>
  <si>
    <t xml:space="preserve">Limpopo and (very slightly into) Mpumalanga Provinces: Flats and hills east of the Soutpansberg, south of Klein Tshipise and Masisi, along the valleys of the Mutale River and mid- to lower Levuvhu River; the Maseya Sandveld and Punda Maria areas of the northern Kruger National Park and as few isolated patches in the park, for example Dzundwini Mountain in the north and a narrow sandstone belt sandwiched between the granite and the basalt reaching the Timbavati Picnic Area in the south. </t>
  </si>
  <si>
    <t xml:space="preserve">Variable landscapes from low mountains, slightly to extremely irregular plains to hills. </t>
  </si>
  <si>
    <t>Summer rainfall with very dry winters. MAP about 300–700 mm. Generally a frost-free region, except possibly for higher elevations. Mean monthly maximum and minimum temperatures for Punda Maria 39.7°C and 8.5°C for December and July, respectively. See also climate diagram for SVl 1 Makuleke Sandy Bushveld.</t>
  </si>
  <si>
    <t>The Soutpansberg Group of sandstones with lesser amounts of conglomerate, shale and basalt is mostly exposed in this area (the Wyllie’s Poort, Fundudzi and Nzhelele Formations). Some Karoo Supergroup rocks are also present (Clarens and Letaba Formations). Most of the area has deep sands to shallow sandy lithosols. A few limited areas with heavier soil, particularly in the B-horizon, occur near the western boundary of the Kruger National Park.</t>
  </si>
  <si>
    <t>Dn4</t>
  </si>
  <si>
    <t>Western Gariep Lowland Desert</t>
  </si>
  <si>
    <t xml:space="preserve">Northwestern Richtersveld, mainly including the lower portion of the large tilted plain of the Annisvlakte pediment west of Kuboes and the hilly mafic lava rock landscape close to Arrisdrif, Brandkaros and Grootderm, close to the lowest reaches of the Orange River, thus extending some 43 km from the southwest to the northeast. The unit borders on Succulent Karoo to the south. </t>
  </si>
  <si>
    <t>On both the eastern plains and in the rocky hilly landscape in the west</t>
  </si>
  <si>
    <t>MAP from about 45–60 mm with winter rains predominant. Fog frequency estimated to be 50–60 days per year. Temperatures are generally relatively mild due to the cooling effect of the nearby Atlantic Ocean, but can be up to 48°C on berg-wind days. No occurrence of frost. Winds and sandstorms are frequent and strong in the western regions of the unit.</t>
  </si>
  <si>
    <t>Outcrops of the Grootderm Formation (Gariep Supergroup) consist of chlorite-schist and other metamafic rocks between which filled valleys and plains are found in the west and unconsolidated sandy Quaternary pediments in the east. Biotite granite of the Kuboos Pluton (Cambrian) also occurs in the east. Mispah and Glenrosa soil forms also with red-yellow apedal freely drained soil and high base status are deeper than 300 mm. Gypsum crusts frequent. Along the slope of the large tilted plain of the Annisvlakte, running from the Goariep Mountain (Ploughberg) down to the Orange River, a catena of soil types is observed with silcretes in the upper portion, calcretes in the middle part and gypscretes in the lowest section (Ellis 1980). Land types Fc and Ae.</t>
  </si>
  <si>
    <t>Gs9</t>
  </si>
  <si>
    <t>Midlands Mistbelt Grassland</t>
  </si>
  <si>
    <t xml:space="preserve">KwaZulu-Natal and Eastern Cape Provinces: KwaZulu-Natal Midlands—scattered in broad belt in the form of several major patches including Melmoth-Babanango area, Kranskop and Greytown, Howick Lions River, Karkloof, Balgowan, Cedara, Edendale, Hilton, Richmond, the Ixopo-Highflats area, Mount Malowe in the Umzimkhulu enclave of the Eastern Cape Province and the Harding-Weza area. The southwesternmost section in the Eastern Cape Province falls in the Bulembu, Gxwaleni, Longweni and Flagstaff areas. </t>
  </si>
  <si>
    <t>Hilly and rolling landscape mainly associated with a discontinuous east-facing scarp formed by dolerite intrusions (south of the Thukela River)</t>
  </si>
  <si>
    <t>Summer rainfall, with MAP of 915 mm, range 730–1 280 mm. Heavy and frequent occurrence of mist provides significant amounts of additional moisture (Cedara near Pietermaritzburg has 46 misty days per year). Some of the rain is in the form of cold frontal activity, mainly in winter, spring and early summer. Thunderstorms are common in summer and autumn (Cedara: 60 days of thunderstorms per year). Mean annual evaporation 1 463–1 797 mm (Camp 1999a). MAT 15.8°C, absolute minimum temperature was recorded in this region in June (–10.8°C). Frosts are generally moderate, but occasional severe frost may also occur. Further climatic conditions include short-term drought spells, hail and hot northwestern berg winds occurring particularly in spring and early summer. See also climate diagram for Gs 9 Midlands Mistbelt Grassland (Figure 8.61).</t>
  </si>
  <si>
    <t>Apedal and plinthic soil forms derived mostly from Ecca Group (Karoo Supergroup) shale and minor sandstone and less importantly from Jurassic dolerite dykes and sills. Dominant land type Ac, followed by Fa.</t>
  </si>
  <si>
    <t>FFs21</t>
  </si>
  <si>
    <t>North Rooiberg Sandstone Fynbos</t>
  </si>
  <si>
    <t xml:space="preserve">Western Cape Province: Northern slopes of the mountains of Rooiberg, Gamka and the Amalienstein Ridge-Sandberg-Bakenkop range. </t>
  </si>
  <si>
    <t>Systems of gentle to steep north-facing slopes, deeply dissected in parts. The Cedarberg Shale Band is prominent in parts</t>
  </si>
  <si>
    <t>MAP 160–710 mm (mean: 330 mm), with no prominent peak, but a low from December to February. Mean daily maximum and minimum temperatures 29.7°C and 3.0°C for January and July, respectively. Frost incidence 10–20 days per year. See also climate diagram for FFs 21 North Rooiberg Sandstone Fynbos (Figure 4.21).</t>
  </si>
  <si>
    <t>SKs5</t>
  </si>
  <si>
    <t>Richtersveld Red Duneveld</t>
  </si>
  <si>
    <t>Northern Cape Province: A band running parallel to the coastline, east of the SKs 4 Richtersveld Sandy Coastal Scorpionstailveld, and forming the eastern margin of the Richtersveld Sandveld, running from the Annisvlakte in the north southwards and reaching its southern limit northwest of the Oograbies Mountains (east of Port Nolloth). Usually not closer than 12–26 km from the coast.</t>
  </si>
  <si>
    <t>High dune aggregates (oriented in a north-south direction), which again carry smaller dunes (mainly west-east-orientated).</t>
  </si>
  <si>
    <t>Winter-rainfall with estimated MAP 50–100 mm. Maximum temperatures are lower than further inland. Coastal fog also occurs, and frost is very rare.</t>
  </si>
  <si>
    <t>Dark red sands with their thick iron coating are interpreted as old sands, which have experienced a longer period without major mechanical or chemical disturbance. The red dunes show the lowest admixture of silt and clay, compared to the other dune types in the Richtersveld. The pH is around 6.5 as compared to the average of 8.0 to 8.5 found in the neighbouring units. Salt content and electrical conductivity are the lowest (10 µS), hence 10 to 100 times lower than elsewhere in the region. The land types Af and Ah are almost equally important, while Ae is less important.</t>
  </si>
  <si>
    <t>SVk11</t>
  </si>
  <si>
    <t>Molopo Bushveld</t>
  </si>
  <si>
    <t xml:space="preserve">North-West and Northern Cape Provinces: In the Molopo area from Bray and Werda in the north on the border with Botswana, southwards through Morokweng and Tosca in the east and Vorstershoop to McCarthysrus and Eldorado in the west to Bendell in the south. </t>
  </si>
  <si>
    <t>usually fairly open</t>
  </si>
  <si>
    <t>Summer and autumn rainfall with very dry winters. MAP about 250–400 mm. Frost frequent in winter. See also climate diagram for SVk 11 Molopo Bushveld.</t>
  </si>
  <si>
    <t>Red aeolian sand of Recent age with surface calcrete and silcrete. Soils are deep (&gt;1.2 m) and sandy (Hutton and Clovelly soil forms). Land types mainly Ah with a little Fc.</t>
  </si>
  <si>
    <t>SKr8</t>
  </si>
  <si>
    <t>Rosyntjieberg Succulent Shrubland</t>
  </si>
  <si>
    <t xml:space="preserve">Northern Cape Province: High mountain range (including Rosyntjieberg and Mount Terror) at latitude of Khubus in the northeastern Richtersveld, extending at right angles from the central Vandersterrberg-Stinkfonteinberge mountain range eastwards to just short of the Orange River. </t>
  </si>
  <si>
    <t xml:space="preserve">predominance of exposed rock and very steep slopes. Some of the mountains have nearly vertical escarpments with strong rock weathering, thereby limiting access to some parts of the unit. </t>
  </si>
  <si>
    <t>Mainly, especially at higher altitude, clear predominance of winter rainfall, while in the lowlands, especially in the more eastern part, rare summer rainfall events may be more important. The region lies in the rainshadow of the Vandersterrberge, with MAP of only 50–90 mm (all these estimates derived from correlations with plant cover). Frequency of frost is estimated at a few to 10 days per year. Fog plays no role.</t>
  </si>
  <si>
    <t>Mainly quartzite of the Rosyntjieberg Formation (Orange River Group), but also granite of the Vioolsdrif Suite (both Mokolian). The shallow soils are mostly of loamy to sandy texture. The exclusive land type is Ic.</t>
  </si>
  <si>
    <t>AZd2</t>
  </si>
  <si>
    <t>Namaqualand Seashore Vegetation</t>
  </si>
  <si>
    <t>Northern Cape Province: Namaqualand, very narrow strip above the high tide zone along the sea from the Holgat River to just south of the Olifants River.</t>
  </si>
  <si>
    <t xml:space="preserve">Slightly sloping beach, coastal rocky formations </t>
  </si>
  <si>
    <t>Hostile, arid coast characterised by erratic rainfall, high solar irradiation and frequent desiccating winds. MAP 105 mm, increasing from around 60 mm (Port Nolloth) in the north to 150 mm (Strandfontein) in the south. Fog present in winter at night and in the early morning. MAT 17.6°C and seasonal temperature has a slightly higher variation than that of AZd 1 Namib Seashore Vegetation. Incidence of frost negligible. See also climate diagram for AZd 2 Namaqualand Seashore Vegetation (Figure 14.3).</t>
  </si>
  <si>
    <t>Recent sandy marine sediments forming beaches and coastal dunes and extensive deep shell beds. The coastal cliffs consist of either Gariep Supergroup quartzitic sandstones or Mokolian granites and gneisses. Outside the direct influence of the sea (submersion), but under constant maritime influence (salt spray).</t>
  </si>
  <si>
    <t>FFg3</t>
  </si>
  <si>
    <t>Peninsula Granite Fynbos</t>
  </si>
  <si>
    <t xml:space="preserve">Western Cape Province: Lower slopes on the Cape Peninsula from Lion’s Head to Smitswinkel Bay almost completely surrounding Table Mountain, Karbonkelberg and Constantiaberg through to the Kalk Bay Mountains. South of the Fish Hoek gap, it is limited to the eastern (False Bay) side of the Peninsula from Simon’s Bay to Smitswinkel Bay, with a few small patches between Fish Hoek and Ocean View. </t>
  </si>
  <si>
    <t>Steep to gentle slopes below the sandstone mountain slopes, and undulating hills on the western edge of the Cape Flats.</t>
  </si>
  <si>
    <t>Typical winter-rainfall climate peaking from May to August. MAP 590–1 320 mm (mean: 960 mm). Mean daily maximum and minimum temperatures 26.0°C and 7.2°C for February and July, respectively. Frost incidence 2 or 3 days per year. The climate of this unit is almost identical to that of FFg 2 Boland Granite Fynbos, but shows a far stronger maritime influence. See also climate diagram for FFg 3 Peninsula Granite Fynbos (Figure 4.92).</t>
  </si>
  <si>
    <t>Deep loamy, sandy soils, red-yellow apedal or Glenrosa and Mispah forms, derived from Cape Peninsula Pluton of the Cape Granite Suite. Land types mainly Ac, Fa and Bc.</t>
  </si>
  <si>
    <t>SVk5</t>
  </si>
  <si>
    <t>Vaalbos Rocky Shrubland</t>
  </si>
  <si>
    <t xml:space="preserve">Northern Cape and Free State Provinces: Extends along solitary hills and scattered ridges east of the confluence of the Orange and Vaal Rivers, mainly in the Kimberley and Herbert Districts and west of a line bounded by the western Free State towns of Luckhoff, Petrusburg, Dealesville, Bultfontein and Hertzogville. </t>
  </si>
  <si>
    <t xml:space="preserve">Slopes and elevated hills and ridges within plains </t>
  </si>
  <si>
    <t xml:space="preserve">Summer and autumn rainfall with very dry winters. MAP about 250–450 mm. Frost frequent in winter, especially on bottomlands. Mean monthly maximum and minimum temperatures for Douglas 39.7°C and –4.6°C for January and July, respectively. See also climate diagram for SVk 5 Vaalbos Rocky Shrubland </t>
  </si>
  <si>
    <t>A highly fragmented area on Ecca and Dwyka Group sediments and Karoo dolerites as well as on Ventersdorp Supergroup lavas (Allanridge Formation). Extensive dolerite sills which form ridges, and plateaus and slopes of koppies and small escarpments mark the erosion terraces. These dolerite sills cover alternating layers of mudstone and sandstone of sedimentary origin. The Ib land type is typical of these rock- and boulder-covered slopes. Prominent soil forms are the stony Mispah and gravel-rich Glenrosa forms derived from Jurassic dolerite, calcrete-rich soils cover the lowlands (Kimberley and Plooysburg forms).</t>
  </si>
  <si>
    <t>Dg5</t>
  </si>
  <si>
    <t>Kahams Mountain Desert</t>
  </si>
  <si>
    <t xml:space="preserve">Located between the Stinkfonteinberge basal apron in the west and the Orange River and Helskloof Canyon in the east, and between the Rosyntjieberge in the north and the Rooiberg in the south. The unit borders on units of the Succulent Karoo Biome to the north, south and west. </t>
  </si>
  <si>
    <t xml:space="preserve">Highly dissected landscape with rugged mountains with bare rock </t>
  </si>
  <si>
    <t>MAP about 45–70 mm. Very variable, transitional climate between winter and summer rainfall with tendency towards summer rainfall in the east. Fog absent. Maximum summer temperatures reaching up to 50°C. Frost is very rare, but occurs at higher altitudes. Characterised by steep gradient of increasing aridity from west to east. In the east, hot and dry conditions are typical for the low altitudes along the Orange River, while in the western parts at higher elevations (close to the foothills of the Stinkfonteinberge) the climate is relatively more humid and cooler.</t>
  </si>
  <si>
    <t>The granodiorite, adamellite, leucogranite, tonalite and diorite of the Vioolsdrif Suite (Mokolian Erathem) are intruded by syenites and granites of the Richtersveld Suite (Namibian Erathem). These together account for three quarters of the area. Calc-alkaline, acid and metavolcanic rocks and quartzitic metasediments of the De Hoop Subgroup, Orange River Group (Mokolian Erathem) are also significant. Very rocky substrate, with little to no soils. Land type Ib.</t>
  </si>
  <si>
    <t>FFb2</t>
  </si>
  <si>
    <t>Western Coastal Shale Band Vegetation</t>
  </si>
  <si>
    <t xml:space="preserve">Western Cape Province: Embedded within the mountain ranges of Elandskloof, Limietberge, Wellington Sneeukop, Slanghoek, Du Toitsberge, Klein Drakenstein, Wemmershoek, Stettyns, Franschhoek (including Victoria Peak and Emerald Dome), Groenland, Hottentots Holland (including Triplets and Somerset Sneeukop), and Kogelberg. These bands extend eastwards through the Kleinrivierberge, Caledon Swartberg and Bredasdorpberge. Also included are the shale bands of the Riviersonderend Mountains and of Potberg. </t>
  </si>
  <si>
    <t>A narrow 80–200 m linear feature (up to 1 km wide in a few places and also forming rings on some ‘Sneeukop’ peaks), smooth and flat in profile compared to surrounding areas</t>
  </si>
  <si>
    <t>MAP 280–2 000 mm (mean: 1 070 mm), peaking from May to August. Southeasterly cloud brings heavy mist precipitation at higher altitudes in summer. Mean daily maximum and minimum temperatures 24.3°C and 5.0°C for February and July, respectively. Frost incidence 2–10 days per year. See also climate diagram for FFb 2 Western Coastal Shale Band Vegetation (Figure 4.77).</t>
  </si>
  <si>
    <t>Clays derived from shale of the Cedarberg Formation. Land types mainly Ic and Ib.</t>
  </si>
  <si>
    <t>FRl1</t>
  </si>
  <si>
    <t>Kango Limestone Renosterveld</t>
  </si>
  <si>
    <t xml:space="preserve">Western Cape Province: Northeastern regions of the Little Karoo south of the Groot Swartberg, from near Gamkapoort, north of Calitzdorp eastwards including Matjiesrivier and the Cango Caves area, with another band extending from upper Schoemanspoort and De Rust to north of the Stompdrift Dam. </t>
  </si>
  <si>
    <t>Low mountains and steep hills</t>
  </si>
  <si>
    <t>MAP 200–720 mm (mean: 405 mm), peaking in March but otherwise even with a slight low from December to February. Mean daily maximum and minimum temperatures 31.0°C and 3.5°C for January and July, respectively. Frost incidence 10–20 days per year. See also climate diagram for FRl 1 Kango Limestone Renosterveld (Figure 4.124).</t>
  </si>
  <si>
    <t>Clays and loams derived from the Cango Caves Group shales and limestone of the Namibian Erathem; in the south the area overlies clastic sediments of the Mesozoic Uitenhage Group; soils of Glenrosa and Mispah forms or red-yellow apedal soils dominant. Land types mainly Ib, Fc and Ag.</t>
  </si>
  <si>
    <t>FFs2</t>
  </si>
  <si>
    <t>Graafwater Sandstone Fynbos</t>
  </si>
  <si>
    <t xml:space="preserve">Western Cape Province: West Coast region, with the main block from Traval in the Olifants River Valley in the north, through areas east of Graafwater and Redelinghuys to Het Kruis (north of Piketberg) in the south. Smaller isolated patches to the west of this main body include Koeivleiberg, Klipfonteinkoppe and Muishoekberg. This fynbos type reaches the Atlantic Ocean through several unmapped patches near Elands Bay. </t>
  </si>
  <si>
    <t>Low mountains and gently undulating plains</t>
  </si>
  <si>
    <t>MAP 200–499 mm (mean: 355 mm), peaking May to August when 70% of rain falls. Mean daily maximum and minimum temperatures 30.2°C and 6.1°C for February and July, respectively. Frost incidence 3 or 4 days per year. Mists common in winter. See also climate diagram for FFs 2 Graafwater Sandstone Fynbos (Figure 4.21).</t>
  </si>
  <si>
    <t>Acidic lithosol soils derived from Ordovician sandstones of the Table Mountain Group (Cape Supergroup), predominantly red-yellow apedal or Glenrosa and Mispah forms. Land types mainly Ai, Ib and Fa.</t>
  </si>
  <si>
    <t>Gd8</t>
  </si>
  <si>
    <t>Lesotho Highland Basalt Grassland</t>
  </si>
  <si>
    <t>Lesotho, Eastern Cape, Free State (and partly also into southern KwaZulu-Natal): Most of the high dissected basalt plateau of Lesotho, including most of the districts of Mokhotlong, Thaba-Tseka, Qacha’s Nek and Quthing and the eastern parts of Butha-Buthe, Leribe, Berea, Maseru, Mafeteng and Mohale’s Hoek. Extends on the basalt from around ’Makholo (Ben Macdhui) into the Eastern Cape southwards to the vicinity of Barclay East, and westwards along the Witteberge to the vicinity of Lady Grey. Extends in a small area of the northeastern Free State on the high basalt mountains such as Ribbokkop (within the Golden Gate Highlands National Park) and on the top of Oorsprongsberg. Altitude about 1 900–2 900 m. The unit extends to KwaZulu-Natal at the lower parts of the Escarpment edge (e.g. around the Loteni and Mkhomazi Passes). The areas of Drakensberg Afroalpine Heathland (above 2 900 m) are embedded in this unit as are some Lesotho Mires (at higher altitudes). For practical reasons, the vegetation unit includes a small area of high-altitude sandstone (up to about 2 600 m) that is limited to the eastern edge of Lesotho (notably in the Sehlabathebe National Park).</t>
  </si>
  <si>
    <t xml:space="preserve">Landscape consists of many plateaus and high ridges of mountains separated by often deep valleys. Although many valley slopes are steep, major cliff faces are only occasionally encountered, especially along parts of the main Maloti Mountain chain. </t>
  </si>
  <si>
    <t>Summer rainfall, with little rain in winter, particularly away from the Northern Escarpment. Much of the area is in a rainshadow with weather stations such as Mokhotlong at an elevation of 2 377 m with a MAP of only 575 mm (Tyson et al. 1976, Killick 1978a). MAP is higher along the eastern edge, for example, 928 mm at Qacha’s Nek and also in the southeast, with 686 mm at Barkly East Golf Club. Mean monthly maximum and minimum temperatures for Barkly East Golf Club are 31.4°C and –10.5°C for December and July, respectively. Frost occurs throughout winter and on occasion even in summer at higher elevations. Snow occurs in winter, especially at higher elevations where some light snow can occur in summer. There is a high incidence of lightning in summer and hail is common. See also climate diagram for Gd 8 Lesotho Highland Basalt Grassland (Figure 8.11).</t>
  </si>
  <si>
    <t>The area is almost entirely underlain by basaltic lava flows of the Drakensberg Group, with some of the shallow soils covering sandstones of the Clarens Formation (Stormberg Group, Karoo Supergroup) in the form of disintegrating carpets. Soils derived from the basalt have fairly even proportions of coarse sand, fine sand, silt, clay and organic matter. The organic matter increases from about 20% on the slopes to about 26% in the valleys (Herbst &amp; Roberts 1974a). The high organic content (acid, slowly decomposing humus formed largely by decaying grass roots) results in a high water-retention capacity of the soil. Water redistribution through seeps is frequent. Main land type, at least in the South African section, is Ea.</t>
  </si>
  <si>
    <t>FOz3</t>
  </si>
  <si>
    <t>Southern Mistbelt Forest</t>
  </si>
  <si>
    <t xml:space="preserve">KwaZulu-Natal and Eastern Cape Provinces: Forest patches varying in size, occurring in ?re-shadow habitats on south- and southeast-facing slopes and located along the Great Escarpment, spanning a large area from Somerset East, the Amathole Mountains, scarps of Transkei to the KwaZulu-Natal Midlands as far east as Ulundi. In KwaZulu-Natal these forests are found in a wide band sandwiched between the Drakensberg Montane Forests and Northern KwaZulu-Natal Mistbelt Forests at higher altitudes and Eastern Scarp Forests at lower altitudes. Belts of forest patches belonging to this vegetation unit occur in the Baviaanskloof Mountains, Zuurberg Mountains and in the region spanning Grahamstown and King William’s Town. </t>
  </si>
  <si>
    <t>On the Great Escarpment (Amathole, Transkei Escarpment) and in the KwaZulu-Natal Midlands</t>
  </si>
  <si>
    <t>Some of the soils are deep, loamy and with high nutrient status, developed on weathered dolerite intrusions or mudstones, shales and sandstones of the Karoo Supergroup (on Great Escarpment). The soils supporting forests of low-lying scarps are shallower as they developed on quartzitic Witteberg Sandstones or sandstones of the Karoo Supergroup.</t>
  </si>
  <si>
    <t>SKv3</t>
  </si>
  <si>
    <t>Agter-Sederberg Shrubland</t>
  </si>
  <si>
    <t xml:space="preserve">Western (and to a lesser extent also Northern) Cape Province: Includes Stinkfonteinberge and Boegoeberge (with the botanically famous Botterkloof), Biedouberge and Tra-Traberge near Wuppertal as well as a very narrow (shale) belt extending south of Wuppertal and squeezed between the Skurweberg in the west and Swartruggens in the east. </t>
  </si>
  <si>
    <t xml:space="preserve">Slopes of low mountains and deeply incised valleys </t>
  </si>
  <si>
    <t>Typical winter-rainfall regime with most of the rain falling between June and August. MAP is about 250 mm, which is higher than the nearby quartzite Karoo units and especially the neighbouring Tanqua Karoo. MAT reaches almost 17°C and incidence of frost is relatively low. See also climate diagram for SKv 3 Agter-Sederberg Shrubland (Figure 5.65).</t>
  </si>
  <si>
    <t>Dark grey siltstones and shales with intercalated mudstones and sandstones of the Devonian Ceres and Bidouw Subgroups (Bokkeveld Group) and quartzitic sandstones of the Witteberg Group and Nardouw Subgroup (Table Mountain Group). Supporting deep soils over shales and shallow soils over quartzitic sandstone. Most of the area is classified as Fb land type. Fa and Fc land types are of lesser importance.</t>
  </si>
  <si>
    <t>SKs1</t>
  </si>
  <si>
    <t>Richtersveld Coastal Duneveld</t>
  </si>
  <si>
    <t xml:space="preserve">Northern Cape Province: Broad belt of 1–12 km along Atlantic Ocean coast from a point between the Boegoe Twins and Alexander Bay to about halfway between Port Nolloth and Kleinzee. The north-south extension is 104 km. </t>
  </si>
  <si>
    <t>Generally flat with some large, gently rolling hills. Only the Boegoe Twins south of Alexander Bay form steeper rocky slopes.</t>
  </si>
  <si>
    <t>Extreme wind speeds and sand blasting from the south. High storm frequency. MAP is 50–80 mm, with winter rains clearly predominant. Medium to high frequency of sea fog. No incidence of frost. See also climate diagram for SKs 1 Richtersveld Coastal Duneveld (Figure 5.39).</t>
  </si>
  <si>
    <t>Wind-blown white sands of coastal origin overlying rocks belonging to the Holgat and Grootderm Formations of the Gariep Supergroup. Especially around Port Nolloth and north of the Holgat River mouth active dune fields can be found. The dominant land type is Ha.</t>
  </si>
  <si>
    <t>SVcb12</t>
  </si>
  <si>
    <t>Central Sandy Bushveld</t>
  </si>
  <si>
    <t xml:space="preserve">Limpopo, Mpumalanga, Gauteng and North-West Provinces: Undulating terrain occurs mainly in a broad arc south of the Springbokvlakte from the Pilanesberg in the west through Hammanskraal and Groblersdal to GaMasemola in the east. A generally narrow irregular band along the northwestern edge of the Springbokvlakte (including Modimolle) extending into a series of valleys and lower-altitude areas within the Waterberg including the upper Mokolo River Valley near Vaalwater, the corridor between Rankins Pass and the Doorndraai Dam, and the lowlands from the Mabula area to south of the Hoekberge. Some isolated sandy rises are found on the Springbokvlakte. </t>
  </si>
  <si>
    <t xml:space="preserve">Low undulating areas, sometimes between mountains, and sandy plains and catenas </t>
  </si>
  <si>
    <t>Summer rainfall with very dry winters. Effectively three seasons, namely a cool dry season from May to mid-August, a hot dry season from mid-August to about October and a hot wet season from about November to April. MAP from about 500–700 mm. Frost fairly infrequent. Mean monthly maximum and minimum temperatures for Goedehoop (in the northern part of this vegetation unit) 35.3°C and –3.1°C for November and June, respectively. See also climate diagram for SVcb 12 Central Sandy Bushveld.</t>
  </si>
  <si>
    <t>The large southern and eastern parts of this area are underlain by granite of the Lebowa Granite Suite and some granophyre of the Rashoop Granophyre Suite (both Bushveld Complex, Vaalian). In the north, the sedimentary rocks of the Waterberg Group (Mokolian Erathem) are most important. Specifically, sandstone, conglomerate and siltstone of the Alma Formation and sandstone, siltstone and shale of the Vaalwater Formation. Well-drained, deep Hutton or Clovelly soils often with a catenary sequence from Hutton at the top to Clovelly on the lower slopes; shallow, skeletal Glenrosa soils also occur. Land types mainly Bb, Fa, Ba, Bd and Ac.</t>
  </si>
  <si>
    <t>FFh2</t>
  </si>
  <si>
    <t>Matjiesfontein Shale Fynbos</t>
  </si>
  <si>
    <t xml:space="preserve">Western Cape Province: Very fragmented unit on the higher peaks of mountain ranges in the extreme western Little Karoo south of Witberg from Suurberg (southeast of Touws River) to Ezelsfontein (southwest of Laingsburg). Confined to summits and southern slopes. </t>
  </si>
  <si>
    <t>Gentle and steep southern slopes south of quartzitic outcrops</t>
  </si>
  <si>
    <t>MAP 290–910 mm (mean: 535 mm), relatively even with a slight peak in March. Mean daily maximum and minimum temperatures 26.9°C and 3.3°C for February and July, respectively. Frost incidence 2–40 days per year. See also climate diagram for FFb 5 Eastern Inland Shale Band Vegetation (Figure 4.77).</t>
  </si>
  <si>
    <t>Acidic, moist clay-loam, red-yellow apedal or skeletal soils derived from shales of the Devonian Witteberg Group, and associated with quartzitic outcrops. Land types mainly Ic and Ah.</t>
  </si>
  <si>
    <t>SKr1</t>
  </si>
  <si>
    <t>Central Richtersveld Mountain Shrubland</t>
  </si>
  <si>
    <t xml:space="preserve">Northern Cape Province: Central regions of the Richtersveld, along the central mountain ridge from Khodas Peak in the north along the Vandersterrberg and Stinkfontein range stretching about 100 km in a north-south direction, but excluding the highest altitudes where it grades into FFq 1 Stinkfonteinberge Quartzite Fynbos. </t>
  </si>
  <si>
    <t xml:space="preserve">Forms the major part of the Richtersveld mountain ranges, including a wide variety of landscapes. Steep and rocky mountains are dominant, with a rolling topography in other parts. Deep canyons, but also wider valleys can be found scattered over most of the area. </t>
  </si>
  <si>
    <t>Region of mild, winter-rainfall climate. MAP varies from 60–200 mm, but with most of the area less than 90 mm. At higher altitudes, especially on southwestern slopes, the frequent occurrence of fog or cloud results in a significant improvement in water supply for plants. Frost is very rare at lower altitudes, but occurs up to 10 days per year at higher altitudes.</t>
  </si>
  <si>
    <t xml:space="preserve">A spectrum of metavolcanics and metasediments, mostly quartzite, of the Stinkfontein Subgroup of the Gariep Supergroup (Namibian Erathem). Granites of the Mokolian Vioolsdrif Suite are also present. The soils encompass a wide variety of loamy sands, sands and loams. Soils derived from granites may reach a pH between 7 and 8. Land type mainly Ic. </t>
  </si>
  <si>
    <t>Gs3</t>
  </si>
  <si>
    <t>Low Escarpment Moist Grassland</t>
  </si>
  <si>
    <t xml:space="preserve">KwaZulu-Natal, Free State and Mpumalanga Provinces: Slopes of the Drakensberg, on both sides of the provincial boundary from Oliviershoek (near Harrismith) to Volksrust. </t>
  </si>
  <si>
    <t>KwaZulu-Natal, Mpumalanga, Free State</t>
  </si>
  <si>
    <t>Complex mountain topography. Steep, generally east- and south-facing slopes, with a large altitudinal range.</t>
  </si>
  <si>
    <t>Summer rainfall, with peak from December to January. Frequent fog adds to the overall precipitation. MAP is almost 920 mm and mean annual evaporation reaches 1 770 mm. MAT of 14.3°C and almost 30 days of frost indicate that the unit is found close to the lower limit of warm-temperate climate. See also climate diagram for Gs 3 Low Escarpment Moist Grassland (Figure 8.61).</t>
  </si>
  <si>
    <t>Ecca and Beaufort Groups (Karoo Supergroup) mudstone or shale. Soils are mainly of the Hutton form, but also shallower forms such as Glenrosa and Mispah. Half of the area is classified as Fa land type, while the rest is shared among Ac, Bb and Ad land types.</t>
  </si>
  <si>
    <t>FRc2</t>
  </si>
  <si>
    <t>Ruens Silcrete Renosterveld</t>
  </si>
  <si>
    <t xml:space="preserve">Western Cape Province: Rûens coastal forelands from Riviersonderend to Riversdale, with isolated outliers westwards to Bot River, but only really common within FRs 13 Eastern Rûens Shale Renosterveld. A highly fragmented unit by nature of its tendency to occur on the well-dissected, old African surface. Particularly common along the lower Breede River south of Buffeljagsrivier to Malgas and further downstream, and also south of Heidelberg and Riversdale (particularly in the Brakrivier area). </t>
  </si>
  <si>
    <t>Highly fragmented patches on the summits and highlands of undulating hills and plains, larger patches often associated with drainage systems.</t>
  </si>
  <si>
    <t>Summer rainfall with very dry winters. MAP between about 600 and 700 mm. Frost fairly frequent in winter. Mean monthly maximum and minimum temperatures for Brits-Agr 35.3°C and –3.3°C for January and June, respectively. Corresponding values are 35.3oC and –1.4oC for Rustenberg (November and July) and 32.8°C and –1.0°C for Pretoria University Experimental Farm (January and July). This unit has a relatively more temperate climate than the SVcb 1 Dwaalboom Thornveld. See also climate diagram for SVcb 6 Marikana Thornveld.</t>
  </si>
  <si>
    <t>Shallow soils with silcrete caps over deep pink and orange shales of the Bokkeveld Group, on hill tops. Occasionally they also occur on ferricrete or in quartz patches. Soils are prismacutanic and pedocutanic. Land types mainly Db, Fc and Fb.</t>
  </si>
  <si>
    <t>A3_nat, A3_wc, A2b, B1i_rod, B1iii_sp, B2i_rod, B2iii_sp</t>
  </si>
  <si>
    <t>SVcb9</t>
  </si>
  <si>
    <t>Gold Reef Mountain Bushveld</t>
  </si>
  <si>
    <t xml:space="preserve">North-West, Gauteng, Free State and Mpumalanga Provinces: Occurs along rocky quartzite ridges of the Magaliesberg and the parallel ridge to the south, from around Boshoek and Koster in the west to near Bronkhorstspruit in the east. The west-east-trending ridge of the Witwatersrand from around Krugersdorp in the west, through Roodepoort and Johannesburg to Bedfordview (Germiston District). Inner ridges (e.g. Dwarsberg and Witkop) of the Vredefort Dome on the Vaal River northwest of Parys and part of the Suikerbosrand and some other hills around Heidelberg. </t>
  </si>
  <si>
    <t>Rocky hills and ridges often west-east trending with more dense woody vegetation often on the south-facing slopes</t>
  </si>
  <si>
    <t>Summer rainfall with very dry winters. MAP about 600–750 mm. Frost frequent in winter (especially in the south), but less common on the ridges and hills. Mean monthly maximum and minimum temperatures for Krugersdorp 30.8°C and –1.8°C for January and July, respectively. See also climate diagram for SVcb 9 Gold Reef Mountain Bushveld.</t>
  </si>
  <si>
    <t>This area consists predominantly of quartzites, conglomerates and some shale horizons of the Magaliesberg, Daspoort and Silverton Formations (Vaalian Pretoria Group) and the Hospital Hill, Turffontein and Government Subgroups (Randian Witwatersrand Supergroup). Soils are shallow, gravel lithosols of the Mispah and Glenrosa forms. Land types mainly Ib and Fb.</t>
  </si>
  <si>
    <t>SVcb6</t>
  </si>
  <si>
    <t>Marikana Thornveld</t>
  </si>
  <si>
    <t xml:space="preserve">North-West and Gauteng Provinces: Occurs on plains from the Rustenburg area in the west, through Marikana and Brits to the Pretoria area in the east. </t>
  </si>
  <si>
    <t>valleys and slightly undulating plains, and some lowland hills</t>
  </si>
  <si>
    <t>MAP 210–470 mm (mean: 320 mm), peaking from May to August. Mean daily maximum and minimum temperatures 26.5°C and 1.7°C for February and July, respectively. Frost incidence 20–40 days per year. The most arid of shale fynbos types, probably only maintained by runoff from quartzite fynbos and cool nocturnal temperatures. Occurring at well below the usual rainfall limits for fynbos on shale. See also climate diagram for FFh 2 Matjiesfontein Shale Fynbos (Figure 4.68).</t>
  </si>
  <si>
    <t>Most of the area is underlain by the mafic intrusive rocks of the Rustenburg Layered Suite of the Bushveld Igneous Complex. Rocks include gabbro, norite, pyroxenite and anorthosite. The shales and quartzites of the Pretoria Group (Transvaal Supergroup) also contribute. Mainly vertic melanic clays with some dystrophic or mesotrophic plinthic catenas and some freely drained, deep soils. Land types mainly Ea, Ba and Ae.</t>
  </si>
  <si>
    <t>Gs16</t>
  </si>
  <si>
    <t>Queenstown Thornveld</t>
  </si>
  <si>
    <t>Eastern Cape Province: From the vicinity of Queenstown in the east to the vicinity of Tarkastad in the west, and Sterkstroom in the north.</t>
  </si>
  <si>
    <t>Flat bottomlands of intramountain basins with adjacent slopes</t>
  </si>
  <si>
    <t>Rainfall peaks in late summer. MAP mainly 380 mm in the west, increasing to 640 mm in the east. The coefficient of variation in MAP from 28–34% across the unit. Incidence of frost is 22–58 days, higher in the northwest than the southeast. See also climate diagram for Gs 16 Queenstown Thornveld (Figure 8.61).</t>
  </si>
  <si>
    <t>Sedimentary rocks of the Tarkastad Subgroup (Beaufort Group, Karoo Supergroup) overlain with clay-loam soils typical of Da and Fc land types.</t>
  </si>
  <si>
    <t>SVk14</t>
  </si>
  <si>
    <t>Postmasburg Thornveld</t>
  </si>
  <si>
    <t xml:space="preserve">Northern Cape Province: Limited area around Postmasburg along the short valley of the Groenwaterspruit to the northeast and southwest, west to Bermolli and around Heuningkrans. </t>
  </si>
  <si>
    <t>Flats surrounded by mountains</t>
  </si>
  <si>
    <t>Summer and autumn rainfall with very dry winters. MAP about 250–350 mm. Frost frequent in winter. See also climate diagram for SVk 14 Postmasburg Thornveld.</t>
  </si>
  <si>
    <t>Red aeolian sand of the Kalahari Group overlying the volcanics and sediments of the Griqualand West Supergroup that outcrop in places. Deep soils are of the Hutton form. Dominant land type Ag.</t>
  </si>
  <si>
    <t>Gh15</t>
  </si>
  <si>
    <t>Carletonville Dolomite Grassland</t>
  </si>
  <si>
    <t xml:space="preserve">North-West (mainly) and Gauteng and marginally into the Free State Province: In the region of Potchefstroom, Ventersdorp and Carletonville, extending westwards to the vicinity of Ottoshoop, but also occurring as far east as Centurion and Bapsfontein in Gauteng Province. </t>
  </si>
  <si>
    <t>Gauteng, Free State, North West</t>
  </si>
  <si>
    <t>Slightly undulating plains dissected by prominent rocky chert ridges.</t>
  </si>
  <si>
    <t>Warm-temperate, summer-rainfall region, with overall MAP of 593 mm. Summer temperatures high. Severe frequent frost occurs in winter. See also climate diagram for Gh 15 Carletonville Dolomite Grassland (Figure 8.23).</t>
  </si>
  <si>
    <t>Dolomite and chert of the Malmani Subgroup (Transvaal Supergroup) supporting mostly shallow Mispah and Glenrosa soil forms typical of the Fa land type, dominating the landscapes of this unit. Deeper red to yellow apedal soils (Hutton and Clovelly forms) occur sporadically, representing the Ab land type.</t>
  </si>
  <si>
    <t>Gm15</t>
  </si>
  <si>
    <t>Paulpietersburg Moist Grassland</t>
  </si>
  <si>
    <t xml:space="preserve">KwaZulu-Natal and Mpumalanga Provinces: Broad surrounds of Piet Retief, Paulpietersburg and Vryheid, extending westwards to east of Wakkerstroom. Occurs in the uppermost catchments of the Phongolo River. </t>
  </si>
  <si>
    <t xml:space="preserve">Mainly undulating with moderately steep slopes, but valley basins are wide and flat and mountainous areas occur mostly along the northern and eastern boundary. </t>
  </si>
  <si>
    <t>Summer rainfall, with MAP 900 mm. Warm-temperate climate, MAT close to 17°C, with fairly frequent frosts. See also climate diagram for Gm 15 Paulpietersburg Moist Grassland (Figure 8.36).</t>
  </si>
  <si>
    <t>This area is underlain by Archaean granite and gneiss partly covered by Karoo Supergroup sediments (Madzaringwe Formation) and intruded by Karoo Dolerite Suite dykes and sills. Dominant soils on the sedimentary parent material are yellow apedal, well drained, with a depth of &gt;800 mm and a clay content of &gt;35%, representing the soil series: Hutton, Clovelly and Griffin. Shortlands soils are dominant on dolerite. Dominant land type Ac, with Fa and Ba of subordinate importance.</t>
  </si>
  <si>
    <t>Gm6</t>
  </si>
  <si>
    <t>Frankfort Highveld Grassland</t>
  </si>
  <si>
    <t xml:space="preserve">Free State and marginally Mpumalanga Provinces: Northeastern Free State—south and southeast of the Vaal Dam in the vicinity of Heilbron, Frankfort and Vrede. </t>
  </si>
  <si>
    <t>Flat to slightly undulating and undulating terrain</t>
  </si>
  <si>
    <t>Summer-rainfall region, with MAP of 638 mm (much of which falls in the form of thunderstorms). MAT 14–15°C, indicating a cool to warm-temperature climate, characterised by great temperature differences between summer and winter (thermic continentality due to the deep-inland situation and high altitude of the unit). Occurrence of frost is frequent in winter. See also climate diagram for Gm 6 Frankfort Highveld Grassland (Figure 8.36).</t>
  </si>
  <si>
    <t>Mudstone or shale with sandstone of the Adelaide Subgroup (Beaufort Group) with Jurassic Karoo dolerite intrusions. Soils are Glenrosa, Bonheim and Avalon, with Mayo forms dominating the outcrops and slightly elevated areas, while the Sepane, Arcadia and Rensburg forms dominate the moist bottomlands. Much of the area (three quarters) is classified as Ea, while the rest is Ca land type.</t>
  </si>
  <si>
    <t>Gm7</t>
  </si>
  <si>
    <t>Northern Free State Shrubland</t>
  </si>
  <si>
    <t xml:space="preserve">Free State Province and marginally also into Mpumalanga Province: Northeastern regions of the Free State in the surrounds of Lindley (southwest), Bethlehem, Reitz, Frankfort and Vrede (northeast). </t>
  </si>
  <si>
    <t xml:space="preserve">Mainly restricted (as isolated pockets) to south-facing slopes of koppies, butts and tafelbergs as well as steep slopes of deeply incised rivers, where sandstone outcrops occur. </t>
  </si>
  <si>
    <t>Summer-rainfall region, with 627 mm MAP. Much of the rainfall is convectional. The frost incidence is around 40 days. See also climate diagram for Gm 7 Northern Free State Shrubland (Figure 8.36).</t>
  </si>
  <si>
    <t>Outcrops of especially Adelaide Subgroup (Beaufort Group, Karoo Supergroup) sandstones and to a lesser extent dolerite sills that protect sedimentary layers of sandstone, mudstone and siltstone from erosion. Soil forms that are typical of these rocky outcrops are the Glenrosa and Mispah forms. Ea land type is dominant (more than 50% of the area), accompanied by Dc and Bb.</t>
  </si>
  <si>
    <t>Gm8</t>
  </si>
  <si>
    <t>Soweto Highveld Grassland</t>
  </si>
  <si>
    <t xml:space="preserve">Mpumalanga, Gauteng (and to a very small extent also in neighbouring Free State and North-West) Provinces: In a broad band roughly delimited by the N17 road between Ermelo and Johannesburg in the north, Perdekop in the southeast and the Vaal River (border with the Free State) in the south. It extends further westwards along the southern edge of the Johannesburg Dome (including part of Soweto) as far as the vicinity of Randfontein. In southern Gauteng it includes the surrounds of Vanderbijlpark and Vereeniging as well as Sasolburg in the northern Free State. </t>
  </si>
  <si>
    <t>Gently to moderately undulating landscape on the Highveld platea</t>
  </si>
  <si>
    <t>Summer-rainfall region (MAP 662 mm). Cool-temperate climate with thermic continentality (high extremes between maximum summer and minimum winter temperatures, frequent occurrence of frost, large thermic diurnal differences, especially in autumn and spring). See also climate diagram for Gm 8 Soweto Highveld Grassland (Figure 8.36).</t>
  </si>
  <si>
    <t>Shale, sandstone or mudstone of the Madzaringwe Formation (Karoo Supergroup) or the intrusive Karoo Suite dolerites which feature prominently in the area. In the south, the Volksrust Formation (Karoo Supergroup) is found and in the west, the rocks of the older Transvaal, Ventersdorp and Witwatersrand Supergroups are most significant. Soils are deep, reddish on flat plains and are typically Ea, Ba and Bb land types.</t>
  </si>
  <si>
    <t>Gs11</t>
  </si>
  <si>
    <t>Southern KwaZulu-Natal Moist Grassland</t>
  </si>
  <si>
    <t xml:space="preserve">KwaZulu-Natal and Eastern Cape Provinces: Interior valley basins at Creighton, Malenge and Centocow in the south and the upper Mkomazi River and Howick in the north. </t>
  </si>
  <si>
    <t xml:space="preserve">Gently sloping valley bottoms </t>
  </si>
  <si>
    <t>Summer rainfall, with MAP of 920 mm. Cooler form of warm-temperate climate (MAT 15.6°C; 15 frost days a year). See also climate diagram for Gs 11 Southern KwaZulu-Natal Moist Grassland (Figure 8.61).</t>
  </si>
  <si>
    <t>Karoo Supergroup mudstones dominate this area, those of the Volksrust Formation occurring to the south and those of the Adelaide Subgroup to the north. Jurassic dolerite dykes are also present. The dominant soils are mottled and poorly drained, with a depth of 300–500 mm; the clay content ranges from 15–35%, representing soil forms such as Wasbank, Wesselnek, Longlands and Cartref, and Oatsdale on well drained soils. Half of the area is classified as Ac land type, with Fa and Ab of minor occurrence.</t>
  </si>
  <si>
    <t>Gs12</t>
  </si>
  <si>
    <t>East Griqualand Grassland</t>
  </si>
  <si>
    <t>KwaZulu-Natal and Eastern Cape Provinces: Major portion of this unit covers most of East Griqualand (with Kokstad and Matatiele as centres).</t>
  </si>
  <si>
    <t xml:space="preserve">Hilly country with slopes </t>
  </si>
  <si>
    <t>The region has mostly summer rainfall, with MAP of 780, mm ranging from 620–816 mm. Kokstad records 88 rain days in a year and three of those occur in the midwinter (June–July). Both mist and snow occur less frequently than in Gd 4 Southern Drakensberg Highland Grassland (Kokstad 26 misty days per year) and much of the rain comes in the form of thunderstorms (Kokstad 45 days). MAT 12.9–15.6°C (overall MAT 14.7°C). Moderately severe frosts occur 30 days in a year. Mean annual evaporation 1 457–1 723 mm (Camp 1999b). See also climate diagram for Gs 12 East Griqualand Grassland (Figure 8.61).</t>
  </si>
  <si>
    <t>Mudstone and sandstone of the Beaufort Group of the Karoo Sequence predominate, but sedimentary rocks of the Molteno, Elliot and Clarens Formations are also present. The dominant soils on the sedimentary parent material are well drained, with a depth of 500–800 mm and clay content from 15–55%. The soils are of Hutton, Clovelly, Oatsdale forms on sediments and Shortlands on dolerite. Most common land types Fa and Ac.</t>
  </si>
  <si>
    <t>Gs4</t>
  </si>
  <si>
    <t>Northern KwaZulu-Natal Moist Grassland</t>
  </si>
  <si>
    <t xml:space="preserve">KwaZulu-Natal Province: Northern and northwestern regions of the Province, where it forms a discontinuous rim around the upper Thukela Basin and is situated almost entirely within the catchment of the Thukela River. It lies between the drier Gs 6 KwaZulu-Natal Highland Thornveld and the moist upland vegetation of mainly Gs 3 Low Escarpment Moist Grassland to the north and Gs 10 Drakensberg Foothill Moist Grassland to the west. The most extensive areas are in the vicinity of Winterton, Bergville, Fort Mistake, Dannhauser, Dundee, north of Ladysmith and west of Newcastle. At higher altitudes this unit is usually surrounded by Gs 3 Low Escarpment Moist Grassland in the north and Gs 10 Drakensberg Foothill Moist Grassland in the west and south. At lower altitudes Gs 6 KwaZulu-Natal Highland Thornveld and SVs 2 Thukela Thornveld usually occur to the east. </t>
  </si>
  <si>
    <t>Hilly and rolling landscapes</t>
  </si>
  <si>
    <t>Summer rainfall, with overall MAP of 840 mm (710–1 120 mm; Camp 1999a), mainly as summer thunderstorms. Mist occurs frequently on hilltops in spring and early summer, but summer droughts are also frequent. Summers are warm to hot, with maximum temperature recorded in the hottest month of January (Bergville MAT 27.8°C). MAT is around 16°C, but some localities may reach 17°C. Frosts are severe and occur about 20 days per year. Mean annual evaporation recorded at Bergville is 1 895 mm. See also climate diagram for Gs 4 Northern KwaZulu-Natal Moist Grassland (Figure 8.61).</t>
  </si>
  <si>
    <t>Mudstones, sandstones and shales of the Beaufort and Ecca Groups of the Karoo Supergroup predominate and are intruded by dolerites of Jurassic age. Land types Bb, Ac, Fa and Ca.</t>
  </si>
  <si>
    <t>NKb1</t>
  </si>
  <si>
    <t>Lower Gariep Broken Veld</t>
  </si>
  <si>
    <t xml:space="preserve">Northern Cape Province: Hardeveld along the Orange River from Onseepkans in the west, including the canyon below the Augrabies Falls and parts of Riemvasmaak and adjacent areas to Keimoes resuming from the Boegoeberg to around Prieska in the east. A series of inselbergs and koppies occurring between Keimoes and around Kakamas, and the ridge running west of Groblershoop from Karos in the north to around Marydale in the south. The unit also occurs in neighbouring Namibia. </t>
  </si>
  <si>
    <t xml:space="preserve">Hills and low mountains, slightly irregular plains but with some rugged terrain (e.g. downstream of the Augrabies Falls) </t>
  </si>
  <si>
    <t>MAP ranges from about 70 mm in the west to 240 mm in the east. Mean maximum and minimum monthly temperatures for Kakamas are 41.3°C and –2°C for January and July respectively. Corresponding values for Prieska (near the eastern extremity) are 39.7°C and –4.1°C. Frost incidence varies from less than 10 days of frost per annum in the west to around 30 days in the east. See also climate diagram for NKb 1 Lower Gariep Broken Veld (Figure 7.2).</t>
  </si>
  <si>
    <t>The region has a complicate geology: banded iron formation and amphibolites of the Asbestos Hills Subgroup are Vaalian and the carbonates and cherts of the Campbell Group are of the same Era. Metamorphic rocks of the Mokolian Erathem include quartzites and gneisses of the Korannaland Supergroup as well as the Riemvasmaak gneiss. Metamorphosed clastic sediments of the Uitdraai Formation are also Mokolian. The remaining half of the area is composed of many other stratigraphies, metamorphosed sediments and outcrops of the ultrametamorphic rocks of the Namaqualand Metamorphic Complex. The soils are shallow and skeletal (dominant soil forms are Mispah and Glenrosa), typical mainly of Ib and Ic land types, and to a lesser extent also of Fb land type.</t>
  </si>
  <si>
    <t>SKk5</t>
  </si>
  <si>
    <t>Vanrhynsdorp Gannabosveld</t>
  </si>
  <si>
    <t xml:space="preserve">Western Cape Province: Namaqualand, southern Knersvlakte between Vredendal and Vanrhynsdorp at the foot of the Matsikamma and Gifberg Mountains as well as northeast of Vanrhynsdorp. </t>
  </si>
  <si>
    <t xml:space="preserve">Mainly flat or only slightly undulating landscape </t>
  </si>
  <si>
    <t>Winter-rainfall climate with dry, hot summers and mild, rainy winters. MAP of 163 mm is considerably higher than in the other parts of the Knersvlakte due to the orographic effects of the neighbouring Matsikamma and Gifberg Mountains and the Escarpment. Almost all the rainfall occurs between April and August. The lowest temperatures in winter 5–10°C; the highest temperatures in summer 30–35°C. Winters are mild, with rare occurrence of frost (on average 3 days per year). See also climate diagram for SKk 5 Vanrhynsdorp Gannabosveld (Figure 5.53).</t>
  </si>
  <si>
    <t>The greater part of this area is underlain by schists, phyllite and sandstones of the Gariep Supergroup, which outcrop when they are not covered by recent superficial deposits of alluvium and duripan crusts (calcrete). Soils are sandy-loamy, moderately deep, slightly acid to alkaline, with high skeletal content. More than half of the area is classified as Ag land type, followed by Fc land type, with Db and Ae land types only of minor importance.</t>
  </si>
  <si>
    <t>SKk6</t>
  </si>
  <si>
    <t>Knersvlakte Dolomite Vygieveld</t>
  </si>
  <si>
    <t xml:space="preserve">Western Cape Province: Namaqualand, Knersvlakte between Vanrhynsdorp and the Farm Aties along the Troe-Troe River. </t>
  </si>
  <si>
    <t>Winter-rainfall climate with dry, hot summers and mild, rainy winters. MAP of 164 mm is considerably higher than in the other parts of the Knersvlakte due to the orographic effects of the adjacent escarpment. Almost all the rainfall occurs between April and August. The lowest temperatures in winter 5–10°C, highest temperatures in summer 30–35°C. Winters are mild, with rare occurrence of frost (on average 3 days per year). See also climate diagram for SKk 6 Knersvlakte Dolomite Vygieveld (Figure 5.53).</t>
  </si>
  <si>
    <t>Metasediments of the Namibian Gariep Supergroup, in particular, on the dolomite-rich units. Soils are moderately deep, with high content of soil skeleton, typically slightly alkaline with high carbonate content. Entire area is classified as Ag land type.</t>
  </si>
  <si>
    <t>SKr10</t>
  </si>
  <si>
    <t>Die Plate Succulent Shrubland</t>
  </si>
  <si>
    <t xml:space="preserve">Northern Cape Province: Plateau east of Lekkersing and south of Eksteenfontein in southern Richtersveld. </t>
  </si>
  <si>
    <t>A plateau with a series of open flat steps descending from north to south with isolated embedded hills.</t>
  </si>
  <si>
    <t>MAP is estimated at 80–120 mm, with winter-rainfall pattern clearly predominant. Frost is a very rare event and fog is of little importance.</t>
  </si>
  <si>
    <t>Mainly quartzite rocks of the Stinkfontein Formation of the Precambrian Gariep Complex. Soils are mainly shallow and with loamy-sandy texture. Ag is the almost exclusive land type of this unit.</t>
  </si>
  <si>
    <t>SKr13</t>
  </si>
  <si>
    <t>Southern Richtersveld Scorpionstailveld</t>
  </si>
  <si>
    <t xml:space="preserve">Northern Cape Province: Southern Richtersveld—large portion of the plains west of the Anenous Pass, stretching over some 55 km to Oograbies in the west and from Skimmelberg in the north to just south of the road connecting Steinkopf and Port Nolloth. </t>
  </si>
  <si>
    <t>Flat basin landscape with a number of inselbergs embedded (mapped as SKr 14 Southern Richtersveld Inselberg Shrubland)</t>
  </si>
  <si>
    <t>MAP is estimated at 80–140 mm, with winter rainfall clearly predominant. Frost is very rare. Fog and high air humidity often occur. Southerly winds are stronger in the west of the unit. See also climate diagram for SKr 13 Southern Richtersveld Scorpionstailveld (Figure 5.12).</t>
  </si>
  <si>
    <t>Silts and loamy sands of partly aeolian origin above migmatite and gneiss of the Namaqualand Metamorphic Complex (Precambrian age). Ae land type is dominant, followed by Ag land type.</t>
  </si>
  <si>
    <t>B1i_sup</t>
  </si>
  <si>
    <t>SKr2</t>
  </si>
  <si>
    <t>Upper Annisvlakte Succulent Shrubland</t>
  </si>
  <si>
    <t xml:space="preserve">Northern Cape Province: Southern parts of the Annisvlakte north and northwest of the Goariep Mountain in the northwestern Richtersveld from near Khubus to the region southeast of Arrisdrif. The westernmost section, southeast of Arrisdrif, is virtually separated from the main area by a northwards moving duneveld of red sand (part of the SKs 5 Richtersveld Red Duneveld), which at its northern margin fades out to form a shallow sand sheet, which crosses the main road between Alexander Bay and Khubus and penetrating deeply (not mapped) into the Western Gariep Lowlands Desert. </t>
  </si>
  <si>
    <t>Landscape is mainly a very wide tilted plain, formed by the huge pediment of the Goariep Mountain towards the Orange River. Some river courses are deeply incised into this plain.</t>
  </si>
  <si>
    <t>MAP is 55–70 mm. Winter rainfall is predominant. Light frost is a very rare event. This region receives sea fog from a southwesterly direction as well as ‘malmokkie’ fog (see the chapter on Desert in this book). Strong winds to very strong storms occur and cause severe dust and sand storms with consequentially strong erosion of topsoil material and sandblasting.</t>
  </si>
  <si>
    <t>The granite of the Kuboos Pluton (of the Cambrian Kuboos, Bremen Suite), largely covered by alluvium and superficial calcrete deposits. Alluvial loamy sandy gravel soils, mainly derived from granite. Ae and Ag land types are almost equally important.</t>
  </si>
  <si>
    <t>SKr5</t>
  </si>
  <si>
    <t>Vyftienmyl se Berge Succulent Shrubland</t>
  </si>
  <si>
    <t xml:space="preserve">Northern Cape Province: Southwestern Richtersveld—a north-south trending longitudinal series of inselbergs (making up the Vyftienmyl se Berge) some 20 km inland east of Port Nolloth. </t>
  </si>
  <si>
    <t xml:space="preserve">Steep, wall-like, linear series of inselbergs—a prominent geomorphological structure when viewed from the coastal plains near Port Nolloth. </t>
  </si>
  <si>
    <t>MAP is estimated to range from 60–120 mm. Winter rainfall with strong differences between different slopes. Due to its geomorphological structure and due to the location in the sandveld plains close to the coast, the mountains receive considerable amounts of fog water, especially on the western slopes. Fog frequency is estimated at ca. 60 to 80 days per year. Besides the Boegoe Twins near Alexander Bay, the mountains at Vyftienmyl se Berge are the best example of a ‘fog oasis’ on the northern Namaqualand coastal plain. Frost is rare. See also climate diagram for SKr 5 Vyftienmyl se Berge Succulent Shrubland (Figure 5.12).</t>
  </si>
  <si>
    <t>Mainly quartzite and some other metasediments of the Stinkfontein Subgroup (Gariep Supergroup). Wide range of soil types, mostly weakly developed (Mispah and Glenrosa form, partly Dorbank). The region is classified as Ic land type.</t>
  </si>
  <si>
    <t>SKr6</t>
  </si>
  <si>
    <t>Stinkfonteinberge Eastern Apron Shrubland</t>
  </si>
  <si>
    <t xml:space="preserve">Northern Cape Province: Narrow belt immediately east of the Stinkfonteinberge range in the southeastern Richtersveld. It has a north-south-trending longitudinal extension of about 35 km from just south of the Rosyntjieberge to immediately north of Eksteenfontein. </t>
  </si>
  <si>
    <t>Lower flat slopes and the subsequent pediment at the foot of the Stinkfonteinberge range. Also includes a number of small mountains. Mainly flat to rolling landscape at the foot of the higher mountains, characterised by deeper sandy or silty loams similar to soils of the SKr 7 Northern Richtersveld Scorpionstailveld. Distinguished from the latter by more variable topography</t>
  </si>
  <si>
    <t>Predominantly winter rainfall, with MAP estimated from 50–120 mm. Lies within a gradient of orogenic rains, rapidly decreasing from west to east. Fog is an infrequent phenomenon. Incidence of fog is low.</t>
  </si>
  <si>
    <t>Granites of the Mokolian Vioolsdrif Suite predominate, with Stinkfontein Subgroup Quartzites (Namibian Erathem) along western fringes. Soils are composed of silt or loam with calcretes and show extreme erosion in places. Ag land type is dominant in the region, while Ic is of lesser importance.</t>
  </si>
  <si>
    <t>SKr7</t>
  </si>
  <si>
    <t>Northern Richtersveld Scorpionstailveld</t>
  </si>
  <si>
    <t xml:space="preserve">Northern Cape Province: A series of plains or valley floors scattered in the northern Richtersveld, including the large Goariepvlakte, Koeroegabvlakte, some plains between Abiequarivier and Gannakourieprivier and at the western entrance to the Springbokvlakte. </t>
  </si>
  <si>
    <t xml:space="preserve">Typically fragmented, and showing a landscape of flat, though often tilted, or very slightly undulating topography. Often the whole large plain is covered by the unit, while in other cases it is restricted to specific geomorphological forms such as pediments west of the main mountains and to locations along the river beds protected against deflation by strong winds </t>
  </si>
  <si>
    <t>Due to the wide range of the unit, a wide spectrum of climatic conditions can be found. MAP may vary greatly (50–100 mm) and falls mainly in winter. Fog can be important, but not east of the Vandersterrberge. Temperatures can follow a wide spectrum. However, in the northeastern Richtersveld a well-developed Scorpionstailveld is seldom found in the hotter areas below an altitude of 330 m. Some days of frost per year can occur at higher altitudes, e.g. on the Koeroegabvlakte.</t>
  </si>
  <si>
    <t>The small northeastern part of this area is underlain by granites of the Vioolsdrif Suite; the rest occurs on Cenozoic alluvium, aeolian sand and calcrete. Loamy or silty soils formed by aeolian deposition. Calcrete layers or other calcium carbonate accumulations occur not deeper than 40 cm below the surface. Often the soils also show high salinity. The silt component is subject to local aeolian erosion and sedimentation, resulting in erosion in the bare areas between the bushes and silt deposition underneath the bushes—these biogenic mounds regularly attract ants and termites. Almost 70% of the unit is classified as Ae land type, while the Ag and Ah land types are only of marginal importance.</t>
  </si>
  <si>
    <t>SKs10</t>
  </si>
  <si>
    <t>Riethuis-Wallekraal Quartz Vygieveld</t>
  </si>
  <si>
    <t xml:space="preserve">Northern Cape Province: Namaqualand, surrounds of Riethuis, Wallekraal and Soebatsfontein. </t>
  </si>
  <si>
    <t xml:space="preserve">Slightly undulating plains covered by white patches of quartz pavement </t>
  </si>
  <si>
    <t>Winter-rainfall climate. MAP of 129 mm, with almost all the rainfall between May and August. The lowest temperatures in winter are 5–10°C. Frost occurs in winter, but it is very rare. The highest temperatures in the summer are 25–30°C. Frequent occurrence of fog (mainly in winter and spring) and dew representing an important source of water supply. See also climate diagram for SKs 10 Riethuis-Wallekraal Quartz Vygieveld (Figure 5.39).</t>
  </si>
  <si>
    <t>Shallow silty and skeletal soils, saline in part. In between with small-scale mosaics of level or sloping quartz patches. The underlying geology is gneiss of the Stalhoek Complex and Kamieskroon Gneiss. Ag land type is dominant, while Ae land type is only of subordinate importance.</t>
  </si>
  <si>
    <t>SKs13</t>
  </si>
  <si>
    <t>Klawer Sandy Shrubland</t>
  </si>
  <si>
    <t xml:space="preserve">Western Cape Province: Lower Olifants River Valley in close surrounds of Klawer. </t>
  </si>
  <si>
    <t>Slightly undulating landscape and foothills</t>
  </si>
  <si>
    <t>Winter-rainfall regime, with obvious peak from June to August. MAP reaches almost 200 mm (semidesert), but an additional contribution from regional precipitation (fog condensing on Gifberg escarpment) cannot be excluded. MAT 18–19°C and only 2 days of frost per year on average. See also climate diagram for SKs 13 Klawer Sandy Shrubland (Figure 5.39).</t>
  </si>
  <si>
    <t>Well-drained, moderately deep to deep, yellow to red sands overlying Gariep Supergroup schists and phyllites as well as lesser sandstones, carbonates and metavolcanics. Some Table Mountain Group quartzites are also present. Occasionally heuweltjies occur as well. Ag land type is dominant, while the importance of Ae, Db and Fc land types is secondary.</t>
  </si>
  <si>
    <t>SKs9</t>
  </si>
  <si>
    <t>Namaqualand Inland Duneveld</t>
  </si>
  <si>
    <t xml:space="preserve">Northern Cape Province: Namaqualand Sandveld, where it occurs in two patches—one between Kotzesrus northwards to Groen River while another is located between Wallekraal and Hondeklipbaai. </t>
  </si>
  <si>
    <t>Coastal peneplain with mobile dunes</t>
  </si>
  <si>
    <t>Arid, winter-rainfall area with MAP only 104 mm, with almost all the rainfall from May to August. Dew occurs throughout the winter. Lowest temperatures in winter just below 10ºC. Hardly any incidence of frost. The highest temperatures in summer 25–30ºC. See also climate diagram for SKs 9 Namaqualand Inland Duneveld (Figure 5.39).</t>
  </si>
  <si>
    <t>Quaternary aeolian, deep, loose, red to yellowish sand, forming medium (1–3 m) to high (3–6 m) dunes. Ah land type covers almost two thirds of the area, while the rest is classified as Ai land type.</t>
  </si>
  <si>
    <t>SVcb11</t>
  </si>
  <si>
    <t>Andesite Mountain Bushveld</t>
  </si>
  <si>
    <t xml:space="preserve">Gauteng, North-West, Mpumalanga and Free State Provinces: Several separate occurrences of which the main are: the Bronberg Ridge in eastern Pretoria extending to Welbekend; from Hartebeesthoek in the west along the valley between the two parallel ranges of hills to Atteridgeville; hills in southern Johannesburg; several hills encompassing Nigel, Willemsdal, Coalbrook and Suikerbosrand (in part); and the outer ring of ridges of the Vredefort Dome and some hills to the northwest around Potchefstroom. </t>
  </si>
  <si>
    <t xml:space="preserve"> hill slopes and some valleys with undulating landscape.</t>
  </si>
  <si>
    <t>Tholeitic basalt of the Kliprivierberg Group (Randian Ventersdorp Supergroup), also dark shale, micaceous sandstone and siltstone and thin coal seams of the Madzaringwe Formation [Karoo Supergroup, and andesite and conglomerate of the Pretoria Group (Vaalian Transvaal Supergroup)]. Weathering of these rocks gives rise to shallow, rocky, clayey soils of mainly Mispah and Glenrosa soil forms. Land types mainly Ib and Fb, with some Ba and Bb.</t>
  </si>
  <si>
    <t>SVcb14</t>
  </si>
  <si>
    <t>Loskop Thornveld</t>
  </si>
  <si>
    <t>Mpumalanga Province and very marginally into Limpopo Province: South of Groblersdal, the valley of the Bloed River towards Stoffberg and the valley of the Olifants River to the Loskop Dam as well as valleys west of Groblersdal to Dennilton.</t>
  </si>
  <si>
    <t>Valleys and plains of parts of the upper Olifants River catchment</t>
  </si>
  <si>
    <t>Summer rainfall with very dry winters. MAP about 550–650 mm. Frost fairly infrequent. Mean monthly maximum and minimum temperatures for Loskop Dam-Irr are 35.7°C and 3.6°C for January and July, respectively. See also climate diagram for SVcb 14 Loskop Thornveld.</t>
  </si>
  <si>
    <t>Gabbro, norite and anorthosite of the Dsjate Subsuite, olivine diorite, magnetite gabbro and gabbronorite of the Roossenekal Subsuite (both Rustenburg Layered Suite, Bushveld Igneous Complex), mudstone siltstone, sandstone, andesitic lava and carbonates of the Bloempoort Formation, mudstone, sandstone, conglomerate and volcanic rocks of the Loskop Formation (both Transvaal Supergroup, Vaalian Erathem), and granophyre of the Rashoop Granophyre Suite, also of Bushveld (Vaalian Erathem). Soils are vertic, melanic clays, plinthic catena, eutrophic and widespread red soils. Red-yellow apedal, freely drained soils, high base status. Deep soils with Hutton, Rensburg and Arcadia forms are common. Land types mainly Ea, Bc and Ae.</t>
  </si>
  <si>
    <t>SVcb18</t>
  </si>
  <si>
    <t>Roodeberg Bushveld</t>
  </si>
  <si>
    <t xml:space="preserve">Limpopo Province: Straddling the Tropic of Capricorn, occurs from Marken and Villa Nora in the south through Baltimore to near Swartwater in the north and to the plains around the base of the Blouberg and Lerataupje Mountains in the northeast. </t>
  </si>
  <si>
    <t>Plains and slightly undulating plains, including some low hills</t>
  </si>
  <si>
    <t>Summer rainfall with very dry winters. MAP 400–550 mm. Frost fairly infrequent. Mean monthly maximum and minimum temperatures for Marnitz 37.1°C and 0.2°C for November and June, respectively. See also climate diagram for SVcb 18 Roodeberg Bushveld.</t>
  </si>
  <si>
    <t>Mainly sandstone, conglomerate, siltstone and shale of the Kransberg and Matlabas Subgroups (Mokolian Waterberg Group). Gneisses, metasediments and metavolcanic rocks of the Malala Drift Group, Beit Bridge Complex (Swazian Erathem) occur in the north. Granite of the Lebowa Granite Suite (Bushveld Igneous Complex) is also present. A variety of soil types, but mostly sandy soils, red-yellow apedal high base status, also dystrophic or mesotrophic. Almost half the area is Ae land type, with remainder divided between mainly Fa, Bc, Ac, Fc, Ia and Fb.</t>
  </si>
  <si>
    <t>SVcb24</t>
  </si>
  <si>
    <t>Mamabolo Mountain Bushveld</t>
  </si>
  <si>
    <t>Limpopo Province: East and south of the Polokwane Plateau along the foothills of the west-facing part of the eastern escarpment and of the Strydpoort and Makapan Mountains. Also on main isolated hills and small mountains embedded within the Polokwane Plateau as far as Mogoshi Mountain in the west and De Loskop (near Mogwadi) and Renosterkoppies (around Zandrivierspoort) to the north.</t>
  </si>
  <si>
    <t>Low mountains, lower slopes of Strydpoort and Makapan ranges, and rocky hills. Slopes are moderate to steep, and very rocky,and Rock slabs or domes .</t>
  </si>
  <si>
    <t>Summer rainfall with dry winters. MAP about 450–750 mm. Frost fairly infrequent. With the coolest mean annual temperature of all savanna units apart from the three mountain bushveld units of the Highveld. See also climate diagram for SVcb 24 Mamabolo Mountain Bushveld.</t>
  </si>
  <si>
    <t>Very varied geology includes basement granite and gneiss, clastic sediments of the Pretoria Group (Vaalian) and ultramafic and mafic metavolcanics of the Pietersburg Group (Swazian). Shallow and skeletal soil (including Mispah and Glenrosa soil forms). Land types mainly Ib and Fa.</t>
  </si>
  <si>
    <t>SVcb8</t>
  </si>
  <si>
    <t>Moot Plains Bushveld</t>
  </si>
  <si>
    <t xml:space="preserve">North-West and Gauteng Provinces: Main belt occurs immediately south of the Magaliesberg from the Selons River Valley in the west through Maanhaarrand, filling the valley bottom of the Magalies River, proceeding east of the Hartebeestpoort Dam between the Magaliesberg and Daspoort mountain ranges to Pretoria. It also occurs as a narrow belt immediately north of the Magaliesberg from Rustenburg in the west to just east of the Crocodile River in the east: also south of the Swartruggens–Zeerust line. </t>
  </si>
  <si>
    <t>bottomlands and plains as well as woodlands of varying height and density on the lower hillsides</t>
  </si>
  <si>
    <t>Summer rainfall with very dry winters. MAP from about 55 mm in the west to about 700 mm in the east. Frost frequent in winter. Mean monthly maximum and minimum temperatures for Pretoria-Pur 33.6°C and –3.1°C for January and June, respectively. See also climate diagram for SVcb 8 Moot Plains Bushveld.</t>
  </si>
  <si>
    <t>Clastic sediments and minor carbonates and volcanics of the Pretoria Group (including the Silverton Formation) and some Malmani dolomites in the west, all of the Transvaal Supergroup (Vaalian). There is also some contribution from mafic Bushveld intrusives. Soils often stony with colluvial clay-loam but varied, including red-yellow apedal freely drained, dystrophic and eutrophic plinthic catenas, vertic and melanic clays, and some less typical Glenrosa and Mispah forms. Land types Ae, Ba, Ea, Bc, Ac and less typically Fb.</t>
  </si>
  <si>
    <t>SVk13</t>
  </si>
  <si>
    <t>Olifantshoek Plains Thornveld</t>
  </si>
  <si>
    <t xml:space="preserve">Northern Cape Province: Plains including most of the pediment areas of the Korannaberg, Langeberg and Asbestos Mountains as well as those of some ridges to the west of the Langeberg. From the vicinity of Sonstraal in the north, past Olifantshoek to areas north of Niekerkshoop between Volop and Griekwastad in the south. Also from Griekwastad northwards to the flats west of the Lime Acres area. </t>
  </si>
  <si>
    <t>A very wide and diverse unit on plains</t>
  </si>
  <si>
    <t>Summer and autumn rainfall with very dry winters. MAP about 200–350 mm in the east. Frost frequent in winter. See also climate diagram for SVk 13 Olifantshoek Plains Thornveld.</t>
  </si>
  <si>
    <t>Red aeolian sand of Tertiary to Recent age (Kalahari Group) with silcrete and calcrete and some andesitic and basaltic lava of the Griqualand West Supergroup. Hutton soil forms, deeper than 1.2 m, on the overwhelmingly dominant Ae and to a far lesser extent Ah land types.</t>
  </si>
  <si>
    <t>SVk16</t>
  </si>
  <si>
    <t>Gordonia Plains Shrubland</t>
  </si>
  <si>
    <t xml:space="preserve">Northern Cape Province: Broad north-south band on flats west of the Korannaberg and Langeberg Mountains (and of their western pediment) and east of the main Kalahari duneveld area (for example at Pearson’s Hunt). From Van Zylsrus in the north to southwest of Witsand in the south. Also as a number of isolated patches embedded in the duneveld area between the Auob and Nossob Rivers in the Kgalagadi Transfrontier Park as well as the valley containing Groot and Klein Mier south of the park. </t>
  </si>
  <si>
    <t>Plains with open grassland.The area has virtually no dunes.</t>
  </si>
  <si>
    <t>Summer and autumn rainfall with very dry winters. MAP about 180–280 mm. Frost frequent in winter. See also climate diagram for SVk 16 Gordonia Plains Shrubland.</t>
  </si>
  <si>
    <t>Aeolian sand, underlain by calcrete of the Kalahari Group, deep, loose, sandy soils of the Namib soil form on the flat plains. Land types mainly Ah and Af with a little Ae.</t>
  </si>
  <si>
    <t>SVk2</t>
  </si>
  <si>
    <t>Stella Bushveld</t>
  </si>
  <si>
    <t xml:space="preserve">North-West Province: North of Vryburg around Stella westwards to Louwna and eastwards to about 20 km west of Delareyville. </t>
  </si>
  <si>
    <t>Summer rainfall with very dry winters. MAP about 400–480 mm. Frost frequent in winter. See also climate diagram for SVk 2 Stella Bushveld.</t>
  </si>
  <si>
    <t>Andesitic lavas of the Allanridge Formation of the Ventersdorp Supergroup, sometimes covered with silcrete or calcrete of the Kalahari Group, on flat to hilly plains. Sandy soils 0.1–0.9 m deep, various soil forms. Land types Bc and Ae, with a little Ah.</t>
  </si>
  <si>
    <t>SVk3</t>
  </si>
  <si>
    <t>Schweizer-Reneke Bushveld</t>
  </si>
  <si>
    <t xml:space="preserve">North-West Province: Schweizer-Reneke area in the east to Amalia in the west and from the farming areas of around Broedersput in the north to Never Mind (Christiana District) in the south. </t>
  </si>
  <si>
    <t>Plains, slightly undulating plains and some hills</t>
  </si>
  <si>
    <t>Rainfall in summer with very dry winters. MAP about 440–520 mm. Frost frequent in winter. See also climate diagram for SVk 3 Schweizer-Reneke Bushveld.</t>
  </si>
  <si>
    <t>Andesitic lavas of the Allanridge Formation of the Ventersdorp Supergroup, sometimes covered with silcrete or calcrete of the Kalahari Group. Deep (0.9–1.2 m) sandy soils, with Hutton and Clovelly the dominant soil forms. Land types Ah and Ae and some Bc.</t>
  </si>
  <si>
    <t>SVk4</t>
  </si>
  <si>
    <t>Kimberley Thornveld</t>
  </si>
  <si>
    <t xml:space="preserve">North-West, Free State and Northern Cape Provinces: Most of the Kimberley, Hartswater, Bloemhof and Hoopstad Districts as well as substantial parts of the Warrenton, Christiana, Taung, Boshof and to some extent the Barkly West Districts. Also includes pediment areas in the Herbert and Jacobsdal Districts. </t>
  </si>
  <si>
    <t>Northern Cape, Free State, North West</t>
  </si>
  <si>
    <t>Plains often slightly irregular</t>
  </si>
  <si>
    <t>Summer and autumn rainfall and very dry winters. MAP from about 300 mm in the southwest to about 500 mm in the northeast. Frost frequent in winter. Mean monthly maximum and minimum temperatures for Kimberley 37.5°C and –4.1°C for January and July, respectively. Corresponding values for Vaalharts-Agr 37.4°C and –3.9°C, respectively. See also climate diagram for SVk 4 Kimberley Thornveld.</t>
  </si>
  <si>
    <t>Andesitic lavas of the Allanridge Formation in the north and west and fine-grained sediments of the Karoo Supergroup in the south and east. Deep (0.6–1.2 m) sandy to loamy soils of the Hutton soil form (Ae and Ah land types) on slightly undulating sandy plains.</t>
  </si>
  <si>
    <t>SVk6</t>
  </si>
  <si>
    <t>Schmidtsdrif Thornveld</t>
  </si>
  <si>
    <t xml:space="preserve">Northern Cape, Free State and North-West Provinces: Footslopes and midslopes to the southeast and below the Ghaap Plateau from around Douglas in the southwest via Schmidtsdrif towards Taung in the northeast. A small less typical section is found east of the Ghaap Plateau from Warrenton towards Hertzogville. </t>
  </si>
  <si>
    <t>Summer and autumn rainfall with very dry winters. MAP from about 250 mm in the southwest to about 450 mm in the northeast. Frost frequent in winter. See also climate diagram for SVk 6 Schmidtsdrif Thornveld.</t>
  </si>
  <si>
    <t>Most significant are the Dwyka diamictites and Ecca shales of the Karoo Supergroup. Shale and dolomite of the Schmidtsdrif Subgroup (Griqualand West Supergroup) are also present. Surface limestone occurs sporadically. Well-drained, shallow (&lt;0.3 m), stony soil with large angular rocks on the soil surface. A soil-rock complex with Mispah soil form. Land types mainly Ae and Dc.</t>
  </si>
  <si>
    <t>SVk7</t>
  </si>
  <si>
    <t>Ghaap Plateau Vaalbosveld</t>
  </si>
  <si>
    <t xml:space="preserve">Northern Cape and North-West Provinces: Flat plateau from around Campbell in the south, east of Danielskuil through Reivilo to around Vryburg in the north. </t>
  </si>
  <si>
    <t>Flat plateau</t>
  </si>
  <si>
    <t xml:space="preserve"> Summer and autumn rainfall with very dry winters. MAP from about 300 mm in the southwest to about 500 mm in the northeast. Frost frequent to very frequent in winter. Mean monthly maximum and minimum temperatures for Koopmansfontein 36.3°C and –7.5°C for January and July, respectively. Corresponding values for Armoedsvlakte (near Vryburg) 36.6°C and –5.5°C for December and July, respectively. See also climate diagram for SVk 7 Ghaap Plateau Vaalbosveld.</t>
  </si>
  <si>
    <t>Surface limestone of Tertiary to Recent age, and dolomite and chert of the Campbell Group (Griqualand West Supergroup, Vaalian Erathem) support shallow soils (0.1–0.25 m) of Mispah and Hutton soil forms. Land types mainly Fc with some Ae and Ag.</t>
  </si>
  <si>
    <t>SVkd2</t>
  </si>
  <si>
    <t>Gordonia Kameeldoring Bushveld</t>
  </si>
  <si>
    <t xml:space="preserve">Northern Cape Province: Duneveld along the northern side of the Auob River from Mata Mata to about Gemsbokplein, and western side of the Nossob River from about Kaspersdraai to St John’s Dam in the Kgalagadi Transfrontier Park. A few isolated occurrences between the Auob and Nossob Rivers such as around Seven Pans. Also found in marginal area south of the Kuruman River near Eensaam Kasteel. </t>
  </si>
  <si>
    <t>On the dune slopes and dune straaten</t>
  </si>
  <si>
    <t>Summer and autumn rainfall with very dry winters. MAP about 150–250 mm. Frost fairly frequent to frequent in winter. Mean monthly maximum and minimum temperatures for Mata Mata are 40.0°C and –6.8°C for December and June, respectively. See also climate diagram for SVkd 2 Gordonia Kameeldoring Bushveld.</t>
  </si>
  <si>
    <t>Aeolian undulating sand dunes underlain by calcrete, deep, loose, sandy soil of the Namib soil form. Land type Af.</t>
  </si>
  <si>
    <t>SVkd3</t>
  </si>
  <si>
    <t>Auob Duneveld</t>
  </si>
  <si>
    <t xml:space="preserve">Northern Cape Province: Belt of duneveld south of the Auob River from Mata Mata to Twee Rivieren within the Kgalagadi Transfrontier Park as well as in the northern Mier area. Found also in the area between the Auob and Nossob Rivers near their confluence as well as small areas around the confluences of the Nossob, Molopo and Kuruman Rivers. </t>
  </si>
  <si>
    <t>Summer and autumn rainfall with very dry winters. MAP about 150–250 mm. Frost fairly frequent to frequent in winter. Mean monthly maximum and minimum temperatures for Twee Rivieren 40.6°C and –6.0°C for December and July, respectively. See also climate diagram for SVkd 3 Auob Duneveld.</t>
  </si>
  <si>
    <t>Deep aeolian sand forming undulating dunes, with outcrops of calcrete, Namib soil form. Shallow soils on calcrete outcrops often with Clovelly soil form. Land type Af.</t>
  </si>
  <si>
    <t>SVl20</t>
  </si>
  <si>
    <t>Western Maputaland Clay Bushveld</t>
  </si>
  <si>
    <t xml:space="preserve">KwaZulu-Natal Province: Maputaland region immediately east of the Lebombo Mountains, eastwards to the western edge of the SVl 18 Tembe Sandy Bushveld. From the Ndumo Game Reserve on the Mozambique border, through the Makatini Flats south to Mkhuze Game Reserve, with a narrower extension to just east of the town Hluhluwe. </t>
  </si>
  <si>
    <t>It occurs on the crests, upper and midslopes of gently undulating terrain.</t>
  </si>
  <si>
    <t>Rainfall occurs in summer with dry winters. MAP about 500–750 mm. No incidence of frost. Mean monthly maximum and minimum temperatures for Makatini-Agr 39.5°C and 3.1°C for January and July, respectively. See also climate diagram for SVl 20 Western Maputaland Clay Bushveld.</t>
  </si>
  <si>
    <t>Underlying geology comprises Cretaceous shallow-marine and coastal sediments, siltstones and conglomerates of the Zululand Group and minor rhyolites of the Jozini Formation (Karoo Supergroup). Dominant or zonal soils of this vegetation unit are latosols comprising red sandy clay loam to red clay soils (Hutton, Bainsvlei and Shortlands soil forms) and nonduplex brown calcimorphic soils comprising yellow-brown sandy clay, sandy loam to sandy clay loams (Valsrivier and Avalon soil forms). These are generally fertile soils, characterised by a moderate to high clay content (20–60%) in the A-horizon. Land types Ea, Ae, Dc, Ia and Db.</t>
  </si>
  <si>
    <t>SVl21</t>
  </si>
  <si>
    <t>Makatini Clay Thicket</t>
  </si>
  <si>
    <t xml:space="preserve">KwaZulu-Natal Province: A number of patches in the Maputaland region, primarily east of the Lebombo Mountains, from Ndumo Game Reserve on the Mozambique border through the Makatini Flats south to just east of the town Hluhluwe. Mostly embedded as varying sized patches within the SVl 20 Western Maputaland Clay Bushveld, where it occurs in bottomland positions. Small unmapped fragments of Makatini Clay Thicket occur west of the Lebombo Mountains, embedded within the SVl 23 Zululand Lowveld. </t>
  </si>
  <si>
    <t>It occurs on the lower slopes and bottomland areas of gently undulating terrain.</t>
  </si>
  <si>
    <t>Rainfall occurs in summer with dry winters. MAP about 500–750 mm. No incidence of frost. See also climate diagram for SVl 21 Makatini Clay Thicket.</t>
  </si>
  <si>
    <t>Underlying geology comprises mostly Cretaceous sandstones, siltstones and conglomerates of the Zululand Group (Mzinene and Makatini Formations). Dominant soils are vertic or melanic clays and clay loams of the Rensburg, Arcadia and Bonheim forms. They are characterised by being poorly drained, with calcium carbonate concretions on the surface or in the A-horizon. Land types mainly Ea and Dc with some Ae and Db.</t>
  </si>
  <si>
    <t>AZa2</t>
  </si>
  <si>
    <t>Cape Lowland Alluvial Vegetation</t>
  </si>
  <si>
    <t xml:space="preserve">Western Cape Province: Vegetation of broad alluvia of middle and lower stretches of rivers of the Western Cape such as the upper Olifants, Berg, Eerste, Lourens, Palmiet, Bot, Klein, Breede, Goekoe, Gouritz, Hartebeeskuil, Klein Brak, Groot Brak, Keurbooms and a number of small tributaries of the above-mentioned water courses. </t>
  </si>
  <si>
    <t xml:space="preserve">Flat landscape with slow-flowing (in place meandering) lowland rivers fringed on banks </t>
  </si>
  <si>
    <t>Identical to the climate of the surrounding lowland vegetation, and due to the large geographical span of the scattered patches of this vegetation unit, it typically encompasses winter rainfall as well as transitional winter-summer rainfall in both facies (with prevalence of either). The local MAP spans 320 mm (Breede River Valley) to 700 (Garden Route) while the MAT spans 15.9°C (Overberg) to 17.2°C (Garden Route). See also climate diagram for AZa 2 Cape Lowland Alluvial Vegetation (Figure 13.2).</t>
  </si>
  <si>
    <t>Alluvial fine sandy, silty and clayey soils over Quaternary sediments, largely derived from weathering of Table Mountain sandstone, Bokkeveld Group shales and Cape Granite (specifically the George Batholith). The streams are fed mainly during the winter-rainfall season. An important factor on the flood regime are the numerous dams built for water storage, which can simulate features of a natural flood regime by means of several quick releases of water from the reservoir.</t>
  </si>
  <si>
    <t>AZa4</t>
  </si>
  <si>
    <t>Upper Gariep Alluvial Vegetation</t>
  </si>
  <si>
    <t xml:space="preserve">Free State and Northern Cape Provinces: Broad alluvia of the Orange River, lower Caledon as well as lower stretches of the Vaal, Riet and Modder Rivers as far as Groblershoop. These river stretches are surrounded by vegetation units of broad transitional regions between the dry facies of the Savanna and Grassland and northern regions of the Nama-Karoo Biome. </t>
  </si>
  <si>
    <t>Flat alluvial terraces</t>
  </si>
  <si>
    <t>Bimodal (equinoctial) climate with a major peak in March and with a lesser peak in November–December. The overall MAP is 325 mm (range 230–600 mm for Prieska and Wepener, respectively). MAT for the entire area averages 17°C (range 19.3–15.4°C for Prieska and Aliwal North, respectively). See also climate diagram for AZa 4 Upper Gariep Alluvial Vegetation (Figure 13.2).</t>
  </si>
  <si>
    <t>Recent alluvial deposits underlain mostly by Karoo Supergroup sediments and tillites, supporting soils typical of Ia group land types. Subject to flooding, especially in summer.</t>
  </si>
  <si>
    <t>AZd1</t>
  </si>
  <si>
    <t>Namib Seashore Vegetation</t>
  </si>
  <si>
    <t>Northern Cape Province: Richtersveld coast, between the Holgat River and Orange River mouth. Larger portion of this unit extends further north along the Sperrgebiet coast into Namibia.</t>
  </si>
  <si>
    <t xml:space="preserve">Slightly sloping beach and adjacent moving and fixed sand dunes </t>
  </si>
  <si>
    <t>Hostile, arid coast with the lowest precipitation in South Africa (45 mm at Alexander Bay). Fog is almost always present in winter at night and in the early morning. Because of the exceptionally low rainfall, the vegetation depends largely on sea fog as a source of moisture. MAT 17.2°C at Alexander Bay (see also climate diagram in Figure 6.2). Temperature does not vary greatly between winter and summer.</t>
  </si>
  <si>
    <t>Recent marine sandy sediments forming beaches and coastal dunes (Strandveld Formation) and overlying Gariep Supergroup metasediments and metavolcanics. Not subjected to submersion, but under constant maritime influence (sea spray).</t>
  </si>
  <si>
    <t>AZi1</t>
  </si>
  <si>
    <t>Namaqualand Riviere</t>
  </si>
  <si>
    <t xml:space="preserve">Northern and Western Cape Provinces: Along dry riverbeds throughout Namaqualand, but especially the Buffels, Bitter, Spoeg, Groen, Sout, Doring Rivers and lower reaches of the Olifants River. Within this unit we also classify alluvia of intermittent rivers of the Hantam region. </t>
  </si>
  <si>
    <t>riverbeds and banks of intermittent rivers</t>
  </si>
  <si>
    <t>Arid, seasonal climate with MAP around 150 mm (with 100 mm on the coast and 250 mm on the Hantam Plateau). Most of the erratic rainfall occurs between June and August. Hot summers (marked by extremely high evapotranspiration) and cool winters, with fairly frequent frost. MAT 18.1°C (range 15.7°C for Hantam Plateau and 18.5°C for Knersvlakte). See also climate diagram for AZi 1 Namaqualand Riviere (Figure 13.2).</t>
  </si>
  <si>
    <t>Alluvial sandy soils on Quaternary fluviatile sediments that overlie Namibian-age sediments and Mokolian gneisses. Seasonally wet (late winter). The riverbed sometimes carries torrential flood waters. In summer, patches of crystallised salt film may cover the soil surface in slight, clayey depressions.</t>
  </si>
  <si>
    <t>CB3</t>
  </si>
  <si>
    <t>KwaZulu-Natal Coastal Belt Grassland</t>
  </si>
  <si>
    <t xml:space="preserve">KwaZulu-Natal Province: Long and in places broad coastal strip along the KwaZulu-Natal coast, from near Mtunzini in the north, via Durban to Margate and just short of Port Edward in the south. </t>
  </si>
  <si>
    <t xml:space="preserve">Highly dissected undulating coastal plains </t>
  </si>
  <si>
    <t>Summer rainfall, but with some rainfall also in winter. High air humidity. No incidence of frost. Mean maximum and minimum monthly temperatures for Durban (airport) are 32.6°C and 5.8C and for Port Shepstone 30.6°C and 8.8°C (both for January and July, respectively). See also climate diagram for CB 3 KwaZulu-Natal Coastal Belt (Figure 11.2).</t>
  </si>
  <si>
    <t>Ordovician Natal Group sandstone, Dwyka tillite, Ecca shale and Mapumulo gneiss (Mokolian) dominate the landscapes of the KwaZulu-Natal Coastal Belt. Weathering of old dunes has produced the red sand, called the Berea Red Sand, in places. The soils supported by the above-mentioned rocks are shallow over hard sandstones and deeper over younger, softer rocks. Fa land type dominates the area, while Ab land type is only of minor importance.</t>
  </si>
  <si>
    <t>FFb4</t>
  </si>
  <si>
    <t>Central Coastal Shale Band Vegetation</t>
  </si>
  <si>
    <t>estern Cape Province: A virtually continuous band traversing the entire length of the Langeberg, with bands in the eastern regions of the Outeniqua Mountains and of the Grootberg-Amandelbosberg as well as some areas, for example Die Bergies, west of Mossel Bay. The extent of the shale band in the Outeniqua Mountains has not been adequately mapped and its eastern boundary remains unknown.  See also Figure 4.78 featuring the simplified distribution of this unit.</t>
  </si>
  <si>
    <t>A narrow 80–200 m linear feature (wider in places), smooth and flat in profile compared to surrounding areas.</t>
  </si>
  <si>
    <t>MAP 150–440 mm (mean: 285 mm), even throughout the year. Mean daily maximum and minimum temperatures 30.0°C and 2.3°C for January and July, respectively. Frost incidence 10–30 days per year. See also climate diagram for FRs 15 Swartberg Shale Renosterveld (Figure 4.101).</t>
  </si>
  <si>
    <t>Clays derived from shale band of the Cedarberg Formation. Land types mainly Ib, Ic and Db.</t>
  </si>
  <si>
    <t>FFb5</t>
  </si>
  <si>
    <t>Eastern Inland Shale Band Vegetation</t>
  </si>
  <si>
    <t>Eastern and Western Cape Provinces: Shale bands of the Kougaberge and Baviaanskloofberge with parallel occurrences to the south but remaining north of the Langkloof. Also on Antoniesberg, south of Willowmore. See also Figure 4.78 featuring the simplified distribution of this unit.</t>
  </si>
  <si>
    <t>A narrow 80–200 m (greater widths in the uppermost Baviaanskloof area), linear, smooth and flat landscape</t>
  </si>
  <si>
    <t>MAP 230–780 mm (mean: 420 mm), with no clear peak and a slight low from December to February. Mean daily maximum and minimum temperatures 29.9°C and 2.6°C for January and July, respectively. Frost incidence 10–30 days per year. See also climate diagram for FFh 3 Swartberg Shale Fynbos (Figure 4.68).</t>
  </si>
  <si>
    <t>Clays derived from shale of the Cedarberg Formation. Land types mainly Ib, Fa, Fb and Ic.</t>
  </si>
  <si>
    <t>FFg5</t>
  </si>
  <si>
    <t>Garden Route Granite Fynbos</t>
  </si>
  <si>
    <t xml:space="preserve">Western Cape Province: Garden Route—three main blocks south of the Outeniqua Mountains on the coastal plain from Botterberg west of Brandwaghoogte (south of Robinson Pass) to Groot Brak River; the largest block from Groot Brak River to Woodfield near the Wilderness (with a few strips along the coast from Bothastrand to the Wilderness); lastly, north of the lakes from Woodville to Hoogekraal Pass, west of Karatara. </t>
  </si>
  <si>
    <t>Moderately undulating plains and undulating hills on the coastal forelands.</t>
  </si>
  <si>
    <t>MAP 350–880 mm (mean: 600 mm), with a slight low in early winter. Mean daily maximum and minimum temperatures 27.8°C and 6.8°C for January–February and July, respectively. Frost incidence 2 or 3 days per year. See also climate diagram for FFg 5 Garden Route Granite Fynbos (Figure 4.92).</t>
  </si>
  <si>
    <t>George Batholith of the Cape Granite Suite. Deep, prismacutanic- and pedocutanic-dominated soils typical of Db land types (mainly).</t>
  </si>
  <si>
    <t>FFs25</t>
  </si>
  <si>
    <t>North Kammanassie Sandstone Fynbos</t>
  </si>
  <si>
    <t xml:space="preserve">Western Cape Province: On northern slopes of the Kammanassie Mountains with an extension on to Keurfonteinrant between Dysselsdorp and Uniondale. </t>
  </si>
  <si>
    <t xml:space="preserve">Steep to gentle, rugged northern slopes with extensive upland plateau. </t>
  </si>
  <si>
    <t>MAP 290–940 mm (mean: 485 mm), peaking slightly in March, but otherwise even with a low from December to February. Mean daily maximum and minimum temperatures 29.1°C and 2.0°C for January and July, respectively. Frost incidence 10–40 days per year. See also climate diagram for FFs 25 North Kammanassie Sandstone Fynbos (Figure 4.21).</t>
  </si>
  <si>
    <t>Acidic lithosol soils derived from Ordovician sandstones of the Table Mountain Group (Cape Supergroup). Land types mainly Ic, Ib and Fc.</t>
  </si>
  <si>
    <t>FFs28</t>
  </si>
  <si>
    <t>Kouga Grassy Sandstone Fynbos</t>
  </si>
  <si>
    <t xml:space="preserve">Western and Eastern Cape Provinces: Between Uniondale and Uitenhage, generally surrounding FFs 27 Kouga Sandstone Fynbos at lower altitudes and often on northerly aspects. Along the lower flanks of the Kouga Mountains in the Langkloof north of Joubertina and the northern and lower slopes of the Suuranysberge to the low mountains and flats north of Humansdorp. Along the lower slopes of the Kouga and Baviaanspoort Mountains in Baviaanspoort as well as the northern slopes of the Baviaanspoort Mountains and the northern and lower slopes of the Groot Winterhoekberge, Elandsberge and Van Stadensberg including the valleys of the upper reaches of the Elands and Kwa-Zunga Rivers. Also on various ridges embedded in FRs 16 Uniondale Shale Renosterveld south to east of Willowmore including Antoniesberg and Witberg. </t>
  </si>
  <si>
    <t>MAP 270–800 mm (mean: 540 mm), evenly throughout the year with a slight peak in March and October–November. Mean daily maximum and minimum temperatures 27.0°C and 4.2°C for February and July, respectively. Frost incidence 2–10 days per year. See also climate diagram for FFs 28 Kouga Grassy Sandstone Fynbos (Figure 4.21).</t>
  </si>
  <si>
    <t xml:space="preserve">Acidic lithosol soils derived from sandstones of the Table Mountain Group as well as quartzitic sandstones of the Witteberg Group (Nardouw Subgroup). Glenrosa and Mispah forms prominent. Land types mainly Ib and Fa. </t>
  </si>
  <si>
    <t>FFs29</t>
  </si>
  <si>
    <t>Algoa Sandstone Fynbos</t>
  </si>
  <si>
    <t xml:space="preserve">Eastern Cape Province: Coastal flats at Port Elizabeth from Van Stadens River in the west to Southdene-Summerstrand in the east, located mostly some kilometres from the coast and close to the coast at only Maitland River Mouth and urbanised Summerstrand. </t>
  </si>
  <si>
    <t xml:space="preserve">Flat to slightly undulating plain </t>
  </si>
  <si>
    <t>MAP 560–890 mm (mean: 680 mm), evenly throughout the year, with a slight peak in March and October. Mean daily maximum and minimum temperatures 25.2°C and 7.6°C for February and July, respectively. Frost incidence about 3 days per year. See also climate diagram for FFs 29 Algoa Sandstone Fynbos (Figure 4.21).</t>
  </si>
  <si>
    <t>Acidic lithosol soils derived from Ordovician sandstones of the Table Mountain Group (Cape Supergroup). Land types mainly Db and Ha.</t>
  </si>
  <si>
    <t>FRs11</t>
  </si>
  <si>
    <t>Western Ruens Shale Renosterveld</t>
  </si>
  <si>
    <t xml:space="preserve">Western Cape Province: Western parts of the Rûens region (Overberg)—from Bot River and Villiersdorp eastwards, surrounding the Caledon Swartberg, and approximately to a line between Napier and Genadendal. </t>
  </si>
  <si>
    <t>Moderately undulating plains</t>
  </si>
  <si>
    <t>MAP 360–700 mm (mean: 490 mm), with a peak in winter (May to August). Mean daily maximum and minimum temperatures 26.9°C and 6.1°C for February and July, respectively. Frost incidence about 3 days per year. See also climate diagram for FRs 11 Western Rûens Shale Renosterveld (Figure 4.101).</t>
  </si>
  <si>
    <t>Clays and loams derived from Bokkeveld Group shales, particularly the Ceres Subgroup. Glenrosa and Mispah forms are dominant. Land types mainly Fb and Fa.</t>
  </si>
  <si>
    <t>FRs12</t>
  </si>
  <si>
    <t>Central Ruens Shale Renosterveld</t>
  </si>
  <si>
    <t xml:space="preserve">Western Cape Province: Central parts of the Rûens region (Overberg) from Greyton and Stormsvlei (and Bromberg) to Napier and Bredasdorp and centred on Klipdale and Protem; also on the coastal flats southeast of Bredasdorp towards Arniston. Fragmented outliers are found on the southern part of the Agulhas Plain between Soetendalsvlei and Waskraalsvlei. </t>
  </si>
  <si>
    <t>Moderately undulating plains and pans</t>
  </si>
  <si>
    <t>MAP 300–480 mm (mean: 380 mm), with a slight peak in winter (August), 49% of rain falling from May to August. Mean daily maximum and minimum temperatures 27.3°C and 5.6°C for January and July, respectively. Frost incidence about 3 days per year. See also climate diagram for FRs 12 Central Rûens Shale Renosterveld (Figure 4.101).</t>
  </si>
  <si>
    <t>Clays and loams derived from Bokkeveld Group shales, with Glenrosa and Mispah forms dominant. Land types mainly Fb.</t>
  </si>
  <si>
    <t>FS3</t>
  </si>
  <si>
    <t>Saldanha Flats Strandveld</t>
  </si>
  <si>
    <t xml:space="preserve">Western Cape Province: Extensive coastal flats from St Helena Bay and the southern banks of the Great Berg River near its mouth in the north to Saldanha and Langebaan in the south, with the southernmost extension at the coast near Yzerfontein and Rietduin. </t>
  </si>
  <si>
    <t>Mainly cyclonic rainfall varying from approximately 250 mm in the north to 380 mm in the south (overall MAP: 300 mm), almost exclusively in winter. Mean daily maximum and minimum temperatures 26.6°C and 7.9°C for February and July, respectively. Mean monthly maximum and minimum temperatures for Langebaanweg 36.5°C and 2.2°C for January/February and July/August, respectively. Advective sea fog and dew contribute to the moisture balance in summer and autumn. Frost infrequent. Strong southeasterly winds typical of the summer period, northerly winds more frequent in the winter months, especially between May and August. See also climate diagram for FS 3 Saldanha Flats Strandveld (Figure 4.128).</t>
  </si>
  <si>
    <t>The main geology is shallow calcareous sand over a fossiliferous Pleistocene limestone hardpan layer along an old marine terrace. The hardpan of the Sandveld Group is exposed in places while farmers often rip the hardpan and accumulate rock piles in cultivated fields. The Sandveld Group overlies the Cape Granites as well as the Malmesbury Group metasediments into which the granites intruded. Dominant land type Hb (almost 50%), followed by Db and Ha.</t>
  </si>
  <si>
    <t>FS4</t>
  </si>
  <si>
    <t>Saldanha Limestone Strandveld</t>
  </si>
  <si>
    <t xml:space="preserve">Western Cape Province: Very limited area with a larger patch on the Kliprug ridge between Saldanha and Paternoster, with several smaller outliers including those between Saldanha and north of Club Mykonos on the Langebaan Lagoon. Unmapped are small outcrops at Yzerfontein and on the tip of Langebaan Peninsula. </t>
  </si>
  <si>
    <t>Slightly undulating ridges and steeper coastal slopes</t>
  </si>
  <si>
    <t>Mainly cyclonic rainfall varying from approximately 250 mm in the north to 350 mm in the south, almost exclusively in winter (overall MAP is around 300 mm). Mean daily maximum and minimum temperatures 25.3°C and 8.0°C for February and July/August, respectively. For other climate characteristics, see FS 2 Saldanha Granite Strandveld as well the climate diagram for FS 4 Saldanha Limestone Strandveld (Figure 4.128).</t>
  </si>
  <si>
    <t>Shallow sandy soil on hardpan Tertiary limestone of the Sandveld Group. Dominant land types Fc and Hb.</t>
  </si>
  <si>
    <t>FS9</t>
  </si>
  <si>
    <t>Groot Brak Dune Strandveld</t>
  </si>
  <si>
    <t xml:space="preserve">Western Cape Province: Coastal stretches between the mouth of the Gouritz River as far east as Victoria Bay near the Wilderness, with by far the largest area covering the flats north of Mossel Bay (along the lower reaches of the Groot Brak, Klein Brak and Hartenbos Rivers) and extending up to 17 km from the coast. </t>
  </si>
  <si>
    <t>Flats, undulating landscapes (stabilised dunes) and steep coastal slopes</t>
  </si>
  <si>
    <t>MAP varies between approximately 350 mm in the west to 750 mm in the east, with approximately 40% of the rain falling in summer (October–March) and 60% in winter (April–September). Mean daily maximum and minimum temperatures 26.8°C and 7.7°C for February and July, respectively. Mean monthly maximum and minimum temperatures for Cape St Blaize 29.0°C and 7.1°C for April and August, respectively. See also climate diagram for FS 9 Groot Brak Dune Strandveld (Figure 4.128).</t>
  </si>
  <si>
    <t>Mostly underlain by the clastic sedimentary rocks of the Kirkwood Formation (Mesozoic Uitenhage Group). In the east, quartzite, schist and phyllite of the Kaaimans Group (Namibian Erathem) and Cape Granite (edges of high coastal cliffs) are also present. In parts along the coast, these rocks are covered by the unconsolidated dune sand of the Strandveld Formation (Bredasdorp Group). Most important land types Db and Dc.</t>
  </si>
  <si>
    <t>B1i_rod, B1i_inv, B2i_rod, B2i_inv</t>
  </si>
  <si>
    <t>Gd4</t>
  </si>
  <si>
    <t>Southern Drakensberg Highland Grassland</t>
  </si>
  <si>
    <t xml:space="preserve">Eastern Cape and KwaZulu-Natal Provinces: An intricate system of patches and corridors across the highest mountains and ridges of the Stormberg, from Molteno to the surrounds of Dordrecht, also including the elevated broad valley of the Kraairivier (near Barkly East) and its tributaries. Further occurring in a broad band (and abutting onto Gd 8 Lesotho Highland Basalt Grassland at upper boundary) on steep slopes of head-valleys fringing the edge of the southern Drakensberg Escarpment covering the regions north and northwest of Indwe, Elliot, Ugie, Maclear, Mt Fletcher (all Eastern Cape) as far as Matatiele (KwaZulu-Natal). From about the Ramatseliso Nek (pass) north of Matatiele the upper boundary of this unit is formed by the Gd 7 uKhahlamba Basalt Grassland—from here the Gd 4 Southern Drakensberg Highland Grassland follows a system of high northwest-southeast-tending ridges as far north as the southeastern extension of the Giant’s Castle buttress (KwaThabamnyana). </t>
  </si>
  <si>
    <t>Steeply sloping mountainous areas on and below the summit of the Great Escarpment</t>
  </si>
  <si>
    <t>Summer rainfall, with very dry winters. MAP 780 mm (500–1 120 mm), increasing from west to east to close to the southern border of Lesotho. Northeast of the latter region MAP increases with increasing elevation. The coefficient of variation of MAP 16–31% across the unit, with the highest values in the region around the Stormberg Plateau. Temperature regime cool-temperate (MAT around 13°C), typically montane, with cool day-time temperatures throughout the year and the potential for cold conditions at any time. Winter frost is common (30–90 days, average 54 days), incidence increasing with elevation. The areas of high altitude regularly receive snow in winter, sometimes in considerable quantities as a result of clashes of water-laden eastbound fronts with high-altitude cold air masses. See also climate diagram for Gd 4 Southern Drakensberg Highland Grassland (Figure 8.11).</t>
  </si>
  <si>
    <t>Sandstones of the Clarens Formation and sandstones, siltstones and mudstones of the Elliot Formation (both formations belonging to the Stormberg Group, Karoo Supergroup) as well as the basaltic lava flows of the Drakensberg Group. Soils on the steep escarpment slopes tend to be deep and fine-grained, typical of land types Fa, Fb and Ea.</t>
  </si>
  <si>
    <t>Gh10</t>
  </si>
  <si>
    <t>Vaal-Vet Sandy Grassland</t>
  </si>
  <si>
    <t xml:space="preserve">North-West and Free State Provinces: South of Lichtenburg and Ventersdorp, stretching southwards to Klerksdorp, Leeudoringstad, Bothaville and to the Brandfort area north of Bloemfontein. </t>
  </si>
  <si>
    <t>Plains-dominated landscape</t>
  </si>
  <si>
    <t>Warm-temperate, summer-rainfall climate, with overall MAP of 530 mm. High summer temperatures. Severe frost (37 days per year on average) occurs in winter. See also climate diagram for Gh 12 Vaal-Vet Sandy Grassland (Figure 8.23).</t>
  </si>
  <si>
    <t>Aeolian and colluvial sand overlying sandstone, mudstone and shale of the Karoo Supergroup (mostly the Ecca Group) as well as older Ventersdorp Supergroup andesite and basement gneiss in the north. Soil forms are mostly Avalon, Westleigh and Clovelly. Dominant land type Bd, closely followed by Bc, Ae and Ba.</t>
  </si>
  <si>
    <t>NKl1</t>
  </si>
  <si>
    <t>Gamka Karoo</t>
  </si>
  <si>
    <t xml:space="preserve">Western Cape and Eastern Cape Provinces and marginally into the Northern Cape Province: Large basin between the Great Escarpment (Nuweveld Mountains) in the north and northwest and Cape Fold Belt Mountains (mostly Swartberg Mountains) in the south. From approximately the edge of the Gamka basin catchment area (i.e. of the Dwyka River tributary) in the west to about the Kariega River in the east. </t>
  </si>
  <si>
    <t xml:space="preserve">Extremely irregular to slightly undulating plains </t>
  </si>
  <si>
    <t>One of the most arid units of the Nama-Karoo Biome. Rainfall mainly in autumn and summer, with a marked peak in March and low levels of cyclonic rain in winter. This region is in the rainshadow of Cape Fold Belt mountains in the south, MAP ranging from about 100 mm in some areas between the Dwyka and Gamka Rivers to about 240 mm against the Great Escarpment. Mean maximum and minimum monthly temperatures in Beaufort West are 38.7°C and –3.2°C for January and July, respectively. Strong northwesterly winds occur in winter. See also climate diagram for NKl 1 Gamka Karoo (Figure 7.2).</t>
  </si>
  <si>
    <t>Mudstones and sandstones of the Beaufort Group (Adelaide Subgroup) with some Ecca (Fort Brown Formation) shales supporting very shallow and stony soils of the Glenrosa and/or Mispah forms, typical of Fc land type.</t>
  </si>
  <si>
    <t>SKk1</t>
  </si>
  <si>
    <t>Northern Knersvlakte Vygieveld</t>
  </si>
  <si>
    <t xml:space="preserve">Western and Northern Cape Provinces: Knersvlakte (southern part of Namaqualand), situated roughly between Nuwerus and the escarpment in the east and the Sout River in the north. Only a small portion of this unit is found in the Northern Cape (in the upper valleys of the Kamdanie River and Krom River, west of Loeriesfontein). </t>
  </si>
  <si>
    <t>Winter-rainfall climate with dry, hot summers and mild, rainy winters. MAP estimated to be 127 mm. The lowest temperatures in winter are 5–10°C, while the highest temperatures in summer are 30–35°C. Winters are mild, with rare occurrence of frost (on average 5 days per year). See also climate diagram for SKk 1 Northern Knersvlakte Vygieveld (Figure 5.53).</t>
  </si>
  <si>
    <t>Mostly Cenozoic alluvium and calcrete that overlies the mudstone, siltstone and sandstone of the Knersvlakte Subgroup (Vanrhynsdorp Group, Namibian Erathem) as well as gneiss of the Stalhoek Complex (Mokolian). Low stone content, soils acid to neutral, shallow to deep, where shallow bedrock or duripan crusts underly. Heuweltjies occur in places. Some 80% of the area falls within Ag land type, while Fc land type is the second most important one.</t>
  </si>
  <si>
    <t>SKv11</t>
  </si>
  <si>
    <t>Eastern Little Karoo</t>
  </si>
  <si>
    <t xml:space="preserve">Western Cape Province: Eastern basin of the Little Karoo from Calitzdorp in the west as far as Oudtshoorn in the east. The unit continues in a series of narrow belts (alternating with the Willowmore Gwarrieveld unit from the surrounds of Dysselsdorp as far west as the N2 road. A narrow belt of the Eastern Little Karoo fringes the southern flanks of the Kammanassie Mountains along the Kammanassie River as far west as Uniondale. </t>
  </si>
  <si>
    <t xml:space="preserve">Irregularly flat plains and undulating piedmont hills </t>
  </si>
  <si>
    <t>Aseasonal rainfall (MAP almost 290 mm) with slight optimum in March and pronounced dip in December to January (summer). MAT is about 17°C and frost occurs only 9 days per year. See also climate diagram for SKv 11 Eastern Little Karoo (Figure 5.65).</t>
  </si>
  <si>
    <t>Fossiliferous shales, mudstones and siltstones of the Devonian Bokkeveld Group (Ceres and Traka Subgroups). Also present are mudstones and sandstones as well as subordinate shale of the Kirkwood Formation together with conglomerates of the Enon Formation (both of the Mesozoic Uitenhage Group). Soils developing over these substrates are of varied structure and texture, but mainly loamy-silty and deep in places. Ag and Fc land types are equally important (and dominant) in the region.</t>
  </si>
  <si>
    <t>D1_elk</t>
  </si>
  <si>
    <t>SKv6</t>
  </si>
  <si>
    <t>Koedoesberge-Moordenaars Karoo</t>
  </si>
  <si>
    <t xml:space="preserve">Western Cape and Northern Cape (smaller portion) Provinces: Koedoesberge and Pienaar se Berg low mountain ranges bordering on southern Tanqua Karoo and separated by the Klein Roggeveld Mountains from the Moordenaars Karoo in the broad area of Laingsburg and Merweville. The unit also includes the Doesberg region east of Laingsburg and piedmonts of the Elandsberg as far as beyond the Gamkapoort Dam at Excelsior (west of Prince Albert). </t>
  </si>
  <si>
    <t xml:space="preserve">Slightly undulating to hilly landscape </t>
  </si>
  <si>
    <t>Probability of rain is given for the entire year, but it is higher in winter. MAP slightly above 200 mm. There are two slight rainfall optima: one in March and another spread from May to August. MAT close to 16°C and incidence of frost relatively high (30 days). See also climate diagram for SKv 6 Koedoesberge-Moordenaars Karoo (Figure 5.65).</t>
  </si>
  <si>
    <t>Mudstone (mainly), shale and sandstone of the Adelaide Subgroup (Beaufort Group), accompanied by sandstone, shale and mudstone of the Permian Waterford Formation (Ecca Group) and sandstone and shale of other Ecca Group Formations as well as Dwyka Group diamictites (all of the Karoo Supergroup). This geology gives rise to shallow, skeletal soils. Region is classified as Fc land type (to a large extent), with Ib land type playing a subordinate role.</t>
  </si>
  <si>
    <t>SVl13</t>
  </si>
  <si>
    <t>Barberton Serpentine Sourveld</t>
  </si>
  <si>
    <t>Altitude 350–1 400 m.</t>
  </si>
  <si>
    <t>Soils derived from ultramafic lavas (including komatiites and serpentinites</t>
  </si>
  <si>
    <t xml:space="preserve">Small Trees: Acacia caffra, A. davyi, Faurea rochetiana, Pavetta edentula. Succulent Tree: Aloe marlothii subsp. marlothii (d). Tall Shrubs: Erythroxylum delagoense, Tephrosia elongata. Low Shrubs: Gnidia caffra (d), G. sericocephala, Helichrysum kraussii, Jamesbrittenia grandiflora, Jatropha latifolia var. latifolia, Pearsonia sessilifolia, Rhus rogersii, Thunbergia atriplicifolia. Herbaceous Climbers: Rhynchosia minima, R. totta. Graminoids: Loudetia simplex (d), Themeda triandra (d), Andropogon schirensis, Bewsia biflora, Cymbopogon caesius, Diheteropogon amplectens, Eragrostis capensis, E. racemosa, Heteropogon contortus, Panicum natalense. Herbs: Helichrysum nudifolium var. pilosellum, Hemizygia persimilis, Rabdosiella calycina, Rhynchosia monophylla, Senecio coronatus, S. venosus, Vernonia natalensis, V. sutherlandii. Geophytic Herb: Cheilanthes involuta. </t>
  </si>
  <si>
    <t>Summer rainfall with dry winters. MAP about 600–1 150 mm. Frost infrequent. See also climate diagram for SVl 13 Barberton Serpentine Sourveld.</t>
  </si>
  <si>
    <t>SVl26</t>
  </si>
  <si>
    <t>Muzi Palm Veld and Wooded Grassland</t>
  </si>
  <si>
    <t>KwaZulu-Natal Province: on the coastal plain in the Maputaland region east of the Pongola River sandwiched between SV1 18 Tembe Sandy Bushveld, Eastern Maputaland Pallid Sandy Bushveld and CB 1 Maputaland Coastal Belt. Altitude 40 - 90 m.</t>
  </si>
  <si>
    <t>On ancient coastal dune cordons on gently undulating terrain and dry basins all associated with the Muzi Swamps and Muzi Stream (an ancient shoreline) draining north and south into the Pongola River and Mkuzi River respectively</t>
  </si>
  <si>
    <t>Quaternary sediments of marine origin – mainly grey regic to reddish redistributed sand dunes. Grey brown to orange grey dystric regosols. Land type mainly Ha</t>
  </si>
  <si>
    <t>CB6</t>
  </si>
  <si>
    <t>KwaZulu-Natal Coastal Belt Thornveld</t>
  </si>
  <si>
    <t>KwaZulu-Natal Province: From near Mandini in the north to Oribi Gorge in the south. Altitude 30-500 m.</t>
  </si>
  <si>
    <t>Steep valley sides and hilly landscape mainly associated with drier larger river valleys in the rain shadow of the rain bearing frontal weather systems from the east coast</t>
  </si>
  <si>
    <t>FFs32</t>
  </si>
  <si>
    <t>Nardouw Sandstone Fynbos</t>
  </si>
  <si>
    <t>FRs20</t>
  </si>
  <si>
    <t>Citrusdal Shale Renosterveld</t>
  </si>
  <si>
    <t>Gm30</t>
  </si>
  <si>
    <t>Steenkampsberg Montane Grassland</t>
  </si>
  <si>
    <t>Occurring along the Steenkampsberg escarpment that extends from the headwaters of the Waterval River in mountains north-west of Lydenburg, extending southwards through Dullstroom towards Belfast, then eastwards through Machadodorp to Bambi and Elandshoogte.</t>
  </si>
  <si>
    <t>mountainous with plateau grasslands, mountain slopes and shallow valleys</t>
  </si>
  <si>
    <t>The geology broadly forms part of the Pretoria Group, with the Dullstroom, Steenkampsberg, Lakenvlei, Vermont, Magaliesberg, Silverton, Strubenkop, Daspoort,  Hekpoort, and Timeball Hill Formations running from the west through to the east. The Pretoria Group is commonly intersected by the intrusive Transvaal Diabase in the form of dykes and sills. The resulting rocks are predominantly comprised of quartzite, shale, dolerite, diabase and basalt. Soils are shallow to deep, well-drained; either dystrophic and/or mesotrophic depending on geology. Soil derived from quartzite results in sandy, white dystrophic soils with high humus content.</t>
  </si>
  <si>
    <t>Gm31</t>
  </si>
  <si>
    <t>Long Tom Pass Montane Grassland</t>
  </si>
  <si>
    <t>Occurring along the escarpment east of Lydenburg, from Morgenzon Reserve just north of Crystal Springs Mountain Lodge, Pilgrim's Rest, southwards to the Schoemanskloof. The lower altitude limit is around 1650 m in the north (where it is drier), dropping to around 1500 m in the south.</t>
  </si>
  <si>
    <t>diverse physiography, which includes subalpine peaks, level terraces and rolling plains in the higher lying areas with steeply sloping mountain slopes</t>
  </si>
  <si>
    <t xml:space="preserve">The geology forms part of the Pretoria Group, which predominantly consists of shale and quartzite in the Rooihoogte, Timeball Hill and Boshoek Formations, and the distinctive volcanic elements of the Hekpoort Andesite Formations which are on the summits of the highest lying areas. The Pretoria Group is commonly intersected by the intrusive Transvaal Diabase in the form of dykes and sills. The mountainous terrain results in shallow soils with pockets of silty clay loam. Soils are well drained clay loams with a fine sand-grade in the topsoil. </t>
  </si>
  <si>
    <t>Gs19</t>
  </si>
  <si>
    <t>Dry Coast Hinterland Grassland</t>
  </si>
  <si>
    <t>KwaZulu-Natal and Eastern Cape Provinces: From Melmoth in the north to near Libode in the former Transkei (including Camperdown, Umlaas Road, Eston, Bisi, iZingolweni, Ngqeleni near Mthatha) generally occurring above the SVs 3 KwaZulu-Natal Hinterland Thornveld, SVs 7 Bisho Thornveld and the SVs 6 Eastern Valley Bushveld. Altitude 450 - 900 m.</t>
  </si>
  <si>
    <t>Undulating plains and hilly landscape mainly associated with drier coast hinterland valleys in the rain-shadow of the rain-bearing frontal weather systems from the east coast</t>
  </si>
  <si>
    <t>Acid, leached heavy soils are derived from Karoo Super group sediments (including significant Dwyka tillites) and intrusive Karoo dolerites</t>
  </si>
  <si>
    <t>Gs20</t>
  </si>
  <si>
    <t>Moist Coast Hinterland Grassland</t>
  </si>
  <si>
    <t>KwaZulu-Natal and Eastern Cape Provinces: From near Melmoth in the north to near Libode in the south (including Eshowe, New Hanover, Thornville, Richmond, Harding, Lusikisiki) generally occurring below Gs 9 Midlands Mistbelt Grassland. Altitude 450 - 900 m.</t>
  </si>
  <si>
    <t>Acid, leached heavy soils are derived from Karoo Supergroup sediments (including significant Dwyka tillites) and intrusive Karoo dolerites. Shallow sandy soils are derived from Natal Group Sandstone</t>
  </si>
  <si>
    <t>SVl25</t>
  </si>
  <si>
    <t>Maputaland Pallid Sandy Bushveld</t>
  </si>
  <si>
    <t>KwaZulu-Natal Province: on the coastal plain in the Maputaland region east of the Pongola River. North of the Mkuzi River it is aligned with the Muzi swamp and its water catchment and to the south it extends to near the town of Hluhluwe sandwiched between SV1 18 Tembe Sandy Bushveld and CB 1 Maputaland Coastal Belt. This unit surrounds most of the Muzi Palm Veld and Wooded Grassland. Altitude 10 - 90 m, mostly between 40 – 80 m.</t>
  </si>
  <si>
    <t>ancient coastal dune cordons on gently undulating terrain</t>
  </si>
  <si>
    <t xml:space="preserve">Quaternary sediments of marine origin –mainly grey regic to reddish redistributed sand dunes. Grey dystrophic regosols. Land type mainly Ha. </t>
  </si>
  <si>
    <t>AT16</t>
  </si>
  <si>
    <t>Albany Bontveld</t>
  </si>
  <si>
    <t>Albany Thicket</t>
  </si>
  <si>
    <t>This vegetation type occurs in the Eastern Cape Province, to the north and northeast of Grahamstown; mainly on flat-topped hills between Table Hill and the southern end of the Ecca Pass.</t>
  </si>
  <si>
    <t>Crests and upper slopes of flat-topped hills</t>
  </si>
  <si>
    <t xml:space="preserve">Non-seasonal rainfall dominates the region with MAP between 475 mm and 527 mm. Frost is present for approximately 2 to 4 days per year. The mean monthly maximum temperature is 26.6 °C in February and the mean monthly minimum is 5.2 °C in July. Altitude ranges from 435 - 672 masl. </t>
  </si>
  <si>
    <t>AT17</t>
  </si>
  <si>
    <t>Albany Mesic Thicket</t>
  </si>
  <si>
    <t>This vegetation type occurs in the Eastern Cape Province, mainly in moist sites along the river valleys of the Bushmans, Kariega, Kowie, Kleinemonde and Kap Rivers from near the Great Fish River Mouth to Kenton-on-Sea, extending inland up these valleys to the Zuurberg Mountains near Alicedale and Grahamstown. Also occurs in incised, moist valleys around Nanaga.</t>
  </si>
  <si>
    <t xml:space="preserve">Non-seasonal rainfall dominates the region with MAP between 422 mm and 734 mm. Frost is present for approximately 0 to 5 days per year. The mean monthly maximum temperature is 26.95 °C in February and the mean monthly minimum is 7.8 °C in July. Altitude ranges from 1 - 848 masl. </t>
  </si>
  <si>
    <t>AT18</t>
  </si>
  <si>
    <t>Albany Valley Thicket</t>
  </si>
  <si>
    <t>This vegetation type occurs in the Eastern Cape Province, mainly on the forelands of the Albany Region where it occurs along the middle to upper reaches of the river valleys of the Bushmans, Kariega, Kowie, Kleinemonde and Kap Rivers, extending past the Zuurberg Mountains north- and eastward of Alicedale and Riebeeck East. Also in open valleys around Nanaga.</t>
  </si>
  <si>
    <t xml:space="preserve">Non-seasonal rainfall dominates the region with MAP between 362 mm and 657 mm. Frost is present for approximately 0 to 16 days per year. The mean monthly maximum temperature is 27.57 °C in February and the mean monthly minimum is 6.1 °C in July. Altitude ranges from 9 - 916 masl. </t>
  </si>
  <si>
    <t>AT19</t>
  </si>
  <si>
    <t>Baviaans Valley Thicket</t>
  </si>
  <si>
    <t>This vegetation type occurs in the Eastern Cape Province, on the lower slopes and ridges from Willowmore/Perdepoort in the west, to the Klein Winterhoek/Zuurberg Mountains (northwest of Kirkwood) in the east including some narrow northern edges of the Baviaanskloof and Groot Winterhoek Mountains, as well as the thicket of the central and upper Baviaanskloof and river valleys in the Kouga Mountains.</t>
  </si>
  <si>
    <t xml:space="preserve">Non-seasonal rainfall dominates the region with MAP between 153 mm and 620 mm. Frost is present for approximately 2 to 50 days per year. The mean monthly maximum temperature is 29.2 °C in February and the mean monthly minimum is 3.2 °C in July. Altitude ranges from 121 - 1447 masl. </t>
  </si>
  <si>
    <t>AT20</t>
  </si>
  <si>
    <t>Bethelsdorp Bontveld</t>
  </si>
  <si>
    <t>This vegetation type occurs in the Eastern Cape Province, northwest of Port Elizabeth; mainly in valleys incising the plateau along the southern margin of the Swartkops River basin, but also in the Baakens River valley.</t>
  </si>
  <si>
    <t>Occurs on steep slopes of deeply incised valleys</t>
  </si>
  <si>
    <t xml:space="preserve">Non-seasonal rainfall dominates the region with MAP between 530 mm and 586 mm. Frost is present for approximately 3 days per year. The mean monthly maximum temperature is 25.4 °C in February and the mean monthly minimum is 7.6 °C in July. Altitude ranges from 15 - 215 masl. </t>
  </si>
  <si>
    <t>AT21</t>
  </si>
  <si>
    <t>Buffels Mesic Thicket</t>
  </si>
  <si>
    <t>This vegetation type occurs in the Eastern Cape Province, in the major river valleys between East London and Kei Mouth, including those of the Buffels, Nahoon, Gqunube, Kwelera, and Kei rivers, stretching between 30 and 50 km inland (including some areas around King William’s Town and Komga), and a small area in the Kei River Valley between about 10 and 20 km from the coast.</t>
  </si>
  <si>
    <t xml:space="preserve">Non-seasonal rainfall dominates the region with MAP between 621 mm and 988 mm. Frost is present for approximately 0 to 3 days a year. The mean monthly maximum temperature is 26.1 °C in February and the mean monthly minimum is 8.36 °C in July. Altitude ranges from 4 - 624 masl. </t>
  </si>
  <si>
    <t>AT22</t>
  </si>
  <si>
    <t>Buffels Valley Thicket</t>
  </si>
  <si>
    <t>This vegetation type occurs in the Eastern Cape Province, in the upper stretches of the Buffels River Valley between about 30 and 60 km from the coast, and in the upper Keiskamma River Valley around Keiskammahoek.</t>
  </si>
  <si>
    <t xml:space="preserve">Non-seasonal rainfall dominates the region with MAP between 547 mm and 1022 mm. Frost is present for approximately 2 to 8 days a year. The mean monthly maximum temperature is 26.9 °C in February and the mean monthly minimum is 5.8 °C in July. Altitude ranges from 211 - 918 masl. </t>
  </si>
  <si>
    <t>AT23</t>
  </si>
  <si>
    <t>Crossroads Grassland Thicket</t>
  </si>
  <si>
    <t>This vegetation type occurs in the Eastern Cape Province. Occurring in fragmented bands about 10 km inland of the Keiskamma River Mouth, stretching northwestward to just north of Doubledrift. Also some smaller areas east and north of The Haven.</t>
  </si>
  <si>
    <t>Non-seasonal rainfall dominates the region, with MAP between 376 mm and 675 mm. Frost is present approximately 3 days per year. The mean monthly maximum is 26.98 °C in February and the mean monthly minimum is 7.15 °C in July. Altitude ranges from 65 – 676 masl.</t>
  </si>
  <si>
    <t>AT24</t>
  </si>
  <si>
    <t>Doubledrift Karroid Thicket</t>
  </si>
  <si>
    <t>This vegetation type occurs in the Eastern Cape Province, occurring in fragmented bands in the broad valley between the Zuurberg Mountains and Great Escarpment, from south of Somerset East toward Xhesi near the lower reaches of the Keiskamma River. Two major areas are centered around Middleton in the west and Peddie in the east, with smaller areas in the vicinity of Dagaboersnek.</t>
  </si>
  <si>
    <t>Non-seasonal rainfall dominates the region, with MAP between 314 mm and 840 mm. Frost is present between 0 and 22 days per year. The mean monthly maximum is 27.71 °C in February and the mean monthly minimum is 5.95 °C in July. Altitude ranges from 6 – 993 masl.</t>
  </si>
  <si>
    <t>AT25</t>
  </si>
  <si>
    <t>Eastern Gwarrieveld</t>
  </si>
  <si>
    <t>This vegetation type occurs in the Eastern Cape Province in two irregular and fragmented bands in the south of the Camdeboo Plains; the first associated with valleys along the Groot Rivier and Klein Winterhoek Mountains, from Honeyville in the west and extending eastward toward Kirkwood; the second extending eastward from the Tierberg area (between Aberdeen and Klipplaat), crossing the Sundays River north of Jansenville to Westondale (south of Pearston).</t>
  </si>
  <si>
    <t>Hills and gentle slopes</t>
  </si>
  <si>
    <t>Non-seasonal rainfall dominates the region, with optimal rainfall in March and MAP between 155 mm and 413 mm. Frost is present between 3 and 39 days per year. The mean monthly maximum is 30.39 °C in January and the mean monthly minimum is 30.03 °C in July. Altitude ranges from 233 – 1137 masl.</t>
  </si>
  <si>
    <t>AT26</t>
  </si>
  <si>
    <t>Elands Forest Thicket</t>
  </si>
  <si>
    <t>This vegetation type occurs in the Eastern Cape Province. Between St Franics Bay and Uitenhage; associated with moderate slopes around the Elands River, Seekoei River, and Kromme River.</t>
  </si>
  <si>
    <t>Non-seasonal rainfall dominates the region, with MAP between 543 mm and 788 mm. Frost is present approximately 3 days per year. The mean monthly maximum is 25.44 °C in February and the mean monthly minimum is 7.22 °C in July. Altitude ranges from 5 – 383 masl.</t>
  </si>
  <si>
    <t>AT27</t>
  </si>
  <si>
    <t>Escarpment Arid Thicket</t>
  </si>
  <si>
    <t>This vegetation type occurs in the Eastern Cape Province, occurring along the south-facing slopes of the Great Escarpment, mainly centred around Cradock and Graaf-Reinet, but stretching westward to Aberdeen. An isolated patch occurs south of Bruintjieshoogte (near Pearston).</t>
  </si>
  <si>
    <t>Non-seasonal rainfall dominates the region, with MAP between 206 mm and 515 mm. Frost is present between 8 and 52 days per year. The mean monthly maximum is 29.75 °C in January and the mean monthly minimum is 2.18 °C in July. Altitude ranges from 555 – 1568 masl.</t>
  </si>
  <si>
    <t>AT28</t>
  </si>
  <si>
    <t>Escarpment Mesic Thicket</t>
  </si>
  <si>
    <t>This vegetation type occurs in the Eastern Cape Province, along the steep southern slopes of the Amathole, Winterberg and Swaershoek Mountains, spanning from Keiskammahoek in the east to just north of Pearston (Aasvoëlberg) in the west.</t>
  </si>
  <si>
    <t>Non-seasonal rainfall dominates the region, with MAP between 352 mm and 1179 mm. Frost is present between 3 and 43 days per year. The mean monthly maximum is 27.56 °C in January and the mean monthly minimum is 3.86 °C in July. Altitude ranges from 454 – 1702 masl.</t>
  </si>
  <si>
    <t>AT29</t>
  </si>
  <si>
    <t>Escarpment Valley Thicket</t>
  </si>
  <si>
    <t>This vegetation type occurs in the Eastern Cape Province and is one large but dissected patch occurring along the south-facing slopes of the Great Escarpment, from Bruintjieshoogte in the east via the Coetzeeberg Mountains toward Graaff-Reinet.</t>
  </si>
  <si>
    <t>Non-seasonal rainfall dominates the region, with MAP between 272 mm and 565 mm. Frost is present between 14 and 45 days per year. The mean monthly maximum is 29.85 °C in January and the mean monthly minimum is 2.50 °C in July. Altitude ranges from 686 – 1617 masl.</t>
  </si>
  <si>
    <t>AT30</t>
  </si>
  <si>
    <t>Fish Arid Thicket</t>
  </si>
  <si>
    <t>This vegetation type occurs in the Eastern Cape Province. The vegetation type is one large patch surrounded mainly by AT32 Fish Valley Thicket in the valley of the Great Fish River (north of Grahamstown) and spans a broad band from around Pigott’s (Carlisle) Bridge in the west to around Committees Drift in the east.</t>
  </si>
  <si>
    <t>Non-seasonal rainfall dominates the region, with MAP between 331 mm and 521 mm. Frost is present approximately 3 days per year. The mean monthly maximum is 28.10 °C in February and the mean monthly minimum is 6.81 °C in July. Altitude ranges from 40 – 611 masl.</t>
  </si>
  <si>
    <t>AT31</t>
  </si>
  <si>
    <t>Fish Mesic Thicket</t>
  </si>
  <si>
    <t>This vegetation type occurs in the Eastern Cape Province, in lower reaches of river valleys, primarily in the Great Fish River Valley and its tributaries, but also in smaller valleys eastward up to the Ngculura River south-east of Wesley. Generally occurring within 20 - 40 km of the coast, but a small isolated patch occurs further inland near Breakfast Vlei.</t>
  </si>
  <si>
    <t>Non-seasonal rainfall dominates the region, with MAP between 463 mm and 655 mm. Frost is present approximately 3 days per year. The mean monthly maximum is 26.72 °C in February and the mean monthly minimum is 8.25 °C in July. Altitude ranges from 7 - 973 masl.</t>
  </si>
  <si>
    <t>AT32</t>
  </si>
  <si>
    <t>Fish Valley Thicket</t>
  </si>
  <si>
    <t>This vegetation type occurs in the Eastern Cape Province. Mainly in the lower reaches of the Great Fish  River Valleys south of the Great Escarpment,  northwards to Cookhouse and into the southernmost part of the Cradock District. Also includes parts of the Little Fish River Valley, occurring northward from here to near Pearston and eastward to near Jansenville. Isolated patches occur in the Koonap River Valley near Adelaide, and in the Kat River Valley north of Fort Beaufort.</t>
  </si>
  <si>
    <t>Non-seasonal rainfall dominates the region, with MAP between 244 mm and 884 mm. Frost is present between 0 and 61 days per year. The mean monthly maximum is 28.30 °C in January and the mean monthly minimum is 4.60 °C in July. Altitude ranges from 1 - 1724 masl.</t>
  </si>
  <si>
    <t>AT33</t>
  </si>
  <si>
    <t>Gamka Arid Thicket</t>
  </si>
  <si>
    <t>This vegetation type occurs in the Eastern and Western Cape Provinces, along arid ridges and slopes of the Groot Swartberg Mountains. An extensive band occurs along the northern slopes of this mountain range, extending from near the Gamkaskloof eastward over 180 km to the Aasvoëlberg near Willowmore. More isolated patches occur on ridges around the Tierberg north-east of Prince Albert, on north-facing slopes around Meiringspoort, and arid slopes north of Calitzdorp.</t>
  </si>
  <si>
    <t>Non-seasonal rainfall dominates the region, with MAP between 86 mm and 376 mm. Frost is present between 3 and 41 days per year. The mean monthly maximum is 30.79 °C in January and the mean monthly minimum is 3.16 °C in July. Altitude ranges from 216 - 1265 masl.</t>
  </si>
  <si>
    <t>AT34</t>
  </si>
  <si>
    <t>Gamka Valley Thicket</t>
  </si>
  <si>
    <t>Western Cape Province. Occurs north of Oudtshoorn along the southern foot of the Groot Swartberg Mountains, extending from the Wynands River in the west to the confluence of the Olifants and Groot Abrahams Rivers (south-west of De Rust) in the east.</t>
  </si>
  <si>
    <t>Non-seasonal rainfall dominates the region, with MAP between 243 mm and 466 mm. Frost is present between 3 and 11 days per year. The mean monthly maximum is 29.74 °C in January and the mean monthly minimum is 5.44 °C in July. Altitude ranges from 3 - 662 masl.</t>
  </si>
  <si>
    <t>AT35</t>
  </si>
  <si>
    <t>Geluk Grassland Thicket</t>
  </si>
  <si>
    <t>This vegetation type occurs in the Eastern Cape Province. Restricted to two small patches just north of Maurice Hill between Nanaga and Alexandria.</t>
  </si>
  <si>
    <t>Non-seasonal rainfall dominates the region, with MAP between 525 mm and 609 mm. Frost is present approximately 3 days per year. The mean monthly maximum is 27.00 °C in February and the mean monthly minimum is 7.11 °C in July. Altitude ranges from 266 - 414 masl.</t>
  </si>
  <si>
    <t>AT36</t>
  </si>
  <si>
    <t>Goukamma Dune Thicket</t>
  </si>
  <si>
    <t>This vegetation type occurs in the Western Cape Province. In coastal stretches from Victoria Bay near Wilderness to the Knysna Heads, with smaller areas along the coast from Robberg Peninsula near Plettenberg Bay eastward to Keurboomstrand.</t>
  </si>
  <si>
    <t>Non-seasonal rainfall dominates the region with MAP between 588 mm and 859 mm. Frost is present for approximately 3 days per year. The mean monthly maximum is 26.67 °C in February and the mean monthly minimum is 7.92 °C in July. Altitude ranges from 1 - 203 masl.</t>
  </si>
  <si>
    <t>AT37</t>
  </si>
  <si>
    <t>Gouritz Valley Thicket</t>
  </si>
  <si>
    <t>This vegetation type occurs in the Western Cape Province. Primarily in the lower stretches of the Gouritz River Valley (between Herbertsdale and Gouritz Mouth), with smaller patches in the lower Goekoe River Valley (between Riversdale and Still Bay).</t>
  </si>
  <si>
    <t>Steep slopes of deeply incised valleys of rivers flowing mainly in a north-south direction and dissecting the Southern Cape coastal peneplain</t>
  </si>
  <si>
    <t xml:space="preserve">Non-seasonal rainfall dominates the region with MAP between 401 mm and 477 mm. Frost is present for approximately 3 days per year. The mean monthly maximum is 26.33 °C in January and the mean monthly minimum is 6.00 °C in July. Altitude ranges from 4 - 99 masl. </t>
  </si>
  <si>
    <t>AT38</t>
  </si>
  <si>
    <t>Grahamstown Grassland Thicket</t>
  </si>
  <si>
    <t>This vegetation type occurs in the Eastern Cape Province. Primarily on coastal forelands of the Albany region, spanning from around Grahamstown toward the Great Fish River in the east, Port Alfred and Alexandria in the south, and Sidbury in the west. A small isolated patch also occurs at the southern foot of the Swartwatersberg north of Alicedale.</t>
  </si>
  <si>
    <t xml:space="preserve">Non-seasonal rainfall dominates the region with MAP between 376 mm and 696 mm. Frost is present for 0 to 5 days per year. The mean monthly maximum is 26.90 °C in February and the mean monthly minimum is 6.96 °C in July. Altitude ranges from 24 - 733 masl. </t>
  </si>
  <si>
    <t>AT39</t>
  </si>
  <si>
    <t>Grassridge Bontveld</t>
  </si>
  <si>
    <t>This vegetation type occurs in the Eastern Cape Province. Predominantly occurs northeast of Port Elizabeth just inland of Algoa Bay, mainly around Coega, but also in small patches near Addo Elephant National Park (Zuurkop, Pentzhorn &amp; Olivier 1974).</t>
  </si>
  <si>
    <t>On moderately undulating plains</t>
  </si>
  <si>
    <t xml:space="preserve">Non-seasonal rainfall dominates the region with optimal rainfall months in March and October. MAP is between 402 mm and 501 mm. Frost is present for approximately 3 days per year. The mean monthly maximum is 27.12 °C in February and the mean monthly minimum is 7.47 °C in July. Altitude ranges from 0 -399 masl. </t>
  </si>
  <si>
    <t>AT40</t>
  </si>
  <si>
    <t>Hartenbos Dune Thicket</t>
  </si>
  <si>
    <t>This vegetation type occurs in the Western Cape Province. In coastal stretches from the Duiwenhoks River Mouth eastward to Glentana near the Great Brak River.</t>
  </si>
  <si>
    <t>Non-seasonal rainfall dominates the region, with MAP between 261 mm and 666 mm. Frost is present for approximately 3 days per year. The mean monthly maximum is 25.19 °C in February and the mean monthly minimum is 6.47 °C in July. Altitude ranges from 0 - 273 masl.</t>
  </si>
  <si>
    <t>AT41</t>
  </si>
  <si>
    <t>Kasouga Dune Thicket</t>
  </si>
  <si>
    <t>This vegetation type occurs in the Eastern Cape Province. In coastal stretches from the Sundays River Mouth eastward to the Great Fish River Mouth.</t>
  </si>
  <si>
    <t xml:space="preserve">Non-seasonal rainfall dominates the region, with MAP between 389 mm and 795 mm. Frost typically not present. The mean monthly maximum is 26.31 °C in February and the mean monthly minimum is 8.83 °C in July. Altitude ranges from 1 - 277 masl. </t>
  </si>
  <si>
    <t>AT42</t>
  </si>
  <si>
    <t>Koedoeskloof Karroid Thicket</t>
  </si>
  <si>
    <t>This vegetation type occurs in the Eastern Cape Province in fragmented patches north and southwest of Addo Elephant National Park just above the lower Sundays River Valley.</t>
  </si>
  <si>
    <t xml:space="preserve">Non-seasonal rainfall dominates the region, with MAP between 369 mm and 441 mm. Frost is present for approximately 3 days per year. The mean monthly maximum is 28.17 °C in February and the mean monthly minimum is 6.89 °C in July. Altitude ranges from 23 - 226 masl. </t>
  </si>
  <si>
    <t>AT43</t>
  </si>
  <si>
    <t>Mons Ruber Fynbos Thicket</t>
  </si>
  <si>
    <t>This vegetation type occurs in the Western Cape Province, in a fragmented band along the southern foot of the Groot Swartberg Mountains, stretching from Calitzdorp eastward to Schoemanspoort (north of Oudtshoorn), and from De Rust eastward to Barandas.</t>
  </si>
  <si>
    <t xml:space="preserve">Non-seasonal rainfall dominates the region, with MAP between 156 mm and 492 mm. Frost is present for approximately 4 to 15 days per year. The mean monthly maximum is 31.33 °C in January and the mean monthly minimum is 4.17 °C in July. Altitude ranges from 339 - 882 masl. </t>
  </si>
  <si>
    <t>AT44</t>
  </si>
  <si>
    <t>Motherwell Karroid Thicket</t>
  </si>
  <si>
    <t>This vegetation type occurs in the Eastern Cape Province. Northwest of Port Elizabeth just inland of Algoa Bay; mainly between Port Elizabeth and Uitenhage, but also around Coega.</t>
  </si>
  <si>
    <t>Occurs mostly on moderately undulating plains just above the floodplains of the local rivers</t>
  </si>
  <si>
    <t>Non-seasonal rainfall dominates the region, with MAP between 426 mm and 599 mm. Frost is present for approximately 3 days per year. The mean monthly maximum is 26.22 °C in February and the mean monthly minimum is 7.69 °C in July. Altitude ranges from 3 - 207 masl.</t>
  </si>
  <si>
    <t>AT45</t>
  </si>
  <si>
    <t>Nanaga Savanna Thicket</t>
  </si>
  <si>
    <t>This vegetation type occurs in the Eastern Cape Province. Most extensive on the Kwaggavlakte, spanning from near Addo Heights in the west to Glenview (north of Alexandria) in the east, and northward to Paterson. Also in the Nanaga area, extending southward to near the coast and eastward to near Diepkloof. Other minor areas occur around Salem/Farmer's Field, and around the Busmans River Valley between Alicedale and Eagle's Crag.</t>
  </si>
  <si>
    <t xml:space="preserve">Non-seasonal rainfall dominates the region, with MAP between 413 mm and 625 mm. Frost is present for approximately 3 days per year. The mean monthly maximum is 27.51 °C in February and the mean monthly minimum is 7.19 °C in July. Altitude ranges from 60 - 419 masl. </t>
  </si>
  <si>
    <t>AT46</t>
  </si>
  <si>
    <t>Oudtshoorn Karroid Thicket</t>
  </si>
  <si>
    <t>This vegetation type occurs in the Western Cape Province. Primarily centred around the Olifants River Valley in the Oudtshoorn district, extending from near Calitzdorp eastward to Dysselsdorp. Also occurs in Gamkaskloof, Gamkaspoort and the adjacent valley to the north, stretching eastward to the Oukloofberge near Prince Albert.</t>
  </si>
  <si>
    <t xml:space="preserve">Non-seasonal rainfall dominates the region, with MAP between 115 mm and 526 mm. Frost is present between 3 and 36 days per year. The mean monthly maximum is 31.19 °C in January and the mean monthly minimum is 4.06 °C in July. Altitude ranges from 122 - 1274 masl. </t>
  </si>
  <si>
    <t>AT47</t>
  </si>
  <si>
    <t>Saltaire Karroid Thicket</t>
  </si>
  <si>
    <t>This vegetation type occurs in the Eastern Cape Province. Forming a fragmented band inland of the Zuurberg Mountains, from around Renosterfontein in the west to Alicedale and around Grahamstown in the west.</t>
  </si>
  <si>
    <t>Non-seasonal rainfall dominates the region, with MAP between 300 mm and 586 mm. Frost is present between 2 and 15 days per year. The mean monthly maximum is 28.59 °C in February and the mean monthly minimum is 4.98 °C in July. Altitude ranges from 275 - 820 masl.</t>
  </si>
  <si>
    <t>AT48</t>
  </si>
  <si>
    <t>Sardinia Forest Thicket</t>
  </si>
  <si>
    <t>This vegetation type occurs in the Eastern Cape Province. South-east of Port Elizabeth, forming an arc from Seaview in the west to Walmer Heights in the east, and occurring within 2-5 km of the coast.</t>
  </si>
  <si>
    <t xml:space="preserve">Non-seasonal rainfall dominates the region, with MAP between 670 mm and 731 mm. Frost is present approximately 3 days per year. The mean monthly maximum is 25.00 °C in February and the mean monthly minimum is 8.17 °C in July. Altitude ranges from 28 - 141 masl. </t>
  </si>
  <si>
    <t>AT49</t>
  </si>
  <si>
    <t>Sundays Arid Thicket</t>
  </si>
  <si>
    <t>This vegetation type occurs in the Eastern Cape Province. Most extensive in the upper Sundays River Valley, centered around Jansenville and Darlington Dam, with smaller areas west of Klipplaat. Also in dry valleys from Volstruisleegte (north of Willomore) eastward to Steytlerville and Kleinpoort, and the dry valley north of the Baviaanskloof and Groot Winterhoek Mountains from near Boxmoor in the west to near Kirkwood in the east. Smaller isolated patches also occur along the northern slopes of the eastern Swartberg Mountains around Toorwaterpoort, and in the Baviaanskloof between Studtis and Zandvlakte.</t>
  </si>
  <si>
    <t>Non-seasonal rainfall dominates the region, with MAP between 159 mm and 550 mm. Frost is present between 3 and 44 days per year. The mean monthly maximum is 30.56 °C in January and the mean monthly minimum is 3.74 °C in July. Altitude ranges from 108 - 1467 masl.</t>
  </si>
  <si>
    <t>D3_step; D3_inv</t>
  </si>
  <si>
    <t>AT50</t>
  </si>
  <si>
    <t>Sundays Mesic Thicket</t>
  </si>
  <si>
    <t>This vegetation type occurs in the Eastern Cape Province. Most extensive at the southern foot of the Zuurberg Mountains from Skurweberg near Kirkwood in the west to Nuweposkop near Paterson in the east. Smaller areas occur along the south-eastern slopes of the Groot Winterhoek and Elandsberg Mountains around Uitenhage, in incised valleys around Addo Heights, and in the lower reaches of river valleys and adjacent coastal forelands from the Gamtoos River south-eastward to Krom River Mouth.</t>
  </si>
  <si>
    <t xml:space="preserve">Non-seasonal rainfall dominates the region, with MAP between 285 mm and 688 mm. Frost is present between 0 and 7 days per year. The mean monthly maximum is 28.22 °C in February and the mean monthly minimum is 6.45 °C in July. Altitude ranges from 3 - 735 masl. </t>
  </si>
  <si>
    <t>AT51</t>
  </si>
  <si>
    <t>Sundays Valley Thicket</t>
  </si>
  <si>
    <t>This vegetation type occurs in the Eastern Cape Province. Primarily in the lower Sundays River Valley, from near Kleinpoort in the west toward Paterson and Colchester in the east. Also centered around Uitenhage in the lower Coega and Swartkops River Valleys, and in the middle reaches of the Gamtoos River Valley and some smaller rivers to the west (e.g. Kabeljous River) south of the Baviaanskloof Mountains.</t>
  </si>
  <si>
    <t>Non-seasonal rainfall dominates the region, with MAP between 210 mm and 631 mm. Frost is present between 2 and 13 days per year. The mean monthly maximum is 28.09 °C in February and the mean monthly minimum is 6.23 °C in July. Altitude ranges from 2 - 673 masl.</t>
  </si>
  <si>
    <t>AT52</t>
  </si>
  <si>
    <t>Thorndale Forest Thicket</t>
  </si>
  <si>
    <t>This vegetation type occurs in the Eastern Cape Province. Restricted to a single patch west of Alexandria, stretching between Nanaga in the east and Maurice Hill in the west.</t>
  </si>
  <si>
    <t>Non-seasonal rainfall dominates the region, with MAP between 484 mm and 576 mm. Frost is present between 2 and 13 days per year. The mean monthly maximum is 27.07 °C in February and the mean monthly minimum is 7.29 °C in July. Altitude ranges from 184 - 408 masl.</t>
  </si>
  <si>
    <t>AT53</t>
  </si>
  <si>
    <t>Umtiza Forest Thicket</t>
  </si>
  <si>
    <t>This vegetation type occurs in the Eastern Cape Province. Restricted to the lower reaches of the Buffalo River Valley, within 12 km of the coast.</t>
  </si>
  <si>
    <t>Non-seasonal rainfall dominates the region, with MAP between 728 mm and 775 mm. The mean monthly maximum is 26.00 °C in February and the mean monthly minimum is 9.13 °C in July. Altitude ranges from 6 - 208 masl.</t>
  </si>
  <si>
    <t>AT54</t>
  </si>
  <si>
    <t>Vanstadens Forest Thicket</t>
  </si>
  <si>
    <t>This vegetation type occurs in the Eastern Cape Province. Mainly in valleys of the Elandsberg and Van Stadensberg mountains between Patensie and Uitenhage, and in valleys of the Zuurberg mountains northeast of Kirkwood. Small patches also occur along the Van Stadens River gorge just inland of St Francis Bay.</t>
  </si>
  <si>
    <t>Non-seasonal rainfall dominates the region, with MAP between 453 mm and 759 mm. Frost is present between 2 and 7 days per year. The mean monthly maximum is 27.53 °C in February and the mean monthly minimum is 5.65 °C in July. Altitude ranges from 13 - 785 masl.</t>
  </si>
  <si>
    <t>AT55</t>
  </si>
  <si>
    <t>Western Gwarrieveld</t>
  </si>
  <si>
    <t>This vegetation type occurs in the Western Cape Province in the region of the western Little Karoo basin covering the northern, western and southern piedmonts of the Rooiberg Mountains roughly from Ladismith to Vanwyksdorp, as well as the area north of the confluence of the Groot and Gouritz Rivers.</t>
  </si>
  <si>
    <t>Low hilly landscapes</t>
  </si>
  <si>
    <t>Non-seasonal rainfall dominates the region, with MAP between 160 mm and 430 mm. Frost is present between 3 and 22 days per year. The mean monthly maximum is 30.61 °C in January and the mean monthly minimum is 4.54 °C in July. Altitude ranges from 62 - 812 masl.</t>
  </si>
  <si>
    <t>AT56</t>
  </si>
  <si>
    <t>Hamburg Dune Thicket</t>
  </si>
  <si>
    <t>This vegetation type occurs in the Eastern Cape Province. Coastal stretches from the Fish River Mouth to just east of Kei Mouth.</t>
  </si>
  <si>
    <t>Non-seasonal rainfall dominates the region, with MAP between 524 mm and 951 mm. The mean monthly maximum is 25.94 °C in February and the mean monthly minimum is 9.39 °C in July. Altitude ranges from 1 - 260 masl.</t>
  </si>
  <si>
    <t>AT57</t>
  </si>
  <si>
    <t>St Francis Dune Thicket</t>
  </si>
  <si>
    <t>This vegetation type occurs in the Eastern Cape Province. In coastal stretches from near the Tsitsikamma River Mouth (west of Oyster Bay) eastward to the Sundays River Mouth.</t>
  </si>
  <si>
    <t>Non-seasonal rainfall dominates the region, with MAP between 397 mm and 868 mm. Frost is present for approximately 3 days per year. The mean monthly maximum is 25.21 °C in February and the mean monthly minimum is 8.31 °C in July. Altitude ranges from 0 - 221 masl.</t>
  </si>
  <si>
    <t>B1iii_sp, B2iii_sp</t>
  </si>
  <si>
    <t>AT58</t>
  </si>
  <si>
    <t>Willowmore Gwarrieveld</t>
  </si>
  <si>
    <t>This vegetation type occurs in the Eastern Cape and Western Cape Provinces. Broad valley between the Droëkloofberge (near Klaarstroom) and Groot Swartberg Mountains and continuing as broad band from Willowmore, along the northern piedmonts of the Baviaanskloof Mountains as far east as Kleinpoort (south of Klein Winterhoek Mountains). A smaller area of this unit also occurs south of the Groot Swartberg, in the valley of the Eastern Little Karoo between Dysselsdorp in the west and the N9 road in the east</t>
  </si>
  <si>
    <t>Slightly undulating landscape composed of extensive flats and a series of low hills</t>
  </si>
  <si>
    <t>Non-seasonal rainfall dominates the region, with MAP between 127 mm and 361 mm and optimal rainfall months in March, October and November. Frost is present between 7 and 42 days per year. The mean monthly maximum is 30.21 °C in January and the mean monthly minimum is 2.91 °C in July. Altitude ranges from 290 - 1208 masl.</t>
  </si>
  <si>
    <t>SVs8</t>
  </si>
  <si>
    <t>South Eastern Coastal Thornveld</t>
  </si>
  <si>
    <t>This vegetation type occurs in the Eastern Cape Province, along the southeastern seaboard of the Eastern Cape, from the Gamtoos River in the west to the Kei River in the east, typically within 15 - 20 km of the coast (up to 35 km in some areas).</t>
  </si>
  <si>
    <t>Non-seasonal rainfall dominates the region, with MAP between 485 mm and 1118 mm. Frost is present approximately 3 days per year. The mean monthly maximum is 26.20 °C in February and the mean monthly minimum is 8.34 °C in July. Altitude ranges from 0 – 541 masl.</t>
  </si>
  <si>
    <t>SKn7</t>
  </si>
  <si>
    <t>Southern Namaqualand Quartzite Klipkoppe Shrubland</t>
  </si>
  <si>
    <t>This vegetation type occurs in the Western Cape Province on quartzite hills between the Knersvlakte and the southern Kamiesberg foothills. Centred around the towns of Nuwerus and Bitterfontein.</t>
  </si>
  <si>
    <t>Strongly winter rainfall, 150 - 200 mm (possibly 250 mm on peaks). Typically no frost days. Frequent heavy dew especially in winter. Temperatures strongly moderated by persistent coastal breeze especially in the afternoons (mean annual temperatures 11 - 25 °C). Hottest maximum temperatures (&gt; 35 °C) occur in autumn or winter associated with berg winds. Altitude ranges from 69 – 880 masl.</t>
  </si>
  <si>
    <t>SKs14</t>
  </si>
  <si>
    <t>Namaqualand Heuweltjie Strandveld</t>
  </si>
  <si>
    <t>Western Cape and Northern Cape Provinces: Patchily distributed throughout the entire length of the west coast Sandveld coastal plain between the Olifants River (Strandfontein) and the Orange River (Alexander Bay). North of Kleinzee this vegetation type is called Richtersveld Sandy Coastal Scorpionstailveld. This vegetation type has the same latitudinal distribution as the coastal and inland Strandveld vegetation types. It usually occurs on the margins of Strandveld such as along the coast, the sides of river valleys or the ecotone between Strandveld and Succulent Karoo Heuweltjieveld proper. At Strandfontein this vegetation type occurs on top of the coastal cliff that is being undercut by the sea exposing the fossilised termitaria that lie in the centre of each heuweltjie structure. The best examples of this vegetation occur at the mouth of the Olifants River between Strandfontein and Weskusmynbou; at the mouths of the Bitter and Spoeg Rivers; and, between Hondeklip Bay and Kleinzee.</t>
  </si>
  <si>
    <t>Strongly winter rainfall, with MAP 100 - 150 mm decreasing towards the north. Typically no frost days. Occasional fog, but frequent heavy dew especially in winter. Temperatures strongly moderated by persistent coastal breeze (mean annual temperatures 12 - 22 °C). Hottest maximum temperatures (&gt;35 °C) in autumn or winter associated with berg winds. Altitude ranges from 1 – 344 masl.</t>
  </si>
  <si>
    <t>AZa3</t>
  </si>
  <si>
    <t>Lower Gariep Alluvial Vegetation</t>
  </si>
  <si>
    <t xml:space="preserve">Northern Cape Province: Broad alluvium (floodplains and islands) of the Orange (Gariep) River between Groblershoop and the mouth into the Atlantic Ocean at Oranjemund (Namibia). This river stretch is embedded within Desert (Oranjemund to roughly Pofadder) and Nama-Karoo (further upstream as far as Groblershoop). </t>
  </si>
  <si>
    <t>Flat alluvial terraces and riverine islands</t>
  </si>
  <si>
    <t>Region with very arid (desert) to subarid (semidesert) climate and erratic, unimodal (winter-rainfall) regime in the extreme west (near the Orange River mouth) to bimodal, equinoctial with major peak in March and less pronounced peak in November in the extreme east (near Upington). MAP 40–150 mm and MAT between 15.4°C (Alexander Bay) and 20.5°C (Upington). See also climate diagram for AZa 3 Lower Gariep Alluvial Vegetation (Figure 13.2).</t>
  </si>
  <si>
    <t>Recent alluvial deposits of the Orange River supporting soil forms such as Dundee and Oakleaf. The river cuts through a great variety of Precambrian metamorphic rocks. Ia land type. Subject to floods, especially in summer, caused by high precipitation on the highveld.</t>
  </si>
  <si>
    <t>FFb3</t>
  </si>
  <si>
    <t>Central Inland Shale Band Vegetation</t>
  </si>
  <si>
    <t>Western Cape Province: Shale bands of the Klein and Groot Swartberge, Touwsberg, Sandberg, Rooiberg, Gamkaberg and Kammanassie. See also Figure 4.78 featuring the simplified distribution of this unit.</t>
  </si>
  <si>
    <t>A narrow 80–200 m (wider in places), linear, smooth and flat feature of high-altitude slopes or mountain ridges</t>
  </si>
  <si>
    <t>MAP 140–980 mm (mean: 460 mm), relatively even with a bimodal peak in March and November and a low in December–January. Mean daily maximum and minimum temperatures 28.2°C and 1.7°C for January and July, respectively. Frost incidence 10–40 days per year. See also climate diagram for FFb 3 Central Inland Shale Band Vegetation (Figure 4.77).</t>
  </si>
  <si>
    <t>Gd5</t>
  </si>
  <si>
    <t>Northern Drakensberg Highland Grassland</t>
  </si>
  <si>
    <t xml:space="preserve">KwaZulu-Natal and Free State Provinces: Northeastern and eastern slopes of valleys and buttresses of the Drakensberg in KwaZulu-Natal where most of the region is locally known as Little Berg, from Giant’s Castle to slopes in any direction in the surrounds of Clarens in the Free State. </t>
  </si>
  <si>
    <t>Mountainous region characterised by steep slopes of broad valleys</t>
  </si>
  <si>
    <t>Summer-rainfall region, with MAP broadly ranging from 720–1 630 mm (overall average MAP 1 017 mm). Snowfalls are occasional and last several days. Summer mists frequent. Hot dry winds frequent from July to October. Summers warm and winters cold, with frequent considerably severe frost events. Overall regional MAT 13.4°C. See also climate diagram for Gd 5 Northern Drakensberg Highland Grassland (Figure 8.11).</t>
  </si>
  <si>
    <t>Mudstone and sandstone of the Elliot Formation and sandstone of the Clarens Formation (Stormberg Group, Karoo Supergroup) supporting soils typical of the Fc land type (dominant) as well as Ac and Bb land types (of lesser importance).</t>
  </si>
  <si>
    <t>Gh13</t>
  </si>
  <si>
    <t>Klerksdorp Thornveld</t>
  </si>
  <si>
    <t xml:space="preserve">North-West Province: In two sets of patches, one in the Wolmaransstad, Ottosdal and Hartbeesfontein region, and the other from the Botsolano Game Park north of Mafikeng to the vicinity of Madibogo in the south. </t>
  </si>
  <si>
    <t>Plains or slightly irregular undulating plains</t>
  </si>
  <si>
    <t>Warm-temperate, summer-rainfall region, with overall MAP of 533 mm. Summer temperatures are high. Frequent frosts occur in winter. See also climate diagram for Gh 13 Klerksdorp Thornveld (Figure 8.23).</t>
  </si>
  <si>
    <t>Shale, slate and quartzite of the Pretoria Group with interlaid diabase sills and Hekpoort lava supporting relatively shallow and rocky soils (Glenrosa and Mispah forms), typical of the Fb land type. Equally represented are eutrophic red plinthic soils (Hutton form), derived mainly from a thick succession of volcanics and sediments of the Ventersdorp Supergroup (Bc land type). Bd and Ae of minor occurrence.</t>
  </si>
  <si>
    <t>Gm12</t>
  </si>
  <si>
    <t>Eastern Highveld Grassland</t>
  </si>
  <si>
    <t xml:space="preserve">Mpumalanga and Gauteng Provinces: Plains between Belfast in the east and the eastern side of Johannesburg in the west and extending southwards to Bethal, Ermelo and west of Piet Retief. </t>
  </si>
  <si>
    <t xml:space="preserve">Slightly to moderately undulating plains, including some low hills and pan depressions. </t>
  </si>
  <si>
    <t>Strongly seasonal summer rainfall, with very dry winters. MAP 650–900 mm (overall average: 726 mm), MAP relatively uniform across most of this unit, but increases significantly in the extreme southeast. The coefficient of variation in MAP is 25% across most of the unit, but drops to 21% in the east and southeast. Incidence of frost from 13–42 days, but higher at higher elevations. See also climate diagram for Gm 12 Eastern Highveld Grassland (Figure 8.36).</t>
  </si>
  <si>
    <t>Red to yellow sandy soils of the Ba and Bb land types found on shales and sandstones of the Madzaringwe Formation (Karoo Supergroup). Land types Bb (65%) and Ba (30%).</t>
  </si>
  <si>
    <t>Gm27</t>
  </si>
  <si>
    <t>Strydpoort Summit Sourveld</t>
  </si>
  <si>
    <t xml:space="preserve">Limpopo Province: A series of isolated patches in high-lying areas of the Strydpoortberge, from Bewaarkloof in the east as far as the mountains just above Mokopane (Potgietersrus) in the west. </t>
  </si>
  <si>
    <t xml:space="preserve">The landscape has a very broken topography with deeply incised valleys. The slopes are steep and rocky, and sparsely wooded.rocky summits and mountain slopes. </t>
  </si>
  <si>
    <t xml:space="preserve"> Strongly seasonal, with precipitation in summer. Rainfall 530–870 mm (MAP 686 mm). Frost infrequent. See also climate diagram for Gm 27 Strydpoort Summit Sourveld (Figure 8.36).</t>
  </si>
  <si>
    <t>Acidic sandy soil derived from sandstone, quartzite and shale of the Wolkberg Group and the Black Reef Formation as well as the Pretoria Group in the westernmost parts. In the eastern half of this area a large part is underlain by the Penge Banded Iron Formation of the Chuniespoort Group. All of the above form part of the Transvaal Supergroup. Dominant land type Ib.</t>
  </si>
  <si>
    <t>SVk1</t>
  </si>
  <si>
    <t>Mafikeng Bushveld</t>
  </si>
  <si>
    <t xml:space="preserve">North-West Province: West of Mafikeng and south of the Botswana border westwards to around Vergeleë, southwards to Piet Plessis and Setlagole. </t>
  </si>
  <si>
    <t>Summer rainfall with very dry winters. MAP from about 350 mm in the west to about 520 mm in the east. Frost frequent in winter. Mean monthly maximum and minimum temperatures for Mmabatho 35.6°C and –1.8°C for November and June, respectively. See also climate diagram for SVk 1 Mafikeng Bushveld.</t>
  </si>
  <si>
    <t>Aeolian Kalahari sand of Tertiary to Recent age on flat sandy plains, soils deep (&gt;1.2 m). Clovelly and Hutton soil forms. Land types Ah, Ai and Ae.</t>
  </si>
  <si>
    <t>SVl4</t>
  </si>
  <si>
    <t>Delagoa Lowveld</t>
  </si>
  <si>
    <t xml:space="preserve"> Mpumalanga Province, Swaziland and marginally into KwaZulu-Natal Province: A narrow strip on plains immediately east of the SVl 3 Granite Lowveld from the Nsemani River west of Satara in the Kruger National Park southwards to immediately west of Lower Sabie Camp to the Pomba Guard Post west of Crocodile Bridge Camp to the Strydom Block in the south. Also a band in Swaziland from Mhlume in the north to Onverwacht Border Post in the south, extending marginally into KwaZulu-Natal at Pongola. </t>
  </si>
  <si>
    <t>Summer rainfall with dry winters. MAP about 450–850 mm. Generally a frost-free region. See also climate diagram for SVl 4 Delagoa Lowveld.</t>
  </si>
  <si>
    <t>Karoo Supergroup shale and lesser sandstone layers are punctuated by sheets and dykes of Jurassic dolerite. Soils (Sterkspruit, Swartland and Estcourt soil forms) are rich in sodium and very susceptible to erosion. Land types include Dc and Ea.</t>
  </si>
  <si>
    <t>SVl7</t>
  </si>
  <si>
    <t>Gravelotte Rocky Bushveld</t>
  </si>
  <si>
    <t xml:space="preserve">Limpopo Province: The Murchison Range in the Gravelotte area including surrounding mountains and hills including Ga-Mashishimale north of Mica and Seribana, and extending northwards towards Thohoyandou as isolated hills including Mangombe and Sionwe. </t>
  </si>
  <si>
    <t>rocky slopes and inselbergs, contrasting strongly with the surrounding plains.</t>
  </si>
  <si>
    <t>Summer rainfall with dry winters. MAP about 500 mm in the east to about 900 mm in the west, with the higher rainfall on the higher mountains. Frost very infrequent. See also climate diagram for SVl 7 Gravelotte Rocky Bushveld.</t>
  </si>
  <si>
    <t>The varied geology is largely composed of schist and amphibolite of the Gravelotte and Giyani Groups, with a few quartzitic and granitic hills. Miscellaneous, often shallow, soils with Glenrosa and Mispah forms common. Land types mainly Ib, Fa, Ae and Fb.</t>
  </si>
  <si>
    <t>AT15</t>
  </si>
  <si>
    <t>Albany Arid Thicket</t>
  </si>
  <si>
    <t>This vegetation type occurs in the Eastern Cape Province. The type is restricted to a single north-facing slope northeast of Grahamstown.</t>
  </si>
  <si>
    <t xml:space="preserve">Non-seasonal rainfall dominates the region with MAP between 475 mm and 527 mm. Frost is present for approximately 2 to 3 days per year higher up on the escarpment slopes where snow may occur in winter. The mean monthly maximum (based on Graaf-Reinet) is 27 °C in February and the mean monthly minimum is 6 °C in July. Altitude ranges from 254 - 521 masl. </t>
  </si>
  <si>
    <t>FS10</t>
  </si>
  <si>
    <t>Southwestern Strandveld</t>
  </si>
  <si>
    <t>Not Evaluated</t>
  </si>
  <si>
    <t>Not Evaluated → EN</t>
  </si>
  <si>
    <t>New types</t>
  </si>
  <si>
    <t>FS11</t>
  </si>
  <si>
    <t>Grootbos Strandveld</t>
  </si>
  <si>
    <t>Not Evaluated → CR</t>
  </si>
  <si>
    <t>FS12</t>
  </si>
  <si>
    <t>Southeastern Strandveld</t>
  </si>
  <si>
    <t>B1i_inv, B2i_inv</t>
  </si>
  <si>
    <t>FS13</t>
  </si>
  <si>
    <t>Goukamma Strandveld</t>
  </si>
  <si>
    <t>Not Evaluated → LC</t>
  </si>
  <si>
    <t>FS14</t>
  </si>
  <si>
    <t>St Franscis Strandveld</t>
  </si>
  <si>
    <t>SVcb29</t>
  </si>
  <si>
    <t>Central Sandy Mountain Bushveld</t>
  </si>
  <si>
    <t>SVk17</t>
  </si>
  <si>
    <t>Vryburg Thornveld</t>
  </si>
  <si>
    <t>SVk18</t>
  </si>
  <si>
    <t>Morokweng Thornveld</t>
  </si>
  <si>
    <t>Row Labels</t>
  </si>
  <si>
    <t>Grand Total</t>
  </si>
  <si>
    <t>Sum of Historic_area_km2</t>
  </si>
  <si>
    <t>Sum of Nat.2022km2</t>
  </si>
  <si>
    <t>Count of RLE_2025</t>
  </si>
  <si>
    <t>Sum of Historic_area_km2_2</t>
  </si>
  <si>
    <t>Sum of Nat.2022km2_2</t>
  </si>
  <si>
    <t>Critically Endangered</t>
  </si>
  <si>
    <t>Endangered</t>
  </si>
  <si>
    <t>Vulnerable</t>
  </si>
  <si>
    <t>Least Concern</t>
  </si>
  <si>
    <t>Category (IUCN RLE)</t>
  </si>
  <si>
    <t>Number of ecosystems</t>
  </si>
  <si>
    <t>Natural Extent Remaining within South Africa in 2022 (km2)</t>
  </si>
  <si>
    <t>Percentage of total terrestrial landmass extent</t>
  </si>
  <si>
    <t>Percentage of the natural remaining ecosystem extent</t>
  </si>
  <si>
    <t>Total</t>
  </si>
  <si>
    <t>Natural remaining ecosystem extent (km2)</t>
  </si>
  <si>
    <t>Column Labels</t>
  </si>
  <si>
    <t>Remaining natural extent per biome</t>
  </si>
  <si>
    <t>T_MAPCODE</t>
  </si>
  <si>
    <t>A3_fin</t>
  </si>
  <si>
    <t>A3_prclost</t>
  </si>
  <si>
    <t>A2b_fin</t>
  </si>
  <si>
    <t>A2b_prclost50</t>
  </si>
  <si>
    <t>B1_fin</t>
  </si>
  <si>
    <t>B2_fin</t>
  </si>
  <si>
    <t>RoD</t>
  </si>
  <si>
    <t>D3_fin</t>
  </si>
  <si>
    <t>D3_prcdeg</t>
  </si>
  <si>
    <t>prpinv_max</t>
  </si>
  <si>
    <t>RLE</t>
  </si>
  <si>
    <t>Criteria_used</t>
  </si>
  <si>
    <t>X1750</t>
  </si>
  <si>
    <t>X2022</t>
  </si>
  <si>
    <t>pnat_2022</t>
  </si>
  <si>
    <t>ROD9022</t>
  </si>
  <si>
    <t>prclost50_9022</t>
  </si>
  <si>
    <t>expert_change</t>
  </si>
  <si>
    <t>A3_nat, A2b, B1i_rod, B1i_inv, B1iii_sp, B2i_rod, B2i_inv, B2iii_sp, D3_step; D3_inv</t>
  </si>
  <si>
    <t>RLE not adjusted</t>
  </si>
  <si>
    <t>A3_nat, A3_nmb, A2b, B1i_rod, B1i_inv, B1iii_sp, B2i_rod, B2i_inv, B2iii_sp, D3_nmb; D3_inv</t>
  </si>
  <si>
    <t>A3_nat, A2b, B1i_rod, B2i_rod, D3_step; D3_inv</t>
  </si>
  <si>
    <t>A3_nat, A3_wc, A2b, B1i_rod, B1i_inv, B1iii_sp, B2i_rod, B2i_inv, B2iii_sp, D3_lk; D3_inv</t>
  </si>
  <si>
    <t>A3_nat, A3_wc, A2b, B1i_rod, B2i_rod, D3_step; D3_inv</t>
  </si>
  <si>
    <t>A3_nat, A3_wc, A2b, B1iii_sp, B2iii_sp, D3_step; D3_inv</t>
  </si>
  <si>
    <t>A3_nmb, A2b, B1i_rod, B2i_rod, D3_nmb; D3_inv</t>
  </si>
  <si>
    <t>A3_nat, A3_wc, A2b, B1i_rod, B1i_inv, B1iii_sp, B2i_rod, B2i_inv, B2iii_sp, D3_step; D3_inv</t>
  </si>
  <si>
    <t>A3_nmb, A2b, B1i_inv, B2i_inv, D3_nmb; D3_inv</t>
  </si>
  <si>
    <t>A3_nat, A2b, B1iii_sp, B2iii_sp, D3_step; D3_inv</t>
  </si>
  <si>
    <t>A3_nat, A3_wc, A2b, B1i_rod, B1i_inv, B1iii_sp, B2i_rod, B2i_inv, B2iii_sp, D3_inv</t>
  </si>
  <si>
    <t>A3_nat, A3_wc, A2b, B1i_rod, B1i_inv, B2i_rod, B2i_inv, D3_inv</t>
  </si>
  <si>
    <t>A3_nat, A2b, B1i_rod, B1i_inv, B1iii_sp, B2i_rod, B2i_inv, B2iii_sp, D3_inv</t>
  </si>
  <si>
    <t>A3_nat, A2b, B1i_rod, B2i_rod, B2i_inv, B2iii_sp, D3_step; D3_inv</t>
  </si>
  <si>
    <t>NA</t>
  </si>
  <si>
    <t xml:space="preserve">A3_nat, A2b, B1i_rod, B2i_rod, </t>
  </si>
  <si>
    <t>A3_nat, A3_wc, A2b, B1i_rod, B2i_rod, D3_inv</t>
  </si>
  <si>
    <t>A3_nat, A3_kzn, A2b, B1i_rod, B1i_inv, B1iii_sp, B2i_rod, B2i_inv, B2iii_sp, D3_inv</t>
  </si>
  <si>
    <t>A3_nat, A3_kzn, A2b, B1i_rod, B2i_rod, B2i_inv, B2iii_sp, D3_inv</t>
  </si>
  <si>
    <t>A3_nat, A3_kzn, A2b, B1i_rod, B2i_rod, D3_inv</t>
  </si>
  <si>
    <t>A3_nat, A2b, B1i_rod, B2i_rod, D3_inv</t>
  </si>
  <si>
    <t>A3_nat, A3_kzn, A2b, B1i_rod, B1i_inv, B2i_rod, B2i_inv, D3_inv</t>
  </si>
  <si>
    <t xml:space="preserve">A3_nat, A2b, B1i_rod, B1i_inv, B1iii_sp, B2i_rod, B2i_inv, B2iii_sp, </t>
  </si>
  <si>
    <t>A3_nat, A2b, B1iii_sp, B2iii_sp, D3_inv</t>
  </si>
  <si>
    <t>A3_nat, A3_wc, A2b, B1i_rod, B1iii_sp, B2i_rod, B2iii_sp, D3_inv</t>
  </si>
  <si>
    <t>A3_nat, A2b, B1i_rod, B1iii_sp, B2i_rod, B2iii_sp, D3_inv</t>
  </si>
  <si>
    <t>A3_coct, A2b, B1i_rod, B1iii_sp, B2i_rod, B2iii_sp, D3_coct; D3_inv</t>
  </si>
  <si>
    <t>A3_nat, A3_wc, A2b, B1iii_sp, B2iii_sp, D3_inv</t>
  </si>
  <si>
    <t>A3_nat, A2b, B1i_inv, B2i_inv, D3_step; D3_inv</t>
  </si>
  <si>
    <t>A3_nat, A3_wc, A2b, B1i_rod, B1i_inv, B1iii_sp, B2i_rod, B2i_inv, B2iii_sp, D3_coct; D3_inv</t>
  </si>
  <si>
    <t>A3_nat, A3_coct, A2b, B1i_rod, B1iii_sp, B2i_rod, B2iii_sp, D3_coct; D3_inv</t>
  </si>
  <si>
    <t>A3_nat, A3_wc, A2b, B1i_rod, B1i_inv, B2i_rod, B2i_inv, D3_step; D3_inv</t>
  </si>
  <si>
    <t>A3_nat, A2b, B1i_rod, B2i_rod, D3_coct; D3_inv</t>
  </si>
  <si>
    <t xml:space="preserve">A3_nat, A3_wc, A2b, B1i_rod, B1i_inv, B1iii_sp, B2i_rod, B2i_inv, B2iii_sp, </t>
  </si>
  <si>
    <t>RLE adjusted</t>
  </si>
  <si>
    <t>A3_nat, A2b, B1i_rod, B1i_inv, B2i_rod, B2i_inv, D3_step; D3_inv</t>
  </si>
  <si>
    <t>A3_nat, A3_wc, A2b, B1i_inv, B1iii_sp, B2i_inv, B2iii_sp, D3_inv</t>
  </si>
  <si>
    <t>A3_nat, A3_nmb, A2b, B1i_rod, B1iii_sp, B2i_rod, B2iii_sp, D3_nmb; D3_inv</t>
  </si>
  <si>
    <t>A3_nat, A3_coct, A2b, B1iii_sp, B2iii_sp, D3_coct; D3_inv</t>
  </si>
  <si>
    <t>A3_nat, A2b, B1i_rod, B1iii_sp, B2i_rod, B2i_inv, B2iii_sp, D3_inv</t>
  </si>
  <si>
    <t>A3_nat, A3_wc, A2b, B1i_inv, B2i_inv, D3_inv</t>
  </si>
  <si>
    <t>A3_nat, A3_coct, A2b, B1i_rod, B1i_inv, B1iii_sp, B2i_rod, B2i_inv, B2iii_sp, D3_coct; D3_inv</t>
  </si>
  <si>
    <t>A3_nat, A2b, B1i_rod, B2i_rod, B2i_inv, B2iii_sp, D3_inv</t>
  </si>
  <si>
    <t>A3_nat, A3_mpl, A2b, B1i_rod, B1i_inv, B1iii_sp, B2i_rod, B2i_inv, B2iii_sp, D3_inv</t>
  </si>
  <si>
    <t>A3_kzn, A2b, B1i_rod, B2i_rod, B2i_inv, B2iii_sp, D3_inv</t>
  </si>
  <si>
    <t>A3_kzn, A2b, B1i_rod, B2i_rod, D3_inv</t>
  </si>
  <si>
    <t xml:space="preserve">A3_nat, A3_mpl, A2b, B1i_rod, B1i_inv, B1iii_sp, B2i_rod, B2i_inv, B2iii_sp, </t>
  </si>
  <si>
    <t>A3_nat, A3_mpl, A2b, B1i_rod, B2i_rod, B2i_inv, B2iii_sp, D3_inv</t>
  </si>
  <si>
    <t>Sum of X1750</t>
  </si>
  <si>
    <t>Sum of X2022</t>
  </si>
  <si>
    <t xml:space="preserve">remaining nat 2022 based on the RLE full compiled adjusted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</si>
</sst>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B1E191"/>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0" borderId="0" xfId="0" applyAlignment="1">
      <alignment wrapText="1"/>
    </xf>
    <xf numFmtId="0" fontId="0" fillId="0" borderId="0" xfId="0" applyNumberFormat="1"/>
    <xf numFmtId="0" fontId="1" fillId="0" borderId="0" xfId="0" applyFont="1"/>
    <xf numFmtId="0" fontId="1" fillId="0" borderId="0" xfId="0" applyFont="1" applyAlignment="1">
      <alignment horizontal="center"/>
    </xf>
    <xf numFmtId="2" fontId="1" fillId="0" borderId="0" xfId="0" applyNumberFormat="1" applyFont="1" applyAlignment="1">
      <alignment horizontal="center"/>
    </xf>
    <xf numFmtId="164" fontId="1" fillId="0" borderId="0" xfId="0" applyNumberFormat="1" applyFont="1" applyAlignment="1">
      <alignment horizontal="center"/>
    </xf>
    <xf numFmtId="0" fontId="2" fillId="0" borderId="0" xfId="0" applyFont="1"/>
    <xf numFmtId="0" fontId="2" fillId="0" borderId="0" xfId="0" applyFont="1" applyAlignment="1">
      <alignment horizontal="center"/>
    </xf>
    <xf numFmtId="2" fontId="2" fillId="0" borderId="0" xfId="0" applyNumberFormat="1" applyFont="1" applyAlignment="1">
      <alignment horizontal="center"/>
    </xf>
    <xf numFmtId="1" fontId="2" fillId="0" borderId="0" xfId="0" applyNumberFormat="1" applyFont="1" applyAlignment="1">
      <alignment horizontal="center"/>
    </xf>
    <xf numFmtId="0" fontId="2" fillId="2" borderId="0" xfId="0" applyFont="1" applyFill="1" applyAlignment="1">
      <alignment wrapText="1"/>
    </xf>
    <xf numFmtId="0" fontId="2" fillId="2" borderId="0" xfId="0" applyFont="1" applyFill="1" applyAlignment="1">
      <alignment horizontal="center" wrapText="1"/>
    </xf>
    <xf numFmtId="2" fontId="2" fillId="2" borderId="0" xfId="0" applyNumberFormat="1" applyFont="1" applyFill="1" applyAlignment="1">
      <alignment horizontal="center" wrapText="1"/>
    </xf>
    <xf numFmtId="11" fontId="0" fillId="0" borderId="0" xfId="0" applyNumberFormat="1"/>
  </cellXfs>
  <cellStyles count="1">
    <cellStyle name="Normal" xfId="0" builtinId="0"/>
  </cellStyles>
  <dxfs count="0"/>
  <tableStyles count="0" defaultTableStyle="TableStyleMedium9" defaultPivotStyle="PivotStyleLight16"/>
  <colors>
    <mruColors>
      <color rgb="FFB1E1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phale Monyeki" refreshedDate="46220.960777314816" createdVersion="8" refreshedVersion="8" minRefreshableVersion="3" recordCount="73" xr:uid="{D56ACD42-D2F8-47B9-8AF0-9E9D004D6344}">
  <cacheSource type="worksheet">
    <worksheetSource ref="A1:W74" sheet="Sheet2"/>
  </cacheSource>
  <cacheFields count="23">
    <cacheField name="Realm_GETL1" numFmtId="0">
      <sharedItems/>
    </cacheField>
    <cacheField name="Code" numFmtId="0">
      <sharedItems/>
    </cacheField>
    <cacheField name="Name" numFmtId="0">
      <sharedItems/>
    </cacheField>
    <cacheField name="Bioregion" numFmtId="0">
      <sharedItems/>
    </cacheField>
    <cacheField name="Biome" numFmtId="0">
      <sharedItems/>
    </cacheField>
    <cacheField name="IUCN_GET_2025_L2" numFmtId="0">
      <sharedItems/>
    </cacheField>
    <cacheField name="IUCN_GET_2022_L3" numFmtId="0">
      <sharedItems/>
    </cacheField>
    <cacheField name="Distribution_full_descr" numFmtId="0">
      <sharedItems longText="1"/>
    </cacheField>
    <cacheField name="Province" numFmtId="0">
      <sharedItems/>
    </cacheField>
    <cacheField name="CountryEcoTypeExtendInto_Political" numFmtId="0">
      <sharedItems/>
    </cacheField>
    <cacheField name="Contry" numFmtId="0">
      <sharedItems/>
    </cacheField>
    <cacheField name="Landscape" numFmtId="0">
      <sharedItems containsBlank="1"/>
    </cacheField>
    <cacheField name="Climate_full_descr" numFmtId="0">
      <sharedItems longText="1"/>
    </cacheField>
    <cacheField name="GeologySoilsHydrology" numFmtId="0">
      <sharedItems longText="1"/>
    </cacheField>
    <cacheField name="Historic_area_km2" numFmtId="0">
      <sharedItems containsSemiMixedTypes="0" containsString="0" containsNumber="1" minValue="10.003434092670981" maxValue="25965.641726160011"/>
    </cacheField>
    <cacheField name="Nat2018" numFmtId="0">
      <sharedItems containsSemiMixedTypes="0" containsString="0" containsNumber="1" minValue="9.34" maxValue="17293.47"/>
    </cacheField>
    <cacheField name="Nat.2022km2" numFmtId="0">
      <sharedItems containsSemiMixedTypes="0" containsString="0" containsNumber="1" minValue="9.3420000000000005" maxValue="17291.404399999999"/>
    </cacheField>
    <cacheField name="EPL_2025" numFmtId="0">
      <sharedItems count="4">
        <s v="PP"/>
        <s v="NP"/>
        <s v="WP"/>
        <s v="MP"/>
      </sharedItems>
    </cacheField>
    <cacheField name="RLE_2022" numFmtId="0">
      <sharedItems/>
    </cacheField>
    <cacheField name="RLE_2025" numFmtId="0">
      <sharedItems count="4">
        <s v="LC"/>
        <s v="CR"/>
        <s v="EN"/>
        <s v="VU"/>
      </sharedItems>
    </cacheField>
    <cacheField name="RLE2022_2025" numFmtId="0">
      <sharedItems/>
    </cacheField>
    <cacheField name="Criteria_triggered" numFmtId="0">
      <sharedItems containsBlank="1"/>
    </cacheField>
    <cacheField name="Status_Chang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phale Monyeki" refreshedDate="46222.533253935188" createdVersion="8" refreshedVersion="8" minRefreshableVersion="3" recordCount="463" xr:uid="{48B3D3AF-708E-4498-9C18-F3928528E10B}">
  <cacheSource type="worksheet">
    <worksheetSource ref="A1:W464" sheet="Sheet1"/>
  </cacheSource>
  <cacheFields count="23">
    <cacheField name="Realm_GETL1" numFmtId="0">
      <sharedItems/>
    </cacheField>
    <cacheField name="Code" numFmtId="0">
      <sharedItems/>
    </cacheField>
    <cacheField name="Name" numFmtId="0">
      <sharedItems/>
    </cacheField>
    <cacheField name="Bioregion" numFmtId="0">
      <sharedItems/>
    </cacheField>
    <cacheField name="Biome" numFmtId="0">
      <sharedItems count="10">
        <s v="Grassland"/>
        <s v="Savanna"/>
        <s v="Desert"/>
        <s v="Succulent Karoo"/>
        <s v="Fynbos"/>
        <s v="Azonal Vegetation"/>
        <s v="Nama-Karoo"/>
        <s v="Indian Ocean Coastal Belt"/>
        <s v="Forests"/>
        <s v="Albany Thicket"/>
      </sharedItems>
    </cacheField>
    <cacheField name="IUCN_GET_2025_L2" numFmtId="0">
      <sharedItems/>
    </cacheField>
    <cacheField name="IUCN_GET_2022_L3" numFmtId="0">
      <sharedItems/>
    </cacheField>
    <cacheField name="Distribution_full_descr" numFmtId="0">
      <sharedItems containsBlank="1" longText="1"/>
    </cacheField>
    <cacheField name="Province" numFmtId="0">
      <sharedItems containsBlank="1"/>
    </cacheField>
    <cacheField name="CountryEcoTypeExtendInto_Political" numFmtId="0">
      <sharedItems containsBlank="1"/>
    </cacheField>
    <cacheField name="Contry" numFmtId="0">
      <sharedItems containsBlank="1"/>
    </cacheField>
    <cacheField name="Landscape" numFmtId="0">
      <sharedItems containsBlank="1" longText="1"/>
    </cacheField>
    <cacheField name="Climate_full_descr" numFmtId="0">
      <sharedItems containsBlank="1" longText="1"/>
    </cacheField>
    <cacheField name="GeologySoilsHydrology" numFmtId="0">
      <sharedItems containsBlank="1" longText="1"/>
    </cacheField>
    <cacheField name="Historic_area_km2" numFmtId="0">
      <sharedItems containsSemiMixedTypes="0" containsString="0" containsNumber="1" minValue="0.60199005032967956" maxValue="49834.308656242167" count="463">
        <n v="13392.40856081142"/>
        <n v="4445.3263116387052"/>
        <n v="335.92545499307892"/>
        <n v="803.12908832171775"/>
        <n v="449.05511243150232"/>
        <n v="2298.45838796215"/>
        <n v="63.062472750069837"/>
        <n v="5176.9332536905922"/>
        <n v="2130.0796276659612"/>
        <n v="923.56300134244611"/>
        <n v="653.42873092148216"/>
        <n v="2706.571109292267"/>
        <n v="8321.4049722827785"/>
        <n v="491.34079597141999"/>
        <n v="8633.6992602156552"/>
        <n v="388.31220998626071"/>
        <n v="17.571757723268949"/>
        <n v="218.82337647752911"/>
        <n v="358.89154155582662"/>
        <n v="2555.2167164866628"/>
        <n v="12011.6812774313"/>
        <n v="539.24406347416664"/>
        <n v="160.0704547090846"/>
        <n v="1812.6038574623281"/>
        <n v="1087.405504716018"/>
        <n v="181.9239093901181"/>
        <n v="10508.964779777951"/>
        <n v="432.84715941743781"/>
        <n v="7162.5171160854961"/>
        <n v="319.74617198427688"/>
        <n v="10.003434092670981"/>
        <n v="559.37102174395545"/>
        <n v="1607.9007019659671"/>
        <n v="607.46130409965122"/>
        <n v="49834.308656242167"/>
        <n v="742.71150016877868"/>
        <n v="1373.914028813457"/>
        <n v="942.79459744956819"/>
        <n v="4119.492925669706"/>
        <n v="1380.8778192068371"/>
        <n v="20.344407559302699"/>
        <n v="25.24775328338923"/>
        <n v="498.25648541629522"/>
        <n v="101.77278655688031"/>
        <n v="93.885647007039864"/>
        <n v="343.19926123943708"/>
        <n v="501.65478556560822"/>
        <n v="3750.414909285003"/>
        <n v="1442.141802920921"/>
        <n v="491.75922734698128"/>
        <n v="8370.6292519208018"/>
        <n v="219.4507434446258"/>
        <n v="1331.257525472274"/>
        <n v="720.67173999937279"/>
        <n v="523.25160575754967"/>
        <n v="4147.7501752246153"/>
        <n v="12074.01030958485"/>
        <n v="430.62024668910641"/>
        <n v="260.60100879181141"/>
        <n v="207.30863030824821"/>
        <n v="4108.9949785984791"/>
        <n v="19.17019092780372"/>
        <n v="3571.9428480433239"/>
        <n v="367.14526426872419"/>
        <n v="694.02258632301641"/>
        <n v="2862.4254677118561"/>
        <n v="241.76614634146739"/>
        <n v="983.5564432450908"/>
        <n v="101.0565298567594"/>
        <n v="469.91842068470402"/>
        <n v="3399.5344438551601"/>
        <n v="689.04611569161057"/>
        <n v="260.74560574558569"/>
        <n v="41251.754502832853"/>
        <n v="1620.890098985089"/>
        <n v="1343.3254191944229"/>
        <n v="35.85232215253049"/>
        <n v="4949.6194229920402"/>
        <n v="2225.5551225955219"/>
        <n v="305.48738981630919"/>
        <n v="2402.983749278872"/>
        <n v="10185.543408458239"/>
        <n v="1122.104180532604"/>
        <n v="1777.299996766691"/>
        <n v="2522.832481029945"/>
        <n v="1058.0109055538239"/>
        <n v="630.60246178834086"/>
        <n v="539.88755899583634"/>
        <n v="2316.0950932053511"/>
        <n v="869.14706631449735"/>
        <n v="40.573224582650298"/>
        <n v="1268.1621137703371"/>
        <n v="42273.573292670349"/>
        <n v="762.44854750123181"/>
        <n v="793.32415166656074"/>
        <n v="344.33047618806751"/>
        <n v="2.855843510510073"/>
        <n v="186.75624065561789"/>
        <n v="16.932957451586539"/>
        <n v="2095.8522432573741"/>
        <n v="316.86263868420951"/>
        <n v="1014.175111713079"/>
        <n v="151.68488740736129"/>
        <n v="97.842866175727053"/>
        <n v="1236.5127645484349"/>
        <n v="388.82149776524051"/>
        <n v="107.45951948521341"/>
        <n v="118.72048685734531"/>
        <n v="97.686239901259242"/>
        <n v="180.0534870775536"/>
        <n v="75.133847692828184"/>
        <n v="84.001564392002578"/>
        <n v="428.00143564249271"/>
        <n v="563.62420948790441"/>
        <n v="12.627087710984959"/>
        <n v="266.61991460000093"/>
        <n v="37.522505622037222"/>
        <n v="2677.147083987189"/>
        <n v="276.39330600037812"/>
        <n v="207.13159403276771"/>
        <n v="1347.798468705708"/>
        <n v="464.25934263182398"/>
        <n v="286.97276470632778"/>
        <n v="1093.189288068425"/>
        <n v="265.34321229914201"/>
        <n v="6124.0567902125704"/>
        <n v="10110.90760390596"/>
        <n v="378.95369934371098"/>
        <n v="1300.9720962343849"/>
        <n v="50.830296614967331"/>
        <n v="107.8058168388811"/>
        <n v="5281.6423145616918"/>
        <n v="12.975516672825959"/>
        <n v="158.3267541667779"/>
        <n v="1337.154916282298"/>
        <n v="1320.8710582415481"/>
        <n v="1571.1193917110679"/>
        <n v="310.46106877991878"/>
        <n v="3107.991977546872"/>
        <n v="817.71978683796101"/>
        <n v="1571.9833787517071"/>
        <n v="7074.3610315951091"/>
        <n v="1273.9289335033809"/>
        <n v="8796.4062436210115"/>
        <n v="361.42885107329408"/>
        <n v="612.1469621524634"/>
        <n v="536.0846818795452"/>
        <n v="142.76806813670521"/>
        <n v="37063.178657550408"/>
        <n v="28.087826878308711"/>
        <n v="1920.729340958746"/>
        <n v="396.84595843909619"/>
        <n v="2094.668605736766"/>
        <n v="304.18223103180048"/>
        <n v="3154.1059037599262"/>
        <n v="2055.6640327735458"/>
        <n v="152.94428056420509"/>
        <n v="1299.90553218639"/>
        <n v="3217.4700676685961"/>
        <n v="2966.2451847220018"/>
        <n v="653.36897240123483"/>
        <n v="64.816050291044419"/>
        <n v="2355.5373201279799"/>
        <n v="5227.4643666380152"/>
        <n v="836.2444526676743"/>
        <n v="1124.38349279555"/>
        <n v="531.49533650472688"/>
        <n v="1009.605867617687"/>
        <n v="1650.3646501099761"/>
        <n v="170.77730599287031"/>
        <n v="6137.2502388644634"/>
        <n v="298.89662359517632"/>
        <n v="247.4418225844496"/>
        <n v="653.34043536582146"/>
        <n v="760.25642838181773"/>
        <n v="329.48863220621718"/>
        <n v="422.86055354945751"/>
        <n v="1084.79505203349"/>
        <n v="7198.1985426646097"/>
        <n v="394.09281726006918"/>
        <n v="578.91993158137393"/>
        <n v="2066.3084388882921"/>
        <n v="372.04514462925778"/>
        <n v="951.31130414492839"/>
        <n v="3.2656762259333769"/>
        <n v="78.864808084464897"/>
        <n v="404.96357270106421"/>
        <n v="993.57366836697986"/>
        <n v="878.81443994591075"/>
        <n v="9677.8416945754834"/>
        <n v="418.29069244097008"/>
        <n v="4653.6279676875947"/>
        <n v="139.90933449119959"/>
        <n v="1646.187343190069"/>
        <n v="2780.064407537795"/>
        <n v="3151.7387072836641"/>
        <n v="279.02328441903018"/>
        <n v="407.22907097149329"/>
        <n v="41250.753225839253"/>
        <n v="517.25787583018098"/>
        <n v="1179.429633613951"/>
        <n v="247.01040873198349"/>
        <n v="76.609042035341886"/>
        <n v="1318.3621901260631"/>
        <n v="6988.3132594732788"/>
        <n v="7582.2169103969136"/>
        <n v="891.34842812086322"/>
        <n v="185.20692839195499"/>
        <n v="787.99286042106542"/>
        <n v="1107.4967045344599"/>
        <n v="1302.1514201592761"/>
        <n v="403.21611402039161"/>
        <n v="11278.49878955267"/>
        <n v="5357.9625679289638"/>
        <n v="2762.5468703244242"/>
        <n v="373.14174963439859"/>
        <n v="240.1442371059305"/>
        <n v="477.19993174426787"/>
        <n v="80.47587000598763"/>
        <n v="88.667570421319425"/>
        <n v="4242.2551770175423"/>
        <n v="46.820162869242793"/>
        <n v="694.62572938240737"/>
        <n v="3927.090912421063"/>
        <n v="866.53892481638502"/>
        <n v="11734.300186392309"/>
        <n v="7452.6164191581793"/>
        <n v="16012.89003971584"/>
        <n v="4770.7654252663206"/>
        <n v="5026.9863860965916"/>
        <n v="8.2249090887068395"/>
        <n v="4963.7676870309951"/>
        <n v="539.36206859880747"/>
        <n v="492.94582584122742"/>
        <n v="2000.0247099875889"/>
        <n v="7094.5483932739544"/>
        <n v="5838.9868462543727"/>
        <n v="523.96530380352544"/>
        <n v="3235.1813017102299"/>
        <n v="279.48452614351942"/>
        <n v="9187.4395049273699"/>
        <n v="132.4897425695072"/>
        <n v="1049.784649676373"/>
        <n v="1050.62425870434"/>
        <n v="939.14577306696685"/>
        <n v="78.045662625337783"/>
        <n v="331.39799243959101"/>
        <n v="1551.0820843735371"/>
        <n v="540.72579267620938"/>
        <n v="354.2823103490017"/>
        <n v="914.24577996832511"/>
        <n v="1381.186266028571"/>
        <n v="214.10596771759731"/>
        <n v="1217.9523052625409"/>
        <n v="3363.533712266586"/>
        <n v="123.3038896456119"/>
        <n v="5315.7855057331462"/>
        <n v="129.88801951269241"/>
        <n v="680.41177449807583"/>
        <n v="683.30722837553617"/>
        <n v="5040.5945681442736"/>
        <n v="7632.5474197390968"/>
        <n v="1135.9690175200151"/>
        <n v="1313.224061964798"/>
        <n v="15822.69540554888"/>
        <n v="277.06007011953449"/>
        <n v="2804.7784707528021"/>
        <n v="17.089796041418339"/>
        <n v="1215.288863395893"/>
        <n v="791.69490201604697"/>
        <n v="211.167989628523"/>
        <n v="283.21628355419199"/>
        <n v="220.24795841236499"/>
        <n v="17149.622531068679"/>
        <n v="129.2750790796301"/>
        <n v="14029.071266372939"/>
        <n v="2215.6161631434011"/>
        <n v="7762.2415292348178"/>
        <n v="18.706823566147861"/>
        <n v="5302.948953341177"/>
        <n v="10944.688361241109"/>
        <n v="1433.9483401712159"/>
        <n v="5779.5158736974208"/>
        <n v="2853.5882924815701"/>
        <n v="68.799401597777262"/>
        <n v="1.5399979628462599"/>
        <n v="694.29965830773585"/>
        <n v="127.3884210588935"/>
        <n v="6645.2917142938159"/>
        <n v="219.5127430559015"/>
        <n v="365.5765515253438"/>
        <n v="286.96792173766551"/>
        <n v="185.20013811201551"/>
        <n v="2523.6303641290829"/>
        <n v="8901.1690222414691"/>
        <n v="868.07980580678884"/>
        <n v="556.95675730031689"/>
        <n v="1533.469159608301"/>
        <n v="497.67377942469062"/>
        <n v="0.60199005032967956"/>
        <n v="825.65101365386954"/>
        <n v="49.027806643642528"/>
        <n v="852.19653574120468"/>
        <n v="3562.5364503878341"/>
        <n v="2090.6650929818079"/>
        <n v="217.0166422058935"/>
        <n v="6972.1900453605685"/>
        <n v="318.32187353475302"/>
        <n v="566.10413223300168"/>
        <n v="13885.529763104019"/>
        <n v="50.55169663801621"/>
        <n v="13.21102592945936"/>
        <n v="91.843162388567222"/>
        <n v="1457.8619246160681"/>
        <n v="592.28274665304775"/>
        <n v="134.52456450423591"/>
        <n v="501.66954676677392"/>
        <n v="1343.1811509813231"/>
        <n v="4028.3592654742329"/>
        <n v="1062.162837306706"/>
        <n v="928.57578944929026"/>
        <n v="508.05443233557071"/>
        <n v="17384.069132328739"/>
        <n v="106.5310086149827"/>
        <n v="1200.383254313497"/>
        <n v="1742.2811358587539"/>
        <n v="209.7585515230017"/>
        <n v="3103.5872757553489"/>
        <n v="2285.066785656581"/>
        <n v="3606.3033376591579"/>
        <n v="929.2298695844205"/>
        <n v="8598.4495455445522"/>
        <n v="4216.7946981688092"/>
        <n v="9891.6311687899124"/>
        <n v="30.025196023896878"/>
        <n v="14492.85929664688"/>
        <n v="2342.1280975907139"/>
        <n v="8728.1379109763675"/>
        <n v="7440.413250550625"/>
        <n v="4670.9862936481559"/>
        <n v="988.55242139897723"/>
        <n v="59.827904344509868"/>
        <n v="127.5632294262132"/>
        <n v="722.66361996346382"/>
        <n v="192.10896442392141"/>
        <n v="18.372019752031051"/>
        <n v="65.869296091772085"/>
        <n v="327.15279398391772"/>
        <n v="136.4149528490004"/>
        <n v="201.11937213726779"/>
        <n v="917.42580682028677"/>
        <n v="3285.5796616503708"/>
        <n v="759.91108596699144"/>
        <n v="6496.3686293713299"/>
        <n v="666.92909869802668"/>
        <n v="1833.36548432779"/>
        <n v="8517.6863506128648"/>
        <n v="7918.6127432198527"/>
        <n v="4206.5685471324614"/>
        <n v="1366.935191595483"/>
        <n v="16649.887329977741"/>
        <n v="5313.888892106349"/>
        <n v="13360.547087113961"/>
        <n v="2242.3487701748768"/>
        <n v="2898.0542674985641"/>
        <n v="1645.1193611903291"/>
        <n v="335.10006990084099"/>
        <n v="350.8098427316649"/>
        <n v="1787.326662165525"/>
        <n v="6.4353689366286408"/>
        <n v="1363.843108800738"/>
        <n v="4141.7682964776577"/>
        <n v="61.941978330649121"/>
        <n v="108.35981568683989"/>
        <n v="498.21152243894039"/>
        <n v="332.58934438669888"/>
        <n v="4052.1694754771761"/>
        <n v="334.19310826296402"/>
        <n v="1193.651252958452"/>
        <n v="2027.4981825987561"/>
        <n v="1643.37729928472"/>
        <n v="61.578204347325922"/>
        <n v="27.995419922757119"/>
        <n v="6646.1076641180616"/>
        <n v="25965.641726160011"/>
        <n v="20205.969923000619"/>
        <n v="1673.7834283502741"/>
        <n v="1578.5019008587531"/>
        <n v="4714.5007467095311"/>
        <n v="109.49049451432251"/>
        <n v="703.54675911505331"/>
        <n v="1121.190136289672"/>
        <n v="547.96354673914789"/>
        <n v="46.997936961831321"/>
        <n v="3858.6934918921738"/>
        <n v="1048.1363359095981"/>
        <n v="3024.2389349058581"/>
        <n v="6280.5772534721946"/>
        <n v="660.60972168777869"/>
        <n v="53.771460489610988"/>
        <n v="729.20060532091418"/>
        <n v="1175.6957952026739"/>
        <n v="1077.9250187934961"/>
        <n v="35.515503318366719"/>
        <n v="386.3284256188756"/>
        <n v="215.451588499998"/>
        <n v="311.18330703673689"/>
        <n v="2976.0580144497899"/>
        <n v="2129.0073737079301"/>
        <n v="40.47171868776455"/>
        <n v="1239.9315258910781"/>
        <n v="1030.463210812354"/>
        <n v="784.61147208215766"/>
        <n v="674.03815688529096"/>
        <n v="240.8442050593292"/>
        <n v="3596.2273541151221"/>
        <n v="491.83243806336441"/>
        <n v="167.52894483376349"/>
        <n v="30.151652470483761"/>
        <n v="51.41256303468078"/>
        <n v="176.66014487674769"/>
        <n v="1290.83308215376"/>
        <n v="245.84600049167659"/>
        <n v="596.31866500042213"/>
        <n v="307.51903808679708"/>
        <n v="59.86184709978005"/>
        <n v="286.19547840609721"/>
        <n v="163.45463669774111"/>
        <n v="697.0231748508761"/>
        <n v="571.90002199818434"/>
        <n v="910.54789203641508"/>
        <n v="20.364317206897571"/>
        <n v="5647.0570024841672"/>
        <n v="577.55551048796144"/>
        <n v="1963.4073049036881"/>
        <n v="43.5935611525098"/>
        <n v="27.107041642758649"/>
        <n v="187.767960166195"/>
        <n v="760.3732893627091"/>
        <n v="701.63096866305818"/>
        <n v="137.02907741710411"/>
        <n v="2252.3121276710899"/>
        <n v="1527.8322514290869"/>
        <n v="997.15067745032377"/>
        <n v="838.92056221937548"/>
        <n v="870.71579076216653"/>
        <n v="97.865931845259524"/>
        <n v="1218.569623947709"/>
        <n v="3766.2457575492749"/>
        <n v="12772.425252900781"/>
        <n v="268.05085702157442"/>
        <n v="15426.80498536396"/>
        <n v="786.12438505278817"/>
        <n v="323.49292042246628"/>
        <n v="14.600386708899849"/>
        <n v="322.85723694217887"/>
        <n v="39.595347546791771"/>
        <n v="119.0549919361203"/>
        <n v="41.655101601687889"/>
        <n v="96.945200475818041"/>
        <n v="388.18484059009069"/>
        <n v="7198.4572785761529"/>
        <n v="999.598868985281"/>
      </sharedItems>
    </cacheField>
    <cacheField name="Nat2018" numFmtId="0">
      <sharedItems containsString="0" containsBlank="1" containsNumber="1" minValue="0.32" maxValue="48098.39"/>
    </cacheField>
    <cacheField name="Nat.2022km2" numFmtId="0">
      <sharedItems containsSemiMixedTypes="0" containsString="0" containsNumber="1" minValue="0.31559999999999999" maxValue="48084.332799999996"/>
    </cacheField>
    <cacheField name="EPL_2025" numFmtId="0">
      <sharedItems/>
    </cacheField>
    <cacheField name="RLE_2022" numFmtId="0">
      <sharedItems count="5">
        <s v="LC"/>
        <s v="VU"/>
        <s v="CR"/>
        <s v="EN"/>
        <s v="Not Evaluated"/>
      </sharedItems>
    </cacheField>
    <cacheField name="RLE_2025" numFmtId="0">
      <sharedItems count="4">
        <s v="LC"/>
        <s v="EN"/>
        <s v="CR"/>
        <s v="VU"/>
      </sharedItems>
    </cacheField>
    <cacheField name="RLE2022_2025" numFmtId="0">
      <sharedItems/>
    </cacheField>
    <cacheField name="Criteria_triggered" numFmtId="0">
      <sharedItems containsBlank="1"/>
    </cacheField>
    <cacheField name="Status_Chang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phale Monyeki" refreshedDate="46222.563307291668" createdVersion="8" refreshedVersion="8" minRefreshableVersion="3" recordCount="463" xr:uid="{E0DA6FC9-7200-4AF3-A120-22739482AD98}">
  <cacheSource type="worksheet">
    <worksheetSource ref="B1:V464" sheet="RLE_full_compiled_adjusted"/>
  </cacheSource>
  <cacheFields count="21">
    <cacheField name="T_MAPCODE" numFmtId="0">
      <sharedItems/>
    </cacheField>
    <cacheField name="A3_fin" numFmtId="0">
      <sharedItems/>
    </cacheField>
    <cacheField name="A3_prclost" numFmtId="0">
      <sharedItems containsSemiMixedTypes="0" containsString="0" containsNumber="1" containsInteger="1" minValue="0" maxValue="96"/>
    </cacheField>
    <cacheField name="A2b_fin" numFmtId="0">
      <sharedItems/>
    </cacheField>
    <cacheField name="A2b_prclost50" numFmtId="0">
      <sharedItems containsSemiMixedTypes="0" containsString="0" containsNumber="1" containsInteger="1" minValue="0" maxValue="95"/>
    </cacheField>
    <cacheField name="B1_fin" numFmtId="0">
      <sharedItems/>
    </cacheField>
    <cacheField name="B2_fin" numFmtId="0">
      <sharedItems/>
    </cacheField>
    <cacheField name="RoD" numFmtId="0">
      <sharedItems containsSemiMixedTypes="0" containsString="0" containsNumber="1" minValue="0" maxValue="1.9"/>
    </cacheField>
    <cacheField name="D3_fin" numFmtId="0">
      <sharedItems/>
    </cacheField>
    <cacheField name="D3_prcdeg" numFmtId="0">
      <sharedItems containsSemiMixedTypes="0" containsString="0" containsNumber="1" containsInteger="1" minValue="0" maxValue="71"/>
    </cacheField>
    <cacheField name="prpinv_max" numFmtId="0">
      <sharedItems containsMixedTypes="1" containsNumber="1" minValue="0" maxValue="0.58037148360180502"/>
    </cacheField>
    <cacheField name="RLE" numFmtId="0">
      <sharedItems/>
    </cacheField>
    <cacheField name="Criteria_triggered" numFmtId="0">
      <sharedItems containsBlank="1"/>
    </cacheField>
    <cacheField name="Criteria_used" numFmtId="0">
      <sharedItems/>
    </cacheField>
    <cacheField name="X1750" numFmtId="0">
      <sharedItems containsSemiMixedTypes="0" containsString="0" containsNumber="1" minValue="0.60199999999999998" maxValue="49834.434399999998"/>
    </cacheField>
    <cacheField name="X2022" numFmtId="0">
      <sharedItems containsSemiMixedTypes="0" containsString="0" containsNumber="1" minValue="0.31719999999999998" maxValue="48084.245199999998"/>
    </cacheField>
    <cacheField name="pnat_2022" numFmtId="0">
      <sharedItems containsSemiMixedTypes="0" containsString="0" containsNumber="1" minValue="4.9251599279547899E-2" maxValue="1.0120702944350199"/>
    </cacheField>
    <cacheField name="ROD9022" numFmtId="0">
      <sharedItems containsSemiMixedTypes="0" containsString="0" containsNumber="1" minValue="0" maxValue="1.9039690894666199"/>
    </cacheField>
    <cacheField name="prclost50_9022" numFmtId="0">
      <sharedItems containsSemiMixedTypes="0" containsString="0" containsNumber="1" containsInteger="1" minValue="0" maxValue="95"/>
    </cacheField>
    <cacheField name="expert_change" numFmtId="0">
      <sharedItems/>
    </cacheField>
    <cacheField name="Field21" caption="Field2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
  <r>
    <s v="Terrestrial"/>
    <s v="Gh3"/>
    <s v="Xhariep Karroid Grassland"/>
    <s v="Dry Highveld Grassland Bioregion"/>
    <s v="Grassland"/>
    <s v="T4"/>
    <s v="T4.5"/>
    <s v="Free State Province and very slightly into the Northern Cape Province: Southern regions including the vicinity of Luckhoff (west), Edenburg (north), Gariep Dam (south) and Smithfield (east). "/>
    <s v="Northern Cape, Free State"/>
    <s v="Endemic to South Africa"/>
    <s v="South Africa"/>
    <s v="Extensive, even or slightly undulating bottomland flats forming a matrix of large landscape patches interrupted by high dolerite sills, koppies and conspicuous ring dykes "/>
    <s v="Seasonal climatic region, with summer rainfall peaking in early autumn, and with overall relatively low MAP (slightly above 410 mm). Some of the localities can, however, reach mean yearly rainfall values as high as 580 mm (Edenburg). MAT around 15°C, but winter frost very common (around 50 days on average). See also climate diagram for Gh 3 Xhariep Karroid Grassland (Figure 8.23)."/>
    <s v="Alternating layers of mudstone and sandstone mostly of the Permian Adelaide Subgroup (Beaufort Group, Karoo Supergroup). Part of the area is covered with soils with diagnostic pedocutanic and prismacutanic (dark clayey) B-horizons and belongs to soil forms such as Estcourt, Rensburg and Oakleaf. In some areas, especially towards the more arid west, patches of calcrete on the soil surface are notable—here the soil forms such as Kimberley and Plooysburg prevail (dwarf karroid shrubs usually concentrate on these areas of limestone-rich patches). The entire area has been classified as Da or Db land types."/>
    <n v="13392.40856081142"/>
    <n v="12392.94"/>
    <n v="12357.0376"/>
    <x v="0"/>
    <s v="LC"/>
    <x v="0"/>
    <s v="LC↔LC"/>
    <m/>
    <s v="Unchanged"/>
  </r>
  <r>
    <s v="Terrestrial"/>
    <s v="Gh11"/>
    <s v="Vredefort Dome Granite Grassland"/>
    <s v="Dry Highveld Grassland Bioregion"/>
    <s v="Grassland"/>
    <s v="T4"/>
    <s v="T4.5"/>
    <s v="Free State and North-West Provinces: Central portion of the Vredefort Dome around Parys and Vredefort. "/>
    <s v="Free State, North West"/>
    <s v="Endemic to South Africa"/>
    <s v="South Africa"/>
    <s v="Slightly undulating plains"/>
    <s v="Warm-temperate, summer-rainfall region, with overall MAP of 594 mm. Summer temperatures are high. Severe frost (38 days per year on average) occurs in winter. See also climate diagram for Gh 11 Vredefort Dome Granite Grassland (Figure 8.23)."/>
    <s v="Granite and gneiss at the core of the Vredefort Dome underlie this area and includes the Inlandsee Gneiss. Various soil types including the Hutton, Mispah and Avalon forms, representing plinthic soils, which can be dystrophic and/or mesotrophic (Ba land type) or eutrophic (Bc land type). Red soils are generally widespread."/>
    <n v="923.56300134244611"/>
    <n v="424.81"/>
    <n v="416.94400000000002"/>
    <x v="1"/>
    <s v="CR"/>
    <x v="1"/>
    <s v="CR↔CR"/>
    <s v="B1i_rod"/>
    <s v="Unchanged"/>
  </r>
  <r>
    <s v="Terrestrial"/>
    <s v="Gd6"/>
    <s v="Drakensberg-Amathole Afromontane Fynbos"/>
    <s v="Drakensberg Grassland Bioregion"/>
    <s v="Grassland"/>
    <s v="T4"/>
    <s v="T4.5"/>
    <s v="KwaZulu-Natal, Eastern Cape and Free State Provinces (presumably also in Lesotho): Series of isolated patches in deeply incised Drakensberg valleys (both in the Northern and Southern Berg) with the southernmost outliers on the Amathole Mountains (Eastern Cape) as well as odd outliers deep into KwaZulu-Natal at high altitude (e.g. Madlozi Mountain) north of Qudeni in the Nkandla District. "/>
    <s v="KwaZulu-Natal, Eastern Cape, Free State"/>
    <s v="Endemic to ZA, Ls, Sz"/>
    <s v="South Africa"/>
    <s v="Steep valleys and escarpment slopes at the head of rivers with small stands in stream gullies and depressions"/>
    <s v="Summer-rainfall region, with MAP 800–1 820 mm (overall regional MAP 1 167 mm). Snowfalls are occasional and summer mists occur frequently. Overall regional MAT of 12.2°C might be misleading since summer days can be quite hot and frost occurs frequently in winter (more than 40 days) and the sheltered position of the afromontane fynbos habitats (steep slopes), often out of direct sun, probably has a profound influence on local microclimate. Hot, dry winds are common from July to October. See also climate diagram for Gd 6 Drakensberg-Amathole Afromontane Fynbos (Figure 8.11)."/>
    <s v="Jurassic basalts (Drakensberg Group) and a variety of Karoo Supergroup sedimentary rocks (mainly sandstone of the Clarens Formation of the Stormberg Group) giving rise to soils of varying depth and nutrient status. Dominant land type Ac, followed by Fa and Ad."/>
    <n v="17.571757723268949"/>
    <n v="21.56"/>
    <n v="21.5428"/>
    <x v="2"/>
    <s v="LC"/>
    <x v="0"/>
    <s v="LC↔LC"/>
    <m/>
    <s v="Unchanged"/>
  </r>
  <r>
    <s v="Terrestrial"/>
    <s v="Gs1"/>
    <s v="Northern Zululand Mistbelt Grassland"/>
    <s v="Sub-Escarpment Grassland Bioregion"/>
    <s v="Grassland"/>
    <s v="T4"/>
    <s v="T4.5"/>
    <s v="KwaZulu-Natal Province: Crests and slopes of the Ngome Mountain range and the Ngoje Mountain surrounding Louwsburg as well as some smaller mountainous areas of Langkrans, KwaCeza, KwaNtimbankulu and Nhlazatshe."/>
    <s v="KwaZulu-Natal"/>
    <s v="Endemic to South Africa"/>
    <s v="South Africa"/>
    <s v="Gentle to steep upper slopes of mountains formed by hard dolerite dykes"/>
    <s v="Summer rainfall, with overall MAP around 960 mm, reaching 1 130 mm in places. Moisture-laden air frequently blows in from the southeast and is forced up 400–500 m over the mountains, creating ‘mistbelt’ conditions (particularly in spring and summer) that contribute to precipitation. MAT is 17.2°C (16–17.4°C) and mean annual range of evaporation is close to 1 790 mm. See also climate diagram for Gs 1 Northern Zululand Mistbelt Grassland (Figure 8.61)."/>
    <s v="Shales and sandstones of the Madzaringwe and Pietermaritzburg Formations (both Karoo Supergroup) as well as intrusive rocks of the Karoo Dolerite Suite. Dominant soil forms are Hutton, Clovelly and Griffin and are well drained, having 15–35% clay in the A-horizon. Dominant land type Ac, followed in importance by Fa and Ab."/>
    <n v="539.24406347416664"/>
    <n v="283.32"/>
    <n v="281.48680000000002"/>
    <x v="0"/>
    <s v="EN"/>
    <x v="2"/>
    <s v="EN↔EN"/>
    <s v="B1i_rod"/>
    <s v="Unchanged"/>
  </r>
  <r>
    <s v="Terrestrial"/>
    <s v="Gm17"/>
    <s v="Barberton Montane Grassland"/>
    <s v="Mesic Highveld Grassland Bioregion"/>
    <s v="Grassland"/>
    <s v="T4"/>
    <s v="T4.5"/>
    <s v="Mpumalanga Province and northwestern Swaziland: From Barberton westwards towards Nelshoogte, northwards along the high-lying grassland areas towards Kaapmuiden and Malelane, and southeast towards Piggs Peak. It generally occurs at high altitudes in the Barberton region, ranging from 760 m in the north to 1 640 m in the southwest."/>
    <s v="Mpumalanga"/>
    <s v="Endemic to ZA, Ls, Sz"/>
    <s v="South Africa"/>
    <s v="This unit occurs along the high mountains above Barberton, which rise above the surrounding Lowveld. The terrain is steep, rugged and accessibility is limited. "/>
    <s v="Early summer rainfall, concentrated between November and March. MAP varies between 950 mm in the west, to 1 470 mm in the east (overall MAP 1 194 mm). Frosts are very infrequent during winter (3 days per year) and increase towards the west (10 days). Hot dry winds occur from August to October. See also climate diagram for Gm 17 Barberton Montane Grassland (Figure 8.36)."/>
    <s v="Barberton Supergroup schists, gneiss, felspathic quartzites and various lavas of the Figtree, Moodies, and Onverwacht Formations. Land types Fa (60%) and Ac (20%)."/>
    <n v="1087.405504716018"/>
    <n v="807.44"/>
    <n v="805.17759999999998"/>
    <x v="2"/>
    <s v="LC"/>
    <x v="0"/>
    <s v="LC↔LC"/>
    <m/>
    <s v="Unchanged"/>
  </r>
  <r>
    <s v="Terrestrial"/>
    <s v="Gm11"/>
    <s v="Rand Highveld Grassland"/>
    <s v="Mesic Highveld Grassland Bioregion"/>
    <s v="Grassland"/>
    <s v="T4"/>
    <s v="T4.5"/>
    <s v="Gauteng, North-West, Free State and Mpumalanga Provinces: In areas between rocky ridges from Pretoria to Witbank, extending onto ridges in the Stoffberg and Roossenekal regions as well as west of Krugersdorp centred in the vicinity of Derby and Potchefstroom, extending southwards and northeastwards from there."/>
    <s v="Gauteng"/>
    <s v="Endemic to South Africa"/>
    <s v="South Africa"/>
    <s v="Highly variable landscape with extensive sloping plains and a series of ridges slightly elevated over undulating surrounding plains. "/>
    <s v="Strongly seasonal summer-rainfall, warm-temperate region, with very dry winters. MAP is 654 mm, ranging between 570 mm and 730 mm, slightly lower in the western regions. The coefficient of variation of MAP is 28% in the west and 26–27% in the east, and varies only slightly from 25% to 29% across the unit. The incidence of frost is higher in the west (30–40 days) than in the east (10–35 days). See also climate diagram for Gm 11 Rand Highveld Grassland (Figure 8.36)."/>
    <s v="Quartzite ridges of the Witwatersrand Supergroup and the Pretoria Group as well as the Selons River Formation of the Rooiberg Group (last two are of the Transvaal Supergroup), supporting soils of various quality (shallow Glenrosa and Mispah forms especially on rocky ridges), typical of Ba, Bc, Bb and Ib land types."/>
    <n v="10508.964779777951"/>
    <n v="4432.2700000000004"/>
    <n v="4209.3108000000002"/>
    <x v="0"/>
    <s v="VU"/>
    <x v="3"/>
    <s v="VU↔VU"/>
    <s v="A3_nat"/>
    <s v="Unchanged"/>
  </r>
  <r>
    <s v="Terrestrial"/>
    <s v="Gh2"/>
    <s v="Aliwal North Dry Grassland"/>
    <s v="Dry Highveld Grassland Bioregion"/>
    <s v="Grassland"/>
    <s v="T4"/>
    <s v="T4.5"/>
    <s v="Eastern Cape and Free State Provinces: In the broad surrounds of Aliwal North, running in an east-west direction along the northern foothills of the Stormberg Plateau, extending northwards up the Caledon River Valley in the Free State to around Wepener and De Wetsdorp. "/>
    <s v="Eastern Cape, Free State"/>
    <s v="Endemic to South Africa"/>
    <s v="South Africa"/>
    <s v="Broken terrain and irregular plains"/>
    <s v="Overall MAP 510 mm, reaching 600 mm in Wepener (northeastern region of the unit), falling predominantly during summer. MAT around 14°C, with more than 50 days of frost. See also climate diagram for Gh 2 Aliwal North Dry Grassland (Figure 8.23)."/>
    <s v="Alternating layers of mudstone and sandstone of the Tarkastad Subgroup (Beaufort Group, Karoo Supergroup) dominate the undulating topography. In areas protected from erosion, a sandy layer also covers the clayey subsoils. About two thirds of the soils of the area is dominated by soils with diagnostic pedocutanic and prismacutanic (dark clayey) B-horizons of the Db land type. In this land type the dominant soil forms are Estcourt, Rensburg and Oakleaf forms. Dominant land type Db, followed by Da."/>
    <n v="7162.5171160854961"/>
    <n v="5694.28"/>
    <n v="5660.3984"/>
    <x v="1"/>
    <s v="LC"/>
    <x v="0"/>
    <s v="LC↔LC"/>
    <m/>
    <s v="Unchanged"/>
  </r>
  <r>
    <s v="Terrestrial"/>
    <s v="Gm24"/>
    <s v="Northern Escarpment Afromontane Fynbos"/>
    <s v="Mesic Highveld Grassland Bioregion"/>
    <s v="Grassland"/>
    <s v="T4"/>
    <s v="T4.5"/>
    <s v="Limpopo and Mpumalanga Provinces: Restricted distribution from the peaks of Thabakgolo Mountains above Penge, southwards along highest peaks only, through Mariepskop and as far south as Graskop. Also found in fragments on the summits of the Blouberg and Soutpansberg Mountains (the latter unmapped). "/>
    <s v="Mpumalanga, Limpopo"/>
    <s v="Endemic to South Africa"/>
    <s v="South Africa"/>
    <s v="patches of high-lying quartzite ridges that experience frequent mist. Terrain is very rocky and fires are very rare."/>
    <s v="Summer rainfall generally greater than 1 400 mm, augmented by mist during large parts of the year. Temperature cooler than surrounding areas (MAT 15.6ºC). Frosts infrequent. See climate diagram for Gm 24 Northern Escarpment Afromontane Fynbos (Figure 8.36)."/>
    <s v="Predominantly quartzite of the Black Reef Formation and the Wolkberg Group but also on the westerly Timeball Hill Formation and other quartzitic formations of the Pretoria Group (Transvaal Supergroup). The overwhelmingly dominant land type is Ib, with Ac having a subordinate position."/>
    <n v="10.003434092670981"/>
    <n v="9.34"/>
    <n v="9.3420000000000005"/>
    <x v="2"/>
    <s v="LC"/>
    <x v="0"/>
    <s v="LC↔LC"/>
    <m/>
    <s v="Unchanged"/>
  </r>
  <r>
    <s v="Terrestrial"/>
    <s v="Gm23"/>
    <s v="Northern Escarpment Quartzite Sourveld"/>
    <s v="Mesic Highveld Grassland Bioregion"/>
    <s v="Grassland"/>
    <s v="T4"/>
    <s v="T4.5"/>
    <s v="Limpopo and Mpumalanga Provinces: Occurring along the high-altitude crests of the Northern Escarpment, from Haenertsburg in the north, southeastwards, then bending southwards past Blyde River Canyon, Graskop and as far south as the vicinity of Kaapsehoop. "/>
    <s v="Mpumalanga, Limpopo"/>
    <s v="Endemic to South Africa"/>
    <s v="South Africa"/>
    <s v="The landscape is characteristically very rugged, with steep east-facing cliffs. This escarpment is intersected in some areas with large east-flowing rivers."/>
    <s v="Summer rainfall, but orographic effects enhance precipitation (overall regional MAP 1 176 mm). Mist common along the highest areas. Warm-temperate climate (MAT 16.6ºC), with infrequent frost. See also climate diagram for Gm 23 Northern Escarpment Quartzite Sourveld (Figure 8.36)."/>
    <s v="Black Reef Group and Wolkberg Group quartzite (formed 2.5 gya and occurring at the base of the Transvaal Supergroup), covered with shallow rocky soils of the Mispah form. Dominant land type Ab, with Ib, Fa and Ac of subordinate importance."/>
    <n v="1373.914028813457"/>
    <n v="763.06"/>
    <n v="759.84799999999996"/>
    <x v="3"/>
    <s v="LC"/>
    <x v="0"/>
    <s v="LC↔LC"/>
    <m/>
    <s v="Unchanged"/>
  </r>
  <r>
    <s v="Terrestrial"/>
    <s v="Gm19"/>
    <s v="Sekhukhune Montane Grassland"/>
    <s v="Mesic Highveld Grassland Bioregion"/>
    <s v="Grassland"/>
    <s v="T4"/>
    <s v="T4.5"/>
    <s v="Mpumalanga Province: continuous undulating norite hills in the Roossenekal region, from Stoffberg in the south, northwards through Mapochs Gronde to Schurinksberg in the north, with the Steelpoort River in the west. A"/>
    <s v="Mpumalanga"/>
    <s v="Endemic to South Africa"/>
    <s v="South Africa"/>
    <s v="Major chains of hills transect the area and have a north-south orientation, creating moderately steep slopes with predominantly eastern and western aspects. Large norite boulders and stones cover the shallow soils on the hillsides"/>
    <s v="This unit experiences a similar climate to the adjacent Lydenburg Montane Grassland, although frost incidence decreases towards the north. Summer-rainfall regime with the MAP from about 720 mm in the east to 600 mm in the west, much of the rain falling in the form of thunderstorms in summer from November to January. Mean daily temperature ranges from a minimum of 2.8ºC in winter to a maximum of 24.9ºC in summer. Daily temperatures vary considerably at different localities, with higher temperatures on the plains and lower temperatures on higher-lying plateaus. See also climate diagram for Gm 19 Sekhukhune Montane Grassland (Figure 8.36)."/>
    <s v="The area mostly overlies the mafic intrusive rocks of the Upper and Main Zones of the Rustenburg Layered Suite, which is economically the most important part of the Bushveld Igneous Complex (Vaalian Erathem). The west of this area is dominated by diorite and gabbro (often magnetite-rich) of the Roossenekal Subsuite, whereas the east is dominated by gabbro and norite of the Dsjate Subsuite. In the extreme northeast of the area are metasediments of the Pretoria Group (also Vaalian Erathem) that were metamorphosed by the intrusion of the Bushveld Igneous Complex. Substrates of the undulating hills are generally heterogeneous rocky areas with miscellaneous soil types and those of the southern plains have diagnostic horizons that are vertic, melanic or red-structured. Dominant soil forms have a high clay content and include Arcadia, Mayo, Milkwood, Mispah, Shortlands and Steendal. Ea land type covers 40% of the area, with minor occurrences of Ib and Ab."/>
    <n v="1380.8778192068371"/>
    <n v="858.1"/>
    <n v="847.08320000000003"/>
    <x v="1"/>
    <s v="LC"/>
    <x v="0"/>
    <s v="LC↔LC"/>
    <m/>
    <s v="Unchanged"/>
  </r>
  <r>
    <s v="Terrestrial"/>
    <s v="Gm20"/>
    <s v="Leolo Summit Sourveld"/>
    <s v="Mesic Highveld Grassland Bioregion"/>
    <s v="Grassland"/>
    <s v="T4"/>
    <s v="T4.5"/>
    <s v="Limpopo Province: Discontinuous summits on the Leolo Mountain range, which forms an extension to the norite massif of the Dwars River Mountains further south. Sekhukhune is the major town in the vicinity and lies on the western foot slopes of the mountain. "/>
    <s v="Limpopo"/>
    <s v="Endemic to South Africa"/>
    <s v="South Africa"/>
    <s v="Summit plateaus on a major mountain range with steep slopes. Large norite boulders and stones cover the shallow soils on the hillsides and plateau"/>
    <s v="This area experiences a similar climate to the Gm 18 Lydenburg Montane Grassland. MAP 694 mm with about half of the rain falling as thunderstorms in summer from November to January. Mean daily temperatures on the summit are considerably lower than those of the surrounding Steelpoort River Valley. See also climate diagram for Gm 20 Leolo Summit Sourveld (Figure 8.36)."/>
    <s v="Underlain by the banded gabbros, norites and anorthosites of the Dsjate Subsuite of the Rustenburg Layered Suite (part of the Vaalian Bushveld Igneous Complex). The Dsjate Subsuite forms part of the Main Zone of the Rustenburg Layered Suite. Substrates of the undulating plateau are soils of especially the Mayo and Oakleaf forms in the flat areas, with miscellaneous rocky soil forms, such as Glenrosa and Mispah, occurring on the mountain slopes. Dominant soil forms have a high clay content. The almost exclusive land type is Fb."/>
    <n v="20.344407559302699"/>
    <n v="19.010000000000002"/>
    <n v="18.3932"/>
    <x v="1"/>
    <s v="LC"/>
    <x v="0"/>
    <s v="LC↔LC"/>
    <m/>
    <s v="Unchanged"/>
  </r>
  <r>
    <s v="Terrestrial"/>
    <s v="Gm28"/>
    <s v="Soutpansberg Summit Sourveld"/>
    <s v="Mesic Highveld Grassland Bioregion"/>
    <s v="Grassland"/>
    <s v="T4"/>
    <s v="T4.5"/>
    <s v="Limpopo Province: Confined to the higher-lying crests and plateaus situated above 1 200 m above sea level and include the highest peaks on the Soutpansberg (Letjuma, 1 747 m) and still higher Blouberg (2 051 m)."/>
    <s v="Limpopo"/>
    <s v="Endemic to South Africa"/>
    <s v="South Africa"/>
    <s v="Rugged summit crests and adjacent steep rocky slopes"/>
    <s v="Summer rainfall, with most rain falling between November and February. Van Wyk &amp; Smith (2001) mention precipitation to be as high as 2 000 mm on the highest peaks. The higher-lying crests and ridges are exposed to strong winds. During the summer months, these winds carry moisture in from the Indian Ocean, covering the vegetation in mist almost daily. During the prolonged dry season, the prevailing winds cause dehydration and desiccation of the soils and vegetation (Hahn 2002). Frost infrequent and MAT 16–17°C. See also climate diagram for Gm 28 Soutpansberg Summit Sourveld (Figure 8.36)."/>
    <s v="Sandstone, quartzite and shale of Mokolian age (Soutpansberg Group, Wyllie’s Poort Formation) giving rise to extremely shallow, coarse-sand Glenrosa and Mispah soils. These soils drain quickly, leading to leached and acidic conditions. The impermeable rock beds on the relatively flat plateaus often prevent water from draining away, leading to the formation of temporary rock pools. The deeper soils may function as sponges, slowly releasing water to feed mountain streams over prolonged periods. Dominant land type Ib, with Fa of minor importance."/>
    <n v="93.885647007039864"/>
    <n v="91.64"/>
    <n v="91.573599999999999"/>
    <x v="2"/>
    <s v="LC"/>
    <x v="0"/>
    <s v="LC↔LC"/>
    <m/>
    <s v="Unchanged"/>
  </r>
  <r>
    <s v="Terrestrial"/>
    <s v="Gm14"/>
    <s v="Wakkerstroom Montane Grassland"/>
    <s v="Mesic Highveld Grassland Bioregion"/>
    <s v="Grassland"/>
    <s v="T4"/>
    <s v="T4.5"/>
    <s v="KwaZulu-Natal and Mpumalanga Provinces: Occurring from the Escarpment just north of Sheepmoor (north), to southeast of Utrecht, and then from the vicinity of Volksrust in the west to Mandhlangampisi Mountain near Luneburg in the east. "/>
    <s v="KwaZulu-Natal, Mpumalanga"/>
    <s v="Endemic to South Africa"/>
    <s v="South Africa"/>
    <s v="This unit is a less obvious continuation of the Escarpment that links the southern and northern Drakensberg escarpments. It straddles this divide and is comprised of low mountains and undulating plains."/>
    <s v="Rainfall peaks in midsummer. Rainfall 800–1 250 mm per year (MAP 902 mm). This unit experiences an orographic effect which results in a locally higher precipitation than the adjacent areas. Winters very cold and summers mild (MAT 14ºC). See also climate diagram for Gm 14 Wakkerstroom Montane Grassland (Figure 8.36)."/>
    <s v="The mudstones, sandstones and shale of the Madzaringwe and Volksrust Formations (Karoo Supergroup) were intruded by voluminous Jurassic dolerite dykes and sills. Ac land type dominant, while Fa and Ca are of subordinate importance."/>
    <n v="3750.414909285003"/>
    <n v="2989.78"/>
    <n v="2950.1035999999999"/>
    <x v="0"/>
    <s v="LC"/>
    <x v="0"/>
    <s v="LC↔LC"/>
    <m/>
    <s v="Unchanged"/>
  </r>
  <r>
    <s v="Terrestrial"/>
    <s v="Gh1"/>
    <s v="Karoo Escarpment Grassland"/>
    <s v="Dry Highveld Grassland Bioregion"/>
    <s v="Grassland"/>
    <s v="T4"/>
    <s v="T4.5"/>
    <s v="Eastern, Northern and Western Cape Province: Occurs on the Karoo Escarpment, running in an east-west direction from Molteno to Noupoort in the north, and from Somerset East in a northwesterly direction towards Nieu-Bethesda. Also found on the north-facing slopes of the Winterberg Mountains around Tarkastad. The westernmost locality is on the highest-altitude flat-topped mesas of the Escarpment in the Karoo National Park near Beaufort West."/>
    <s v="Eastern Cape, Western Cape"/>
    <s v="Endemic to South Africa"/>
    <s v="South Africa"/>
    <s v="Mountain summits, low mountains and hills"/>
    <s v="Rainfall showing minor (possibly insignificant) peaks in March and November–December. Very dry winters. MAP 300–580 mm, increasing from west to east as well as with increasing elevation. The coefficient of variation of MAP 27–36% across the unit. The incidence of frost is from less than 20 to more than 100 days, the higher values occurring at higher elevation. There may be a number of days of snow per year, especially at higher elevations and near the edge of the Great Escarpment. See also climate diagram for Gh 1 Karoo Escarpment Grassland (Figure 8.23)."/>
    <s v="Shallow soils typical of Ib, Fb and Fc land types on mudstones and sandstones of the Beaufort Group (Karoo Supergroup). Jurassic dolerite intrusions form ridges in the area."/>
    <n v="8370.6292519208018"/>
    <n v="8151.04"/>
    <n v="8138.6859999999997"/>
    <x v="2"/>
    <s v="LC"/>
    <x v="0"/>
    <s v="LC↔LC"/>
    <m/>
    <s v="Unchanged"/>
  </r>
  <r>
    <s v="Terrestrial"/>
    <s v="Gm2"/>
    <s v="Senqu Montane Shrubland"/>
    <s v="Mesic Highveld Grassland Bioregion"/>
    <s v="Grassland"/>
    <s v="T4"/>
    <s v="T4.5"/>
    <s v=" Lesotho as well as in Eastern Cape and Free State Provinces (only marginal patches): Mainly in the lower Senqu Valley, particularly in the Moyeni (Quthing)–Mount Moorosi regions, strongly attenuating upstream northwards in the direction of Thaba-Tseka. Extends into South Africa mainly south of the Orange River (continuation of the Senqu River from Lesotho) in the Herschel District. This shrubland unit covers the valley slopes of the Senqu River as well as its numerous tributaries. "/>
    <s v="Eastern Cape, Free State"/>
    <s v="Endemic to ZA, Ls, Sz"/>
    <s v="South Africa"/>
    <s v="Restricted to steep, boulder-strewn slopes of valleys and deep gullies"/>
    <s v="Summer rainfall, with overall MAP of 687 mm. Much of the rainfall is convectional. Cool-temperate thermic pattern (MAT around 13°C), with 52 days of frost incidence. See also climate diagram for Gm 2 Senqu Montane Shrubland (Figure 8.36)."/>
    <s v="Karoo Supergroup sedimentary rocks of the Clarens, Elliot and Molteno Formations as the Senqu River cuts through the landscape in the low-lying southwestern regions. Intrusive Drakensberg Group (Jurassic) basalts at high altitudes at the interface with the Gd 8 Lesotho Highland Basalt Grassland. Dominant land type Fa, followed by the Ea. The most common soil forms that dominate these land types are Mispah and Glenrosa."/>
    <n v="720.67173999937279"/>
    <n v="2797.85"/>
    <n v="2818.7503999999999"/>
    <x v="1"/>
    <s v="LC"/>
    <x v="0"/>
    <s v="LC↔LC"/>
    <m/>
    <s v="Unchanged"/>
  </r>
  <r>
    <s v="Terrestrial"/>
    <s v="Gm29"/>
    <s v="Waterberg-Magaliesberg Summit Sourveld"/>
    <s v="Mesic Highveld Grassland Bioregion"/>
    <s v="Grassland"/>
    <s v="T4"/>
    <s v="T4.5"/>
    <s v="Limpopo and North-West Provinces and marginally into Gauteng: Isolated patches on summits of the Waterberg (including the Sandrivierberge, Hoekberge, Hanglipberge and Swaershoekberge), Pilanesberg (not mapped) and Magaliesberg."/>
    <s v="Limpopo, Gauteng, North West"/>
    <s v="Endemic to South Africa"/>
    <s v="South Africa"/>
    <s v="Higher slopes and summit positions including crests, and steep rocky scarps and cliff faces"/>
    <s v="Summer rainfall, with MAP 710 mm. Cool-temperate climate (MAT close to 16°C) due to higher altitude. Frost fairly infrequent. See also climate diagram for Gm 29 Waterberg-Magaliesberg Summit Sourveld (Figure 8.36)."/>
    <s v="Acidic sandy, loamy to gravel soil derived from coarse, clastic sedimentary sandstone, quartzite, conglomerate or shale of the Kransberg Subgroup (Waterberg Group, Mokolian Erathem). Ib and Fa land types (both 42%) are co-dominant, with Ac covering a smaller area (12%)."/>
    <n v="523.25160575754967"/>
    <n v="507.5"/>
    <n v="502.77519999999998"/>
    <x v="2"/>
    <s v="LC"/>
    <x v="0"/>
    <s v="LC↔LC"/>
    <m/>
    <s v="Unchanged"/>
  </r>
  <r>
    <s v="Terrestrial"/>
    <s v="Gm25"/>
    <s v="Woodbush Granite Grassland"/>
    <s v="Mesic Highveld Grassland Bioregion"/>
    <s v="Grassland"/>
    <s v="T4"/>
    <s v="T4.5"/>
    <s v=" Limpopo Province: Occurs on the Woodbush Plateau and its outliers, to the north of the Wolkberg, on the Groot Letaba watershed west of Duiwelskloof, Tzaneen and Lenyenye. "/>
    <s v="Limpopo"/>
    <s v="Endemic to South Africa"/>
    <s v="South Africa"/>
    <s v="Mountainous plateau"/>
    <s v="Summer rainfall, with MAP from 700 mm in the east to 1 500 mm in the west (MAP 1 166 mm), with peak in January. Some precipitation may also occur in winter. Mist is common and there is an orographic effect on the Escarpment. Temperature is generally lower in the west than in the east (overall MAT 16.6ºC). Frost infrequent. See also climate diagram for Gm 25 Woodbush Granite Grassland (Figure 8.36)."/>
    <s v="Archaean granite, gneiss and greenstone basement: Turfloop granite (Randian) and relicts of Goudplaats gneiss (Swazian) and occasional dolerite dykes or sills, and quartz veins. Dominant land type Ab, with Hutton (Glenrosa and Shortlands) soils."/>
    <n v="430.62024668910641"/>
    <n v="107.56"/>
    <n v="103.6888"/>
    <x v="0"/>
    <s v="CR"/>
    <x v="1"/>
    <s v="CR↔CR"/>
    <s v="B1i_rod"/>
    <s v="Unchanged"/>
  </r>
  <r>
    <s v="Terrestrial"/>
    <s v="Gm26"/>
    <s v="Wolkberg Dolomite Grassland"/>
    <s v="Mesic Highveld Grassland Bioregion"/>
    <s v="Grassland"/>
    <s v="T4"/>
    <s v="T4.5"/>
    <s v="Limpopo Province: Occurs along the summit of the Strydpoort and Wolkberg Mountains, from the Lekgalameetse Nature Reserve in the east, along the dolomite belt to Mogodi in the west. "/>
    <s v="Limpopo"/>
    <s v="Endemic to South Africa"/>
    <s v="South Africa"/>
    <s v="Series of broad mountain ridges, broad elevated plateaus and adjacent slopes"/>
    <s v="Summer-rainfall regime, 560–980 mm (MAP 772 mm). The adjacent Escarpment catches most of the orographic precipitation (fog, orographic rain), hence this area falls within a rainshadow. Frost infrequent. See also climate diagram for Gm 26 Wolkberg Dolomite Grassland (Figure 8.36)."/>
    <s v="Malmani dolomites of the Chuniespoort Group (Transvaal Supergroup) form the underlying geology of this area. Dominant land types Ib and Ab, with Fa of subordinate importance."/>
    <n v="260.60100879181141"/>
    <n v="242.8"/>
    <n v="242.20840000000001"/>
    <x v="2"/>
    <s v="LC"/>
    <x v="0"/>
    <s v="LC↔LC"/>
    <m/>
    <s v="Unchanged"/>
  </r>
  <r>
    <s v="Terrestrial"/>
    <s v="Gm1"/>
    <s v="Zastron Moist Grassland"/>
    <s v="Mesic Highveld Grassland Bioregion"/>
    <s v="Grassland"/>
    <s v="T4"/>
    <s v="T4.5"/>
    <s v="Eastern Cape and Free State Provinces and Lesotho: Surrounds of Zastron, extends just short of Van Stadensrus (north) to Mohales Hoek (northeast) and Rouxville (west). A narrow corridor extends south towards Jamestown and Dordrecht. "/>
    <s v="Eastern Cape, Free State"/>
    <s v="Endemic to ZA, Ls, Sz"/>
    <s v="South Africa"/>
    <s v="Undulating plains, broken in places due to sandstone outcrops forming extensive terraces"/>
    <s v="Summer rainfall which peaks in March. MAP 615 mm. MAT of 14°C indicates cool-temperate climate. The inland position of the unit results in high thermic continentality: summers are very hot, while winter can be bitterly cold. Frost is a common phenomenon. See also climate diagram for Gm 1 Zastron Moist Grassland (Figure 8.36)."/>
    <s v="Relatively deep sandy layer over the sandstone layers of the Tarkastad Subgroup (Molteno and Elliot Formations) of the Beaufort Group (Karoo Supergroup). Typical soil forms present on these sandstone terraces are Clovelly and Avalon. Clayey soils, which were formed by weathering and leaching processes, are concentrated in low-lying drainage lines, valley bottoms and depressions. Db land type dominates, with typical soil forms such as Estcourt and Oakleaf forms present. Fb and Ca land types of minor importance."/>
    <n v="3571.9428480433239"/>
    <n v="2730.91"/>
    <n v="2813.2815999999998"/>
    <x v="1"/>
    <s v="LC"/>
    <x v="0"/>
    <s v="LC↔LC"/>
    <m/>
    <s v="Unchanged"/>
  </r>
  <r>
    <s v="Terrestrial"/>
    <s v="Gs8"/>
    <s v="Mooi River Highland Grassland"/>
    <s v="Sub-Escarpment Grassland Bioregion"/>
    <s v="Grassland"/>
    <s v="T4"/>
    <s v="T4.5"/>
    <s v="KwaZulu-Natal Province: Centre of occurrence in the Mooi River Basin, several scattered large patches near Underberg and Greytown, and on the Helpmekaar Plateau southeast of Dundee."/>
    <s v="KwaZulu-Natal"/>
    <s v="Endemic to South Africa"/>
    <s v="South Africa"/>
    <s v="Mainly rolling and partly broken landscape"/>
    <s v="The region has a MAP of 785 mm, falling mostly in summer. Mist and snow are not frequent. Overall MAT is slightly higher than 14°C. Light, but relatively frequent (30 days per year) frosts may occur for six months in the year (Camp 1999b). See also climate diagram for Gs 8 Mooi River Highland Grassland (Figure 8.61)."/>
    <s v="A mosaic of generally shallow and poorly drained soils derived from sedimentary rocks, mostly of the Adelaide Subgroup (Beaufort Group) of the Karoo Sequence. Deep well-drained apedal soils of the intrusive igneous rocks of the Karoo Dolerite Suite also occur. Almost half of the area is classified as Ac land type, followed by Bb and to lesser extent also Fa."/>
    <n v="2862.4254677118561"/>
    <n v="1683.76"/>
    <n v="1664.0576000000001"/>
    <x v="0"/>
    <s v="EN"/>
    <x v="2"/>
    <s v="EN↔EN"/>
    <s v="B1i_rod"/>
    <s v="Unchanged"/>
  </r>
  <r>
    <s v="Terrestrial"/>
    <s v="Gd7"/>
    <s v="uKhahlamba Basalt Grassland"/>
    <s v="Drakensberg Grassland Bioregion"/>
    <s v="Grassland"/>
    <s v="T4"/>
    <s v="T4.5"/>
    <s v="KwaZulu-Natal and to a small extent also the Free State and Eastern Cape Provinces and very slightly in Lesotho: Uppermost slopes of the Drakensberg Mountains just below the edge of the highland plateau. "/>
    <s v="KwaZulu-Natal, Eastern Cape, Free State"/>
    <s v="Endemic to ZA, Ls, Sz"/>
    <s v="South Africa"/>
    <s v="steepof slopes"/>
    <s v="Summer rainfall, with MAP 830–1 820 mm (overall regional MAP 1 234 mm). Great temperature differences between summer (some days with temperature exceeding 30°C) and winter, characterised by occurrence of snow (does not persist for long on steep exposed slopes) and frequent frost (55 days per year). Morning summer mists are also frequent, but so are hot, dry winds from July to October. Depending on altitude and aspect, the climate characteristics vary considerably. See also climate diagram for Gd 7 uKhahlamba Basalt Grassland (Figure 8.11)."/>
    <s v="Jurassic Basalts of the Drakensberg Group (Karoo Supergroup)—a result of prolonged volcanic activity accompanying the birth of the African continent by breaking from Gondwana. Deep nutrient-rich soils are formed on less steep slopes, while basalt outcrops usually do not carry any fine soil, except for shallow pockets of basalt rubble. Dominant land type Fa, followed by Ac and Ic."/>
    <n v="1343.3254191944229"/>
    <n v="1345.46"/>
    <n v="1345.884"/>
    <x v="2"/>
    <s v="LC"/>
    <x v="0"/>
    <s v="LC↔LC"/>
    <m/>
    <s v="Unchanged"/>
  </r>
  <r>
    <s v="Terrestrial"/>
    <s v="Gh5"/>
    <s v="Bloemfontein Dry Grassland"/>
    <s v="Dry Highveld Grassland Bioregion"/>
    <s v="Grassland"/>
    <s v="T4"/>
    <s v="T4.5"/>
    <s v="Free State Province: South-central part of the province, with Bloemfontein more or less centrally. Extending from Petrusburg in the west to the Rustfontein Dam in the east and from Reddersburg in the south to the Soetdoring Nature Reserve in the north. "/>
    <s v="Free State"/>
    <s v="Endemic to South Africa"/>
    <s v="South Africa"/>
    <s v="Slightly undulating bottomland landscape"/>
    <s v="Summer-rainfall region, with MAP around 450 mm. Most of the rainfall is of convectional origin and peaks in late summer. Overall MAT is within warm-temperate ranges (nearly 16°C), with high incidence of frost in winter. See also climate diagram for Gh 5 Bloemfontein Dry Grassland (Figure 8.23)."/>
    <s v="Sedimentary mudstones and layers of sandstone mainly of the Adelaide Subgroup (Beaufort Group, Karoo Supergroup). Volksrust Formation mudstones of the Ecca Group (also Karoo Supergroup) dominate the western part of the area. Deep (&gt;300 mm) layer of red sand (aeolian origin) covers the more clayey B-horizons. Soil forms such as arable Hutton, Bainsvlei and Bloemdal occur here and are typical of the Ca land type. The Ea land type has shallow gravelly soils underlain by dolerite sills. Ca and Ae land types are nearly equally represented."/>
    <n v="4949.6194229920402"/>
    <n v="2610.64"/>
    <n v="2576.7836000000002"/>
    <x v="0"/>
    <s v="LC"/>
    <x v="0"/>
    <s v="LC↔LC"/>
    <m/>
    <s v="Unchanged"/>
  </r>
  <r>
    <s v="Terrestrial"/>
    <s v="Gm5"/>
    <s v="Basotho Montane Shrubland"/>
    <s v="Mesic Highveld Grassland Bioregion"/>
    <s v="Grassland"/>
    <s v="T4"/>
    <s v="T4.5"/>
    <s v="Free State Province, Lesotho and very marginally into KwaZulu-Natal Province: Foothills of the west-facing Drakensberg (also Maloti) and mainly on the slopes of mesas over a wide area in the vicinity of Zastron in the southwest, the surrounds of Mafeteng, Hobhouse, Maseru, Roma, Ladybrand, Clocolan, Excelsior, Ficksburg, Butha-Buthe, Fouriesburg, Paul Roux, Bethlehem, Phuthaditjhaba as far as Harrismith in the northeast. This shrubland unit covers extensive areas in deeply incised river valleys of western Lesotho, especially those opening towards the south and west. "/>
    <s v="KwaZulu-Natal, Free State"/>
    <s v="Endemic to ZA, Ls, Sz"/>
    <s v="South Africa"/>
    <s v="Steep talus slopes and kloofs of the mesas and other mountain flanks"/>
    <s v="This unit receives more than 720 mm of MAP. Wepener and Harrismith score 629 and 624 mm, respectively, while some patches found closer to the Maloti Mountain range (such as on Qwaqwa Mountain near Phuthaditjhaba) may receive more than 1 400 mm in particularly wet years. Most of the rain falls in summer and much of it as convectional rain, with torrential storms. The overall MAT is 13.7°C. Summers are wet and hot, while winters are (as a rule) dry and with frequent frost. Snowfall is a rare event. See also climate diagram for Gm 5 Basotho Montane Shrubland (Figure 8.36)."/>
    <s v="The upper layers of the mudstones and sandstones of the Molteno, Elliot and Clarens Formations (Stormberg Group, Karoo Supergroup). The variations in weathering rates of the rocks resulted in the formation of numerous terraces along the slopes. In places the dolerite dykes cut through the thick sandstones, resulting in the formation of sheltered ravines. The soil surface is strewn with sandstone rocks and boulders. Ib land type, characterised by miscellaneous soil forms, specially the Mispah, and Glenrosa forms, is dominant. Other land types of minor occurrence are Fa, Bb and Db."/>
    <n v="1777.299996766691"/>
    <n v="2457.4499999999998"/>
    <n v="2462.3627999999999"/>
    <x v="0"/>
    <s v="LC"/>
    <x v="0"/>
    <s v="LC↔LC"/>
    <m/>
    <s v="Unchanged"/>
  </r>
  <r>
    <s v="Terrestrial"/>
    <s v="Gs2"/>
    <s v="Ithala Quartzite Sourveld"/>
    <s v="Sub-Escarpment Grassland Bioregion"/>
    <s v="Grassland"/>
    <s v="T4"/>
    <s v="T4.5"/>
    <s v="KwaZulu-Natal and Mpumalanga Provinces and Swaziland: Confined to large quartzite patches that occur from Amsterdam, southwards east of Piet Retief and through Mahamba, to the Paris Dam and Ithala Game Reserve, with isolated outcrops near Magudu. "/>
    <s v="KwaZulu-Natal, Mpumalanga"/>
    <s v="Endemic to ZA, Ls, Sz"/>
    <s v="South Africa"/>
    <s v="Low mountain ranges and undulating hills with rocky lowlands."/>
    <s v="Rainfall peaks in midsummer. MAP from about 1 200 mm in the west to 570 mm in the east (MAP 795 mm). Frost does occur, but is infrequent. See also climate diagram for Gs 2 Ithala Quartzite Sourveld (Figure 8.61)."/>
    <s v="Quartzite of the Mozaan Group (Pongola Supergroup) of the Randian age supporting shallow soils typical of Fb (prevalent) and Fa (marginal) land types."/>
    <n v="1058.0109055538239"/>
    <n v="1246.79"/>
    <n v="1242.8516"/>
    <x v="3"/>
    <s v="LC"/>
    <x v="0"/>
    <s v="LC↔LC"/>
    <m/>
    <s v="Unchanged"/>
  </r>
  <r>
    <s v="Terrestrial"/>
    <s v="Gm10"/>
    <s v="Egoli Granite Grassland"/>
    <s v="Mesic Highveld Grassland Bioregion"/>
    <s v="Grassland"/>
    <s v="T4"/>
    <s v="T4.5"/>
    <s v="Gauteng Province: Johannesburg Dome extending in the region between northern Johannesburg in the south, and from near Lanseria Airport and Centurion (south of Pretoria) to the north, westwards to about Muldersdrif and eastwards to Tembisa. "/>
    <s v="Gauteng"/>
    <s v="Endemic to South Africa"/>
    <s v="South Africa"/>
    <s v="Moderately undulating plains and low hills "/>
    <s v="Strongly seasonal summer-rainfall region, with very dry winters. MAP 620–800 mm (overall average 680 mm). The coefficient of variation in MAP from 24–27% across the unit. Incidence of frost frequent, but higher in the south than the north. See also climate diagram for Gm 10 Egoli Granite Grassland (Figure 8.36)."/>
    <s v="Archaean granite and gneiss of the Halfway House Granite at the core of the Johannesburg Dome supporting leached, shallow, coarsely grained, sandy soil poor in nutrients of Glenrosa form. Small area is built by ultramafics. Dominant land types Bb and Ba."/>
    <n v="1093.189288068425"/>
    <n v="196.6"/>
    <n v="183.07480000000001"/>
    <x v="0"/>
    <s v="CR"/>
    <x v="1"/>
    <s v="CR↔CR"/>
    <s v="B1i_rod"/>
    <s v="Unchanged"/>
  </r>
  <r>
    <s v="Terrestrial"/>
    <s v="Gm16"/>
    <s v="KaNgwane Montane Grassland"/>
    <s v="Mesic Highveld Grassland Bioregion"/>
    <s v="Grassland"/>
    <s v="T4"/>
    <s v="T4.5"/>
    <s v="Mpumalanga and Swaziland, and marginally into northern KwaZulu-Natal: Occurs along the gentle slopes of the Escarpment, from the Phongolo Valley in the south, northwards to the Usutu Valley and to the uppermost Lomati Valley near Carolina, including the western grassland areas of Swaziland. "/>
    <s v="KwaZulu-Natal, Mpumalanga"/>
    <s v="Endemic to ZA, Ls, Sz"/>
    <s v="South Africa"/>
    <s v="Largely comprised of undulating hills and plains that occur on the eastern edge of the Escarpment"/>
    <s v="Early summer rainfall, with MAP 910 mm, ranging between 800 and 1 250 mm. This unit has a wide range of frost frequency (3–20 days per year), with most frost days occurring in the western regions. See also climate diagram for Gm 16 KaNgwane Montane Grassland (Figure 8.36)."/>
    <s v="Mostly on granite of the Mpuluzi Granite (Randian Erathem), Archaean gneiss giving rise to melanic soils, with intrusions of diabase. Land types Ac, Fa and Ba."/>
    <n v="6124.0567902125704"/>
    <n v="5385.12"/>
    <n v="5329.0375999999997"/>
    <x v="0"/>
    <s v="EN"/>
    <x v="2"/>
    <s v="EN↔EN"/>
    <s v="B1i_rod"/>
    <s v="Unchanged"/>
  </r>
  <r>
    <s v="Terrestrial"/>
    <s v="Gs14"/>
    <s v="Mthatha Moist Grassland"/>
    <s v="Sub-Escarpment Grassland Bioregion"/>
    <s v="Grassland"/>
    <s v="T4"/>
    <s v="T4.5"/>
    <s v="Eastern Cape Province: Plains between Mthatha and Butterworth parallel to the coastline and excluding the river valleys that intrude landwards into this unit. "/>
    <s v="Eastern Cape"/>
    <s v="Endemic to South Africa"/>
    <s v="South Africa"/>
    <s v="Undulating plains and hills"/>
    <s v="Summer rainfall, with MAP 600–970 mm. The coefficient of variation of MAP 25–30% across the unit, but drops to approximately 15% on the southeast-facing inland mountain slopes. Incidence of frost 2–14 days, but is higher further from the coast. See also climate diagram for Gs 14 Mthatha Moist Grassland (Figure 8.61)."/>
    <s v="Mudstones of the Tarkastad and Adelaide Subgroups (Beaufort Group, Karoo Supergroup) underlie this area, with highly leached soils typical of the Fa land type."/>
    <n v="5281.6423145616918"/>
    <n v="2178.5"/>
    <n v="2135.8667999999998"/>
    <x v="1"/>
    <s v="EN"/>
    <x v="2"/>
    <s v="EN↔EN"/>
    <s v="B1i_rod"/>
    <s v="Unchanged"/>
  </r>
  <r>
    <s v="Terrestrial"/>
    <s v="Gd2"/>
    <s v="Amathole Mistbelt Grassland"/>
    <s v="Drakensberg Grassland Bioregion"/>
    <s v="Grassland"/>
    <s v="T4"/>
    <s v="T4.5"/>
    <s v="Eastern Cape Province: On the highest ridges of the Winterberg, Katberg, Amathole and Kologha ranges. "/>
    <s v="Eastern Cape"/>
    <s v="Endemic to South Africa"/>
    <s v="South Africa"/>
    <s v="Mountains and moderately undulating slopes below peaks, often with ridges of rock or boulder outcrops. "/>
    <s v="Bimodal spring-autumn rainfall pattern although rain can fall at any time of the year, and it increases from west to east as well as with increasing elevation. Coefficient of variation in MAP from 15–29% across the unit. MAP 550–1 100 mm (overall regional average 750 mm). Precipitation supplemented by orographically induced precipitation (mist and drizzle). MAT of 13°C indicates a cool-temperate climate. Incidence of frost is 20–95 days (average 42) per year, but the probability of the frost occurrence is higher in the western regions of the unit. See also climate diagram for Gd 2 Amathole Mistbelt Grassland (Figure 8.11)."/>
    <s v="Deep, freely drained, highly weathered soils overlying the Beaufort Group (predominantly Triassic Tarkastad Subgroup) sedimentary rocks. Dominant land type Fb (two thirds of the region), Ib land type covers about a third."/>
    <n v="158.3267541667779"/>
    <n v="153.97999999999999"/>
    <n v="153.55879999999999"/>
    <x v="1"/>
    <s v="LC"/>
    <x v="0"/>
    <s v="LC↔LC"/>
    <m/>
    <s v="Unchanged"/>
  </r>
  <r>
    <s v="Terrestrial"/>
    <s v="Gh7"/>
    <s v="Winburg Grassy Shrubland"/>
    <s v="Dry Highveld Grassland Bioregion"/>
    <s v="Grassland"/>
    <s v="T4"/>
    <s v="T4.5"/>
    <s v="Free State Province: Series of larger patches between Trompsburg through Bloemfontein and Winburg to Ventersburg. "/>
    <s v="Free State"/>
    <s v="Endemic to South Africa"/>
    <s v="South Africa"/>
    <s v="Solitary hills, slopes and escarpments of mesas "/>
    <s v="Summer-rainfall region, with MAP around 500 mm. Much of the rainfall is of convectional origin. Overall MAT is slightly higher than 15°C, with more than 40 days of frost in winter. See also climate diagram for Gh 7 Winburg Grassy Shrubland (Figure 8.23)."/>
    <s v="Extensive dolerite sills forming ridges, plateaus and slopes of koppies, and small escarpments marking the erosion terraces. The sills cover alternating layers of mudstone and sandstone of sedimentary origin (Adelaide Subgroup of the Beaufort Group). Prominent soil forms are the stony Mispah and gravel-rich Glenrosa derived from Jurassic dolerite. Dominating land type Ea, with Dc also present in places."/>
    <n v="1571.9833787517071"/>
    <n v="1295.9000000000001"/>
    <n v="1286.2911999999999"/>
    <x v="0"/>
    <s v="LC"/>
    <x v="0"/>
    <s v="LC↔LC"/>
    <m/>
    <s v="Unchanged"/>
  </r>
  <r>
    <s v="Terrestrial"/>
    <s v="Gh9"/>
    <s v="Western Free State Clay Grassland"/>
    <s v="Dry Highveld Grassland Bioregion"/>
    <s v="Grassland"/>
    <s v="T4"/>
    <s v="T4.5"/>
    <s v="Free State Province: Region covering part of the western Bloemfontein District (south), Boshof (southwest), Hertzogville (west), Wesselsbron (north) and Brandfort (east) and consisting of three main areas, of which the southern and middle sections are separated by a slightly elevated area (dolerite hills) between Hertzogville, Boshof and Soutpan. The Vet River Valley separates the middle and northern sections and all three sections are separated from one another by belts of Gh 10 Vaal-Vet Sandy Grassland. "/>
    <s v="Free State"/>
    <s v="Endemic to South Africa"/>
    <s v="South Africa"/>
    <s v="Restricted to flat bottomlands "/>
    <s v="Seasonal rainfall concentrated from November–March (overall MAP 450 mm). Cool temperate regime with MAT 16–17°C. Occurrence of frost frequent. See also climate diagram for Gh 9 Western Free State Clay Grassland (Figure 8.23)."/>
    <s v="Deposits of sandstone, mudstone and shale (Volksrust Formation, Ecca Group) underlie extensive areas of flat to undulating plains, interrupted by dolerite sills in places. No rivers or streams drain away from these plains, and all the water drains into the numerous playas (pans)—a unique feature of this landscape. Dry, clayey, duplex soils typical of land types Da, Db and Dc. Fc land type also occurs."/>
    <n v="7074.3610315951091"/>
    <n v="5354.99"/>
    <n v="5306.8680000000004"/>
    <x v="0"/>
    <s v="LC"/>
    <x v="0"/>
    <s v="LC↔LC"/>
    <m/>
    <s v="Unchanged"/>
  </r>
  <r>
    <s v="Terrestrial"/>
    <s v="Gd3"/>
    <s v="Stormberg Plateau Grassland"/>
    <s v="Drakensberg Grassland Bioregion"/>
    <s v="Grassland"/>
    <s v="T4"/>
    <s v="T4.5"/>
    <s v="Eastern Cape Province: Gently sloping landscapes on the Stormberg Plateau north of Molteno and Dordrecht, east of Burgersdorp and extending northwards not much beyond Jamestown. "/>
    <s v="Eastern Cape"/>
    <s v="Endemic to South Africa"/>
    <s v="South Africa"/>
    <s v="Relatively flat to undulating landscape with hills and mountain peaks jutting above the general landscape."/>
    <s v="Variable. The rainfall pattern shows a spring-autumn bimodality with overall MAP 540 mm. There is an east-west rainfall gradient across this vegetation unit from 450 mm in the west to over 700 mm in the east. Coefficient of variation of MAP 30%, varying only slightly from 26–31% across the unit. MAT of nearly 13°C indicates a cool-temperate regime, with climate becoming extremely cold in places. One of the coldest recorded minimum temperatures in South Africa was –18.9°C at Buffelsfontein in the centre of this unit. Frosts can occur at any time of the year, but with a low probability in summer. Incidence of frost from 30–75 days, increasing with elevation. See also climate diagram for Gd 3 Stormberg Plateau Grassland (Figure 8.11)."/>
    <s v="Generally shallow soils (typical of Fb, Da and Db land types), with variable amounts of soil skeleton and overlying mudstones and sandstones of the Elliot Formation and in some areas also of the Molteno Formation (Stormberg Group, Karoo Supergroup)."/>
    <n v="2966.2451847220018"/>
    <n v="2408.59"/>
    <n v="2409.3244"/>
    <x v="1"/>
    <s v="LC"/>
    <x v="0"/>
    <s v="LC↔LC"/>
    <m/>
    <s v="Unchanged"/>
  </r>
  <r>
    <s v="Terrestrial"/>
    <s v="Gs6"/>
    <s v="KwaZulu-Natal Highland Thornveld"/>
    <s v="Sub-Escarpment Grassland Bioregion"/>
    <s v="Grassland"/>
    <s v="T4"/>
    <s v="T4.5"/>
    <s v="KwaZulu-Natal Province: A series of several patches in the central-northern regions of KwaZulu-Natal, where it occurs on both dry valleys and moist upland. The most extensive area is found in the region from Ladysmith, Winterton, Estcourt and Colenso, between Mooi River and Greytown, between Pomeroy and Babanago, and further north in a triangle between Vryheid, Paulpietersburg and Louwsburg as well as a large patch around Newcastle. "/>
    <s v="KwaZulu-Natal"/>
    <s v="Endemic to South Africa"/>
    <s v="South Africa"/>
    <s v="Hilly, undulating landscapes and broad valleys "/>
    <s v="Summer rainfall. MAP about 750 mm (79 rain days per year; Camp 1999c). The midwinter months of June and July have 2.6 rain days on average. Much of the summer precipitation comes in form of thunderstorms (63 and 56 thunderstorm days per year for Ladysmith and Estcourt, respectively). Mist is uncommon (14 days of mist per year for both Ladysmith and Estcourt). MAT 15.6–19.0°C (overall average 16.5°C). Summers are warm to hot, winters are cool. There are 15 frost days per year. The mean annual evaporation recorded at Estcourt is 1 725 mm, while the range for the entire vegetation unit is 1 706–1 918 mm (Camp 1999c), the overall average 1 830 mm. See also climate diagram for Gs 6 KwaZulu-Natal Highland Thornveld (Figure 8.61)."/>
    <s v="A variety of Karoo Supergroup rocks occur in the area, including the Dwyka, Ecca and Beaufort Groups and marginally also Jurassic dolerite intrusions. Yellow-brown soils over plinthic subsoil and shallow duplex soils are common. Red and black heavy soils are derived from dolerites and show high resistance to erosion. The unit falls within various land types, including Ca, Fb, Fa, Db and Bb."/>
    <n v="5227.4643666380152"/>
    <n v="3281.68"/>
    <n v="3303.5868"/>
    <x v="0"/>
    <s v="LC"/>
    <x v="0"/>
    <s v="LC↔LC"/>
    <m/>
    <s v="Unchanged"/>
  </r>
  <r>
    <s v="Terrestrial"/>
    <s v="Gs15"/>
    <s v="Tsomo Grassland"/>
    <s v="Sub-Escarpment Grassland Bioregion"/>
    <s v="Grassland"/>
    <s v="T4"/>
    <s v="T4.5"/>
    <s v="Eastern Cape Province: In the region to the east of the Queenstown Basin. The villages of Tsomo, Cala and Engcobo define the eastern extent of this unit and Cathcart, Queenstown and Sterkstroom the western extent. This vegetation unit occupies the plains in between the mountain peaks and ridges in this region. "/>
    <s v="Eastern Cape"/>
    <s v="Endemic to South Africa"/>
    <s v="South Africa"/>
    <s v="Flat or gently undulating lowland plains intersected by mountains. "/>
    <s v="Late summer rainfall, although some rain may fall at other times of the year. MAP 430–790 mm, increasing from west to east. The coefficient of variation in MAP 25–31% across the unit. Incidence of frost is variable (7–65 days), but is higher in the northwest. See also climate diagram for Gs 15 Tsomo Grassland (Figure 8.61)."/>
    <s v="Mudstones of the Tarkastad Subgroup (Karoo Supergroup) overlain mostly by soils of moderate depth typical of Fb and Db land types."/>
    <n v="6137.2502388644634"/>
    <n v="3739.96"/>
    <n v="3707.9951999999998"/>
    <x v="1"/>
    <s v="LC"/>
    <x v="0"/>
    <s v="LC↔LC"/>
    <m/>
    <s v="Unchanged"/>
  </r>
  <r>
    <s v="Terrestrial"/>
    <s v="Gh12"/>
    <s v="Vaal Reefs Dolomite Sinkhole Woodland"/>
    <s v="Dry Highveld Grassland Bioregion"/>
    <s v="Grassland"/>
    <s v="T4"/>
    <s v="T4.5"/>
    <s v="North-West and Free State Provinces: Small area associated with the dolomite sinkholes in and around Stilfontein and Orkney (Vaal Reefs). The Vaal River forms the southern distribution limit of this vegetation unit. "/>
    <s v="Free State, North West"/>
    <s v="Endemic to South Africa"/>
    <s v="South Africa"/>
    <s v="Slightly undulating landscape dissected by prominent rocky chert ridge"/>
    <s v="Warm-temperate summer-rainfall region, with overall MAP around 560 mm. The summer temperatures are high. Severe frequent frost occurs in winter. See also climate diagram for Gh 12 Vaal Reefs Dolomite Sinkhole Woodland (Figure 8.23)."/>
    <s v="This area occurs almost exclusively on the dolomites of the Malmani Subgroup (Chuniespoort Group, Transvaal Supergroup), where underground dissolution of the rock causes sinkholes. More than 50% of the main soil types are relatively shallow (50–150 mm) and rocky, with the dominant soil forms Mispah, Glenrosa and shallow Hutton. The latter soils are associated with the Fa land type."/>
    <n v="329.48863220621718"/>
    <n v="245.28"/>
    <n v="221.10560000000001"/>
    <x v="1"/>
    <s v="LC"/>
    <x v="0"/>
    <s v="LC↔LC"/>
    <m/>
    <s v="Unchanged"/>
  </r>
  <r>
    <s v="Terrestrial"/>
    <s v="Gd10"/>
    <s v="Drakensberg Afroalpine Heathland"/>
    <s v="Drakensberg Grassland Bioregion"/>
    <s v="Grassland"/>
    <s v="T4"/>
    <s v="T4.5"/>
    <s v="Lesotho and very marginally also in KwaZulu-Natal Province: The highest plateaus and mountain ridges above an altitude of about 2 900 m in northeastern Lesotho. This includes the highest mountain in southern Africa (Thabana-Ntlenyana, 3 482 m). Further away from the edge of the Drakensberg Escarpment it is particularly extensive in the area of the Tlaeen Pass and Pass of Guns (between Mokhotlong and Oxbow) with good examples visible on the Kotisephola Pass (between Sani Pass top and Mokhotlong), Mafika-Lisiu Pass (between Lejone and Pitseng) and Matebeng Pass (between Sehlabathebe and Sehonghong). "/>
    <s v="KwaZulu-Natal"/>
    <s v="Endemic to ZA, Ls, Sz"/>
    <s v="South Africa"/>
    <s v="Rolling plateaus with steep slopes in places"/>
    <s v="Summer rainfall, but subject to some precipitation from cold fronts in winter. MAP has a considerable range, with 1 609 mm at the top of the Organ Pipes Pass on the Escarpment at 2 927 m elevation, and only 634 mm at a point 365 m higher at 3 292 m, but between 15 and 20 km away from the Escarpment edge (Killick 1979). There is thus a rapid decline in MAP from near (2–3 km) the edge of the Escarpment (but further in the Oxbow area) to the interior even at higher elevations (Bawden &amp; Carrol 1968, Chakela 1999). The mean annual temperature of about 4.0°C is lower than that of any of the other vegetation units. Frost occurs probably more than half the year, including occasionally in summer. Letseng-la-Terae, at an altitude of 3 000 m, holds the record for the lowest temperature ever recorded in Lesotho (–20.4°C in June 1967). See also climate diagram for Gd 10 Drakensberg Afroalpine Heathland (Figure 8.11)."/>
    <s v="The area occurs entirely on basalt of the Drakensberg Group (Karoo Supergroup). Soils are Mollisols indicating an Udic moisture regime and frigid temperature regime. Frost action is important in alpine soil formation (Mokuku 1991). The freezing and thawing of the soil heaves the soil material, resulting in gradual removal of finer soil particles downslope, mainly from the existing micro-erosion terraces. Soils derived from the basalt have fairly even proportions of coarse sand, fine sand, silt, clay and, importantly, organic matter (around 20%). In many areas the soil is shallow, with surface rock, including some areas with mostly rock rubble, for example on Thabana-Ntlenyana (Killick 1990)."/>
    <n v="78.864808084464897"/>
    <n v="2752.36"/>
    <n v="2753.5056"/>
    <x v="2"/>
    <s v="LC"/>
    <x v="0"/>
    <s v="LC↔LC"/>
    <m/>
    <s v="Unchanged"/>
  </r>
  <r>
    <s v="Terrestrial"/>
    <s v="Gh4"/>
    <s v="Besemkaree Koppies Shrubland"/>
    <s v="Dry Highveld Grassland Bioregion"/>
    <s v="Grassland"/>
    <s v="T4"/>
    <s v="T4.5"/>
    <s v="Northern Cape, Free State and Eastern Cape Provinces: On plains of Eastern Upper Karoo (between Richmond and Middelburg in the south and the Orange River) and within dry grasslands of the southern and central Free State. Extensive dolerite-dominated landscapes along the upper Orange River belong to this unit as well. Extends northwards to around Fauresmith in the northwest and to the Wepener District in the northeast. "/>
    <s v="Eastern Cape, Northern Cape, Free State"/>
    <s v="Endemic to South Africa"/>
    <s v="South Africa"/>
    <s v="Slopes of koppies, butts and tafelbergs"/>
    <s v="Due to the large extent of the area, the rainfall pattern differs slightly from west to east. Seasonal summer rainfall prevails when the patches are found embedded within other units of the Grassland Biome, but the southern and southwestern regions show hints of bimodal climate patterns typical of the Nama-Karoo. Far more importantly, despite an overall MAP of almost 400 mm, MAP ranges from about 280 mm in the west (De Aar) to more than double, 580 mm, in the east (Edenburg). Much of the rainfall is of convectional origin. MAT 15°C. See also climate diagram for Gh 4 Besemkaree Koppies Shrubland (Figure 8.23)."/>
    <s v="Dolerite koppies and sills embedded within Karoo Supergroup sediments. The dolerite dykes and sills are igneous intrusions that are the result of extensive volcanic activity, which accompanied the break-up of Gondwana in the Jurassic. In places the slopes of mesas and butts carrying this vegetation type have a mixed geology where dolerites occur together with sandstones and mudstones of the Ecca and Beaufort Groups. Fb land type covers almost 60% of the area, followed by Ib."/>
    <n v="9677.8416945754834"/>
    <n v="9230.92"/>
    <n v="9249.1435999999994"/>
    <x v="0"/>
    <s v="LC"/>
    <x v="0"/>
    <s v="LC↔LC"/>
    <m/>
    <s v="Unchanged"/>
  </r>
  <r>
    <s v="Terrestrial"/>
    <s v="Gs7"/>
    <s v="Income Sandy Grassland"/>
    <s v="Sub-Escarpment Grassland Bioregion"/>
    <s v="Grassland"/>
    <s v="T4"/>
    <s v="T4.5"/>
    <s v="KwaZulu-Natal Province: In a large triangle between Newcastle, Vryheid and Dundee and larger polygon in the Wasbank area in northern KwaZulu-Natal. "/>
    <s v="KwaZulu-Natal"/>
    <s v="Endemic to South Africa"/>
    <s v="South Africa"/>
    <s v="Very flat extensive areas with generally shallow, poorly drained, sandy soils"/>
    <s v="Region of summer rainfall, with most precipitation occurring between October and March (overall MAP 750 mm; range 650–800 mm), much of which falls as thundershowers often accompanied by hail. MAT is just below 17°C, and mean annual evaporation 1 845 mm. Frost moderate (Camp 1999c). See also climate diagram for Gs 7 Income Sandy Grassland (Figure 8.61)."/>
    <s v="Sandstones and shale of the Madzaringwe Formation (Ecca Group of Karoo Supergroup) supporting poorly drained sandy soils, mostly of the Glenrosa form. Most important land types Ca, Bb and Fb."/>
    <n v="4653.6279676875947"/>
    <n v="2287.1999999999998"/>
    <n v="2366.6648"/>
    <x v="1"/>
    <s v="EN"/>
    <x v="2"/>
    <s v="EN↔EN"/>
    <s v="B1i_rod"/>
    <s v="Unchanged"/>
  </r>
  <r>
    <s v="Terrestrial"/>
    <s v="Gm4"/>
    <s v="Eastern Free State Sandy Grassland"/>
    <s v="Mesic Highveld Grassland Bioregion"/>
    <s v="Grassland"/>
    <s v="T4"/>
    <s v="T4.5"/>
    <s v="Free State Province, Lesotho and marginally into KwaZulu-Natal Province: Ladybrand (west) to the base of foothills of the Drakensberg (Maloti) and the Escarpment in the vicinity of Harrismith (east) and Mafeteng (south). The towns of Marquard, Paul Roux, Bethlehem, Memel and Vrede bound this unit on its northern border. "/>
    <s v="KwaZulu-Natal, Free State"/>
    <s v="Endemic to ZA, Ls, Sz"/>
    <s v="South Africa"/>
    <s v="Flat to slightly undulating and undulating terrain with streams and rivers that drain the foothills of the Drakensberg."/>
    <s v="Summer-rainfall region, with MAP around 700 mm. Much of the precipitation falls in form of thunderstorms between November and March. Great differences between the average temperatures in winter and summer as well as very frequent occurrence of frost confirm a continental climate. See also description of climate for Gm 3 Eastern Free State Clay Grassland and climate diagram for Gm 4 Eastern Free State Sandy Grassland (Figure 8.36)."/>
    <s v="Mudstones, sandstones and shale of the Beaufort Group (Tarkastad Formation in the south and Adelaide Formation in the north). Glenrosa, Bonheim, Avalon and Mayo soil forms dominate the outcrops and slightly elevated areas while Sepane, Arcadia and Rensburg soil forms are typical for moist bottomlands. Major land types Bb, Bd and Ca."/>
    <n v="11278.49878955267"/>
    <n v="7511.39"/>
    <n v="7447.9579999999996"/>
    <x v="0"/>
    <s v="LC"/>
    <x v="0"/>
    <s v="LC↔LC"/>
    <m/>
    <s v="Unchanged"/>
  </r>
  <r>
    <s v="Terrestrial"/>
    <s v="Gh8"/>
    <s v="Bloemfontein Karroid Shrubland"/>
    <s v="Dry Highveld Grassland Bioregion"/>
    <s v="Grassland"/>
    <s v="T4"/>
    <s v="T4.5"/>
    <s v="Free State and Mpumalanga (only in the southwest) Provinces: An archipelago of isolated patches found on koppies, butts and ridges embedded mainly within dry highveld grasslands in the region extending over large distances between Bloemfontein in the southwest, Verkeerdevlei and Lindley in the southeast, Standerton in the northeast as well as Heilbron and Bultfontein in the northwest. "/>
    <s v="Mpumalanga, Free State"/>
    <s v="Endemic to South Africa"/>
    <s v="South Africa"/>
    <s v="Plateaus or slightly sloping flanks of dolerite outcrops"/>
    <s v="Summer-rainfall area, with MAP close to 570 mm and from 550 mm (Bloemfontein) to 650 mm (Standerton). Much of the rainfall is of convectional origin. MAT 15°C, indicating a warm-temperate climatic regime. Winters can be very cold and frost incidence is high (40 days). See also climate diagram for Gh 8 Bloemfontein Karroid Shrubland (Figure 8.23)."/>
    <s v="Restricted to Jurassic dolerite intrusions (sills) embedded within sediments of the Adelaide Subgroup (Beaufort Group, Karoo Supergroup). Typical feature of this habitat is a shallow (only 1–5 cm thick) layer of sand of aeolian origin that overlies sheets of dolerite. Dominant land type is Ea, followed by Dc and Fa (the last-named on the Karoo Supergroup sediments)."/>
    <n v="80.47587000598763"/>
    <n v="66.760000000000005"/>
    <n v="66.127200000000002"/>
    <x v="3"/>
    <s v="LC"/>
    <x v="0"/>
    <s v="LC↔LC"/>
    <m/>
    <s v="Unchanged"/>
  </r>
  <r>
    <s v="Terrestrial"/>
    <s v="Gs17"/>
    <s v="Tarkastad Montane Shrubland"/>
    <s v="Sub-Escarpment Grassland Bioregion"/>
    <s v="Grassland"/>
    <s v="T4"/>
    <s v="T4.5"/>
    <s v="Eastern Cape and marginally into Northern Cape Province: Noupoort, Middelburg and a point west of Cradock define the western extent of this unit and Cathcart, Queenstown and Sterkstroom the eastern extent. The unit falls within the area between the Great Escarpment in the north, marked by the Bamboesberg and Stormberg Mountains, and the minor escarpment, marked by the Winterberg and Amathole Mountains in the south. "/>
    <s v="Eastern Cape, Northern Cape"/>
    <s v="Endemic to South Africa"/>
    <s v="South Africa"/>
    <s v="Ridges, hills and isolated mountain slopes, characterised by high surface rock cover, this often consisting of large, round boulders. "/>
    <s v="Rainfall in late summer to autumn (peak in February–March). MAP 280–720 mm (overall MAP 470 mm), increasing from west to east. Coefficient of variation of MAP from 22–35% across the unit (31% overall APCV), decreasing with distance eastwards. Incidence of frost 7–68 days (average: 39 days), increasing with proximity to the Escarpment. See also climate diagram for Gs 17 Tarkastad Montane Shrubland (Figure 8.61)."/>
    <s v="Sedimentary rocks of the Tarkastad Subgroup (Beaufort Group, Karoo Supergroup), widely affected by intrusions of Jurassic dolerites forming numerous dykes and sills. Soils typical of land types Ib, Fb and Fc."/>
    <n v="4242.2551770175423"/>
    <n v="4174.24"/>
    <n v="4170.8015999999998"/>
    <x v="0"/>
    <s v="LC"/>
    <x v="0"/>
    <s v="LC↔LC"/>
    <m/>
    <s v="Unchanged"/>
  </r>
  <r>
    <s v="Terrestrial"/>
    <s v="Gm13"/>
    <s v="Amersfoort Highveld Clay Grassland"/>
    <s v="Mesic Highveld Grassland Bioregion"/>
    <s v="Grassland"/>
    <s v="T4"/>
    <s v="T4.5"/>
    <s v="Mpumalanga and KwaZulu-Natal Provinces: This unit extends in a north-south band from just south of Ermelo, down through Amersfoort to the Memel area in south. "/>
    <s v="KwaZulu-Natal, Mpumalanga"/>
    <s v="Endemic to South Africa"/>
    <s v="South Africa"/>
    <s v="Comprised of undulating grassland plains, with small scattered patches of dolerite outcrops in areas."/>
    <s v="Rainfall mainly in early summer, from 620 mm in the west to 830 mm in the east (MAP 694 mm). MAT 14ºC, with temperatures higher in the west than the east. Winters are cold and summers are mild. Incidence of frost very high. Also see climate diagram for Gm 13 Amersfoort Highveld Clay Grassland (Figure 8.36)."/>
    <s v="Restricted to vertic clay soils derived from dolerite that is intrusive in the Karoo sediments of the Madzaringwe Formation in the north and the Volksrust Formation and the Adelaide Subgroup in the south. Dominant land type Ca, while Ea land type is of subordinate importance."/>
    <n v="3927.090912421063"/>
    <n v="2154.81"/>
    <n v="2126.2539999999999"/>
    <x v="0"/>
    <s v="LC"/>
    <x v="0"/>
    <s v="LC↔LC"/>
    <m/>
    <s v="Unchanged"/>
  </r>
  <r>
    <s v="Terrestrial"/>
    <s v="Gh6"/>
    <s v="Central Free State Grassland"/>
    <s v="Dry Highveld Grassland Bioregion"/>
    <s v="Grassland"/>
    <s v="T4"/>
    <s v="T4.5"/>
    <s v="Free State Province and marginally into Gauteng Province: A broad zone from around Sasolburg in the north to Dewetsdorp in the south. Other major settlements located within this unit include Kroonstad, Ventersburg, Steynsrus, Winburg, Lindley and Edenville. "/>
    <s v="Gauteng, Free State"/>
    <s v="Endemic to South Africa"/>
    <s v="South Africa"/>
    <s v="Undulating plains"/>
    <s v="Summer-rainfall seasonal precipitation region, with MAP 560 mm. Much of the rainfall is of convectional origin and peaks in December to January. The overall MAT around 15°C. Incidence of frost relatively high (43 days on average). See also climate diagram for Gh 6 Central Free State Grassland (Figure 8.23)."/>
    <s v="Sedimentary mudstones and sandstone mainly of the Adelaide Subgroup (Beaufort Group, Karoo Supergroup) as well as those of the Ecca Group (Karoo Supergroup) found in the extreme northern section of this grassland, giving rise to vertic, melanic and red soils (typical forms are Arcadia, Bonheim, Kroonstad, Valsrivier and Rensburg)—typical of Dc land type (dominating the landscape). The less common intrusive dolerites of the Jurassic Karoo Dolerite Suite support dry clayey soils typical of the Ea land type."/>
    <n v="16012.89003971584"/>
    <n v="10586.33"/>
    <n v="10488.224399999999"/>
    <x v="0"/>
    <s v="LC"/>
    <x v="0"/>
    <s v="LC↔LC"/>
    <m/>
    <s v="Unchanged"/>
  </r>
  <r>
    <s v="Terrestrial"/>
    <s v="Gd1"/>
    <s v="Amathole Montane Grassland"/>
    <s v="Drakensberg Grassland Bioregion"/>
    <s v="Grassland"/>
    <s v="T4"/>
    <s v="T4.5"/>
    <s v="Eastern Cape Province: The main grassland unit of the Amathole, Winterberg and Kologha Mountains as well as the mountains just north of Somerset East (Bosberg and other outlying peaks). Also found on broken veld between Stutterheim and Komga. "/>
    <s v="Eastern Cape"/>
    <s v="Endemic to South Africa"/>
    <s v="South Africa"/>
    <s v="Low mountain ranges and moderately undulating landscapes"/>
    <s v="Bimodal rainfall pattern with spring and late summer peaks. MAP around 670 mm (range 500–740 mm, up to 1 000 mm in isolated places). Rainfall the highest in high-altitude areas due to orographic factors and becoming lower with reduction in elevation and with distance westwards. Coefficient of variation in rainfall decreases with elevation, and ranges from 15–31% across the unit. Overall MAP close to 15°C. Winter frost is not common in the southeastern part of this unit, but it is more frequent (up to 80 days per year) in the western and northwestern regions. See also climate diagram for Gd 1 Amathole Montane Grassland (Figure 8.11)."/>
    <s v="On sedimentary rocks of the Beaufort Group (Karoo Supergroup) overlaid by deep, freely drained, highly weathered soils (Hartmann 1988). Weakly developed lithosols are also found in places. Most common land types Fb, Fa and Fc."/>
    <n v="5026.9863860965916"/>
    <n v="4246.42"/>
    <n v="4202.8275999999996"/>
    <x v="0"/>
    <s v="LC"/>
    <x v="0"/>
    <s v="LC↔LC"/>
    <m/>
    <s v="Unchanged"/>
  </r>
  <r>
    <s v="Terrestrial"/>
    <s v="Gs13"/>
    <s v="Mabela Sandy Grassland"/>
    <s v="Sub-Escarpment Grassland Bioregion"/>
    <s v="Grassland"/>
    <s v="T4"/>
    <s v="T4.5"/>
    <s v="KwaZulu-Natal and Eastern Cape Provinces: Cedarville Flats (basin draining into Umzimvubu River) in the region of Cedarville-Matatiele (southwestern KwaZulu-Natal) as well as a small area in a basin of Simi and Ramohlakoana in the Kinira River Valley in Transkei (west of Matatiele). Altitude 1 440–1 500 m, but up to 1 550 m in a few places."/>
    <s v="KwaZulu-Natal, Eastern Cape"/>
    <s v="Endemic to South Africa"/>
    <s v="South Africa"/>
    <s v="Flat valley basins with a relatively high proportion of poorly drained soils with a generally low nutrient status"/>
    <s v="Summer rainfall, with MAP of around 710 mm and mean evaporation up to 1 700 mm. MAT 14.4°C. Frost very frequent (40 days per year). See also the climate diagram Gs 13 Mabela Sandy Grassland (Figure 8.61)."/>
    <s v="Tarkastad Subgroup mudstones and sandstones underlie this area to the east as do the Molteno and Elliot Formation sandstones and minor mudstones in the west (all of the Karoo Supergroup). The dominant soils are poorly drained, with a depth of 200–300 mm and a clay content of less than 15%. They are classified into soil forms of Katspruit and Longlands and Oatsdale, Vimy and Clovelly (in well-drained habitats). Most common land types Ia and Ca."/>
    <n v="492.94582584122742"/>
    <n v="155.31"/>
    <n v="148.2508"/>
    <x v="0"/>
    <s v="CR"/>
    <x v="1"/>
    <s v="CR↔CR"/>
    <s v="B1i_rod"/>
    <s v="Unchanged"/>
  </r>
  <r>
    <s v="Terrestrial"/>
    <s v="Gh14"/>
    <s v="Western Highveld Sandy Grassland"/>
    <s v="Dry Highveld Grassland Bioregion"/>
    <s v="Grassland"/>
    <s v="T4"/>
    <s v="T4.5"/>
    <s v="North-West Province: From Mafikeng to Schweizer-Reneke in the south and from Broedersput and Kameel in the west to Lichtenburg and Ottosdal in the east. "/>
    <s v="North West"/>
    <s v="Endemic to South Africa"/>
    <s v="South Africa"/>
    <s v="Flat to gently undulating plains "/>
    <s v="Warm-temperate, summer-rainfall region, with overall MAP of 520 mm. Summer temperatures are high. Severe frequent frost occurs in winter. See also climate diagram for Gh 14 Western Highveld Sandy Grassland (Figure 8.23)."/>
    <s v="Basaltic lavas of the Klipriviersberg Group and andesitic lavas of the Allanridge Formation (both Ventersdorp Supergroup) covered by aeolian sand (western part of the area) or calcrete, with the eutrophic plinthic soils, which are mainly yellow apedals (Avalon and Pinedene) and rarely red apedals (Hutton) or Clovelly in bottomlands. Bd land type dominant."/>
    <n v="9187.4395049273699"/>
    <n v="1522.67"/>
    <n v="3675.6060000000002"/>
    <x v="1"/>
    <s v="EN"/>
    <x v="2"/>
    <s v="EN↔EN"/>
    <s v="B1i_rod"/>
    <s v="Unchanged"/>
  </r>
  <r>
    <s v="Terrestrial"/>
    <s v="Gm22"/>
    <s v="Northern Escarpment Dolomite Grassland"/>
    <s v="Mesic Highveld Grassland Bioregion"/>
    <s v="Grassland"/>
    <s v="T4"/>
    <s v="T4.5"/>
    <s v="Mpumalanga Province: From the high-lying dolomite grasslands of the Abel Erasmus Pass and Motlatse (Blyde) River (Vaalhoek) areas in the north, it extends southwards in a broad dolomite band along the Northern Escarpment, to as far south as the vicinity of Kaapsehoop. "/>
    <s v="Mpumalanga"/>
    <s v="Endemic to South Africa"/>
    <s v="South Africa"/>
    <s v=" Escarpment dolomite belt. "/>
    <s v="Summer rainfall, varying from 700 mm in the north, increasing southwards to 1 420 mm (MAP 1 034 mm). Most of this unit occurs in the mistbelt, with increased precipitation. Warm-temperate climate, with low frequency of frost. Temperature increases northwards, ranging from MAT of 15ºC in the south to 17ºC in the northern regions of the unit. See also climate diagram for Gm 22 Northern Escarpment Dolomite Grassland (Figure 8.36)."/>
    <s v="Malmani dolomites of the Chuniespoort Group (Transvaal Supergroup) which overlies the Black Reef Quartzite Formation. Soils usually have a high pH, are rich in calcium and magnesium, and with low phosphorus status. Deep Hutton and Griffin soil forms are common. Land types Fa, Ab and Ac."/>
    <n v="939.14577306696685"/>
    <n v="354.7"/>
    <n v="352.04160000000002"/>
    <x v="0"/>
    <s v="EN"/>
    <x v="2"/>
    <s v="EN↔EN"/>
    <s v="B1i_rod"/>
    <s v="Unchanged"/>
  </r>
  <r>
    <s v="Terrestrial"/>
    <s v="Gm21"/>
    <s v="Lydenburg Thornveld"/>
    <s v="Mesic Highveld Grassland Bioregion"/>
    <s v="Grassland"/>
    <s v="T4"/>
    <s v="T4.5"/>
    <s v="Mpumalanga Province: Situated in a broad band between the high-lying mountains from just north of Ohrigstad, tapering southwards through Lydenburg to as far south as the area in the vicinity of the Kwena Dam. "/>
    <s v="Mpumalanga"/>
    <s v="Endemic to South Africa"/>
    <s v="South Africa"/>
    <s v="This unit occurs at lower levels at the foot of the mountains and on undulating plains."/>
    <s v="This unit occurs in the rainshadow of the Escarpment, where the climate is much drier and the winters are very cold (MAT 16°C). The rainfall is generally lower than in surrounding areas since it falls within a rainshadow. Rainfall 580–810 mm (MAP 707 mm). Most of this unit experiences fairly infrequent frost. See climate diagram for Gm 21 Lydenburg Thornveld (Figure 8.36)."/>
    <s v="Red clay soils mostly derived from shales of the Pretoria Group (including the Silverton and Timeball Hill Formations). Shales occasionally intersected with bands of quartzite or andesite. Land types Ba, Fa, Ib and Ae, with predominantly Mispah, Glenrosa or Hutton soil forms."/>
    <n v="1551.0820843735371"/>
    <n v="1202.8800000000001"/>
    <n v="1192.7208000000001"/>
    <x v="0"/>
    <s v="LC"/>
    <x v="0"/>
    <s v="LC↔LC"/>
    <m/>
    <s v="Unchanged"/>
  </r>
  <r>
    <s v="Terrestrial"/>
    <s v="Gm9"/>
    <s v="Tsakane Clay Grassland"/>
    <s v="Mesic Highveld Grassland Bioregion"/>
    <s v="Grassland"/>
    <s v="T4"/>
    <s v="T4.5"/>
    <s v="Gauteng and Mpumalanga Provinces: In patches extending in a narrow band from Soweto to Springs, broadening southwards to Nigel and from there towards Vereeniging, as well as north of the Vaal Dam and between Balfour and Standerton (including Willemsdal)."/>
    <s v="Mpumalanga, Gauteng"/>
    <s v="Endemic to South Africa"/>
    <s v="South Africa"/>
    <s v="Flat to slightly undulating plains and low hills."/>
    <s v="Strongly seasonal summer rainfall, with very dry winters. MAP 630–720 mm. The overall MAT of 15°C indicates a transition between a cool-temperate and warm-temperate climate. The incidence of frost frequent, increasing towards the southeast. See also climate diagram for Gm 9 Tsakane Clay Grassland (Figure 8.36)."/>
    <s v="The most significant rock is the basaltic lava of the Klipriviersberg Group (Ventersdorp Supergroup), together with the sedimentary rocks of the Madzaringwe Formation of the Karoo Supergroup. Soils typical of Ba and Bb land types."/>
    <n v="1313.224061964798"/>
    <n v="451.76"/>
    <n v="435.85840000000002"/>
    <x v="0"/>
    <s v="EN"/>
    <x v="2"/>
    <s v="EN↔EN"/>
    <s v="B1i_rod"/>
    <s v="Unchanged"/>
  </r>
  <r>
    <s v="Terrestrial"/>
    <s v="Gm3"/>
    <s v="Eastern Free State Clay Grassland"/>
    <s v="Mesic Highveld Grassland Bioregion"/>
    <s v="Grassland"/>
    <s v="T4"/>
    <s v="T4.5"/>
    <s v="Free State Province and marginally in Lesotho: Low-lying areas of the eastern regions of the province, covering the vicinities of Wepener (south), Petrus Steyn (north), Excelsior and east of Winburg (west) and Warden (east) and a thin extension between Maseru and Fouriesburg. "/>
    <s v="Free State"/>
    <s v="Endemic to ZA, Ls, Sz"/>
    <s v="South Africa"/>
    <s v="Flat to gently rolling land surfaces "/>
    <s v="Summer-rainfall region, with MAP around 630 mm. Much of the precipitation falls in form of thunderstorms between November and March. One of the coldest regions of the Highveld. Frost is very frequent in winter. See also climate diagram for Gm 3 Eastern Free State Clay Grassland (Figure 8.36)."/>
    <s v="Mudstones and sandstones of the Adelaide Formation (Beaufort Group) underlie this flat to slightly undulating terrain in the north, while the Tarkastad Formation (Beaufort Group) dominates the geology in the south. Dolerite dykes and sills as well as sandstone outcrops, resistant to weathering, form isolated hills and ridges (Gm 5 Basotho Montane Shrubland) that create a broken landscape, especially in the southern parts of the unit. Sepane, Arcadia, Estcourt and Rensburg forms dominate the moist bottomlands while the Glenrosa, Bonheim, Avalon, Clovelly and Mayo forms dominate the outcrops and slightly elevated areas. Major land types Ca and Bd."/>
    <n v="14029.071266372939"/>
    <n v="6030.98"/>
    <n v="6008.3459999999995"/>
    <x v="1"/>
    <s v="VU"/>
    <x v="3"/>
    <s v="VU↔VU"/>
    <s v="A3_nat, B1i_rod"/>
    <s v="Unchanged"/>
  </r>
  <r>
    <s v="Terrestrial"/>
    <s v="Gs10"/>
    <s v="Drakensberg Foothill Moist Grassland"/>
    <s v="Sub-Escarpment Grassland Bioregion"/>
    <s v="Grassland"/>
    <s v="T4"/>
    <s v="T4.5"/>
    <s v="KwaZulu-Natal and Eastern Cape Provinces: Broad arc of Drakensberg piedmonts covering the surrounds of Bergville in the north, Nottingham Road, Impendle, Bulwer in the east, and Kokstad, Mount Currie, Underberg (KZN) and the surrounds of Mt Fletcher, Ugie, Maclear and Elliot (Eastern Cape) in the southwest. "/>
    <s v="KwaZulu-Natal, Eastern Cape"/>
    <s v="Endemic to South Africa"/>
    <s v="South Africa"/>
    <s v="Moderately rolling and mountainous, much incised by river gorges of drier vegetation types and by forest"/>
    <s v="Summer rainfall, with MAP almost 890 mm. MAT of 14.6°C and 26 frost days per year are indicative of a cooler, submontane form of warm-temperate climate. See also the climate diagram Gs 10 Drakensberg Foothill Moist Grassland (Figure 8.61)."/>
    <s v="Geology is dominated by mudstones and sandstones of the Tarkastad Subgroup and the Molteno Formation (Karoo Supergroup) as well as intrusive dolerites of Jurassic age. The dominant soils on the sedimentary parent material are well drained, with a depth of more than 800 mm and clay content from 15–55%, representing soil forms such as Hutton, Clovelly, Griffin and Oatsdale. On the volcanic parent material (dolerite) the soils are represented by forms such as Balmoral, Shortlands and Vimy. Most common land types Ac and Fa."/>
    <n v="10944.688361241109"/>
    <n v="7648.24"/>
    <n v="7575.7664000000004"/>
    <x v="0"/>
    <s v="LC"/>
    <x v="0"/>
    <s v="LC↔LC"/>
    <m/>
    <s v="Unchanged"/>
  </r>
  <r>
    <s v="Terrestrial"/>
    <s v="Gs18"/>
    <s v="Bedford Dry Grassland"/>
    <s v="Sub-Escarpment Grassland Bioregion"/>
    <s v="Grassland"/>
    <s v="T4"/>
    <s v="T4.5"/>
    <s v="Eastern Cape Province: South of the Winterberg Mountains from Bruintjieshoogte and Somerset East in the west to Bedford and Adelaide, and to Fort Beaufort in the east. The eastern section lies north of the Great Fish River Valley. "/>
    <s v="Eastern Cape"/>
    <s v="Endemic to South Africa"/>
    <s v="South Africa"/>
    <s v="Gently undulating plains"/>
    <s v="Bimodal rainfall occurring in spring and late summer. MAP 310–550 mm. MAP is relatively uniform across this unit, but increases closer to the mountains and slightly from west to east. The coefficient of variation in MAP varies from 28–35% across the unit. Incidence of frost 3–31 days, higher towards the west than the east. See also climate diagram for Gs 18 Bedford Dry Grassland (Figure 8.61)."/>
    <s v="Loam or clay-loam soils typical of Fc (most of the region) as well as Db and Fb land types on the mudstones and sandstones of the Adelaide Subgroup (Beaufort Group, Karoo Supergroup)."/>
    <n v="1433.9483401712159"/>
    <n v="1409.65"/>
    <n v="1407.4036000000001"/>
    <x v="1"/>
    <s v="LC"/>
    <x v="0"/>
    <s v="LC↔LC"/>
    <m/>
    <s v="Unchanged"/>
  </r>
  <r>
    <s v="Terrestrial"/>
    <s v="Gs9"/>
    <s v="Midlands Mistbelt Grassland"/>
    <s v="Sub-Escarpment Grassland Bioregion"/>
    <s v="Grassland"/>
    <s v="T4"/>
    <s v="T4.5"/>
    <s v="KwaZulu-Natal and Eastern Cape Provinces: KwaZulu-Natal Midlands—scattered in broad belt in the form of several major patches including Melmoth-Babanango area, Kranskop and Greytown, Howick Lions River, Karkloof, Balgowan, Cedara, Edendale, Hilton, Richmond, the Ixopo-Highflats area, Mount Malowe in the Umzimkhulu enclave of the Eastern Cape Province and the Harding-Weza area. The southwesternmost section in the Eastern Cape Province falls in the Bulembu, Gxwaleni, Longweni and Flagstaff areas. "/>
    <s v="KwaZulu-Natal, Eastern Cape"/>
    <s v="Endemic to South Africa"/>
    <s v="South Africa"/>
    <s v="Hilly and rolling landscape mainly associated with a discontinuous east-facing scarp formed by dolerite intrusions (south of the Thukela River)"/>
    <s v="Summer rainfall, with MAP of 915 mm, range 730–1 280 mm. Heavy and frequent occurrence of mist provides significant amounts of additional moisture (Cedara near Pietermaritzburg has 46 misty days per year). Some of the rain is in the form of cold frontal activity, mainly in winter, spring and early summer. Thunderstorms are common in summer and autumn (Cedara: 60 days of thunderstorms per year). Mean annual evaporation 1 463–1 797 mm (Camp 1999a). MAT 15.8°C, absolute minimum temperature was recorded in this region in June (–10.8°C). Frosts are generally moderate, but occasional severe frost may also occur. Further climatic conditions include short-term drought spells, hail and hot northwestern berg winds occurring particularly in spring and early summer. See also climate diagram for Gs 9 Midlands Mistbelt Grassland (Figure 8.61)."/>
    <s v="Apedal and plinthic soil forms derived mostly from Ecca Group (Karoo Supergroup) shale and minor sandstone and less importantly from Jurassic dolerite dykes and sills. Dominant land type Ac, followed by Fa."/>
    <n v="6972.1900453605685"/>
    <n v="2057.89"/>
    <n v="2019.8356000000001"/>
    <x v="0"/>
    <s v="EN"/>
    <x v="2"/>
    <s v="EN↔EN"/>
    <s v="A3_nat"/>
    <s v="Unchanged"/>
  </r>
  <r>
    <s v="Terrestrial"/>
    <s v="Gd8"/>
    <s v="Lesotho Highland Basalt Grassland"/>
    <s v="Drakensberg Grassland Bioregion"/>
    <s v="Grassland"/>
    <s v="T4"/>
    <s v="T4.5"/>
    <s v="Lesotho, Eastern Cape, Free State (and partly also into southern KwaZulu-Natal): Most of the high dissected basalt plateau of Lesotho, including most of the districts of Mokhotlong, Thaba-Tseka, Qacha’s Nek and Quthing and the eastern parts of Butha-Buthe, Leribe, Berea, Maseru, Mafeteng and Mohale’s Hoek. Extends on the basalt from around ’Makholo (Ben Macdhui) into the Eastern Cape southwards to the vicinity of Barclay East, and westwards along the Witteberge to the vicinity of Lady Grey. Extends in a small area of the northeastern Free State on the high basalt mountains such as Ribbokkop (within the Golden Gate Highlands National Park) and on the top of Oorsprongsberg. Altitude about 1 900–2 900 m. The unit extends to KwaZulu-Natal at the lower parts of the Escarpment edge (e.g. around the Loteni and Mkhomazi Passes). The areas of Drakensberg Afroalpine Heathland (above 2 900 m) are embedded in this unit as are some Lesotho Mires (at higher altitudes). For practical reasons, the vegetation unit includes a small area of high-altitude sandstone (up to about 2 600 m) that is limited to the eastern edge of Lesotho (notably in the Sehlabathebe National Park)."/>
    <s v="KwaZulu-Natal, Eastern Cape, Free State"/>
    <s v="Endemic to ZA, Ls, Sz"/>
    <s v="South Africa"/>
    <s v="Landscape consists of many plateaus and high ridges of mountains separated by often deep valleys. Although many valley slopes are steep, major cliff faces are only occasionally encountered, especially along parts of the main Maloti Mountain chain. "/>
    <s v="Summer rainfall, with little rain in winter, particularly away from the Northern Escarpment. Much of the area is in a rainshadow with weather stations such as Mokhotlong at an elevation of 2 377 m with a MAP of only 575 mm (Tyson et al. 1976, Killick 1978a). MAP is higher along the eastern edge, for example, 928 mm at Qacha’s Nek and also in the southeast, with 686 mm at Barkly East Golf Club. Mean monthly maximum and minimum temperatures for Barkly East Golf Club are 31.4°C and –10.5°C for December and July, respectively. Frost occurs throughout winter and on occasion even in summer at higher elevations. Snow occurs in winter, especially at higher elevations where some light snow can occur in summer. There is a high incidence of lightning in summer and hail is common. See also climate diagram for Gd 8 Lesotho Highland Basalt Grassland (Figure 8.11)."/>
    <s v="The area is almost entirely underlain by basaltic lava flows of the Drakensberg Group, with some of the shallow soils covering sandstones of the Clarens Formation (Stormberg Group, Karoo Supergroup) in the form of disintegrating carpets. Soils derived from the basalt have fairly even proportions of coarse sand, fine sand, silt, clay and organic matter. The organic matter increases from about 20% on the slopes to about 26% in the valleys (Herbst &amp; Roberts 1974a). The high organic content (acid, slowly decomposing humus formed largely by decaying grass roots) results in a high water-retention capacity of the soil. Water redistribution through seeps is frequent. Main land type, at least in the South African section, is Ea."/>
    <n v="4028.3592654742329"/>
    <n v="17293.47"/>
    <n v="17291.404399999999"/>
    <x v="0"/>
    <s v="LC"/>
    <x v="0"/>
    <s v="LC↔LC"/>
    <m/>
    <s v="Unchanged"/>
  </r>
  <r>
    <s v="Terrestrial"/>
    <s v="Gs3"/>
    <s v="Low Escarpment Moist Grassland"/>
    <s v="Sub-Escarpment Grassland Bioregion"/>
    <s v="Grassland"/>
    <s v="T4"/>
    <s v="T4.5"/>
    <s v="KwaZulu-Natal, Free State and Mpumalanga Provinces: Slopes of the Drakensberg, on both sides of the provincial boundary from Oliviershoek (near Harrismith) to Volksrust. "/>
    <s v="KwaZulu-Natal, Mpumalanga, Free State"/>
    <s v="Endemic to South Africa"/>
    <s v="South Africa"/>
    <s v="Complex mountain topography. Steep, generally east- and south-facing slopes, with a large altitudinal range."/>
    <s v="Summer rainfall, with peak from December to January. Frequent fog adds to the overall precipitation. MAP is almost 920 mm and mean annual evaporation reaches 1 770 mm. MAT of 14.3°C and almost 30 days of frost indicate that the unit is found close to the lower limit of warm-temperate climate. See also climate diagram for Gs 3 Low Escarpment Moist Grassland (Figure 8.61)."/>
    <s v="Ecca and Beaufort Groups (Karoo Supergroup) mudstone or shale. Soils are mainly of the Hutton form, but also shallower forms such as Glenrosa and Mispah. Half of the area is classified as Fa land type, while the rest is shared among Ac, Bb and Ad land types."/>
    <n v="1742.2811358587539"/>
    <n v="1568.42"/>
    <n v="1563.8284000000001"/>
    <x v="0"/>
    <s v="LC"/>
    <x v="0"/>
    <s v="LC↔LC"/>
    <m/>
    <s v="Unchanged"/>
  </r>
  <r>
    <s v="Terrestrial"/>
    <s v="Gs16"/>
    <s v="Queenstown Thornveld"/>
    <s v="Sub-Escarpment Grassland Bioregion"/>
    <s v="Grassland"/>
    <s v="T4"/>
    <s v="T4.2"/>
    <s v="Eastern Cape Province: From the vicinity of Queenstown in the east to the vicinity of Tarkastad in the west, and Sterkstroom in the north."/>
    <s v="Eastern Cape"/>
    <s v="Endemic to South Africa"/>
    <s v="South Africa"/>
    <s v="Flat bottomlands of intramountain basins with adjacent slopes"/>
    <s v="Rainfall peaks in late summer. MAP mainly 380 mm in the west, increasing to 640 mm in the east. The coefficient of variation in MAP from 28–34% across the unit. Incidence of frost is 22–58 days, higher in the northwest than the southeast. See also climate diagram for Gs 16 Queenstown Thornveld (Figure 8.61)."/>
    <s v="Sedimentary rocks of the Tarkastad Subgroup (Beaufort Group, Karoo Supergroup) overlain with clay-loam soils typical of Da and Fc land types."/>
    <n v="3606.3033376591579"/>
    <n v="3003.81"/>
    <n v="2980.2071999999998"/>
    <x v="1"/>
    <s v="LC"/>
    <x v="0"/>
    <s v="LC↔LC"/>
    <m/>
    <s v="Unchanged"/>
  </r>
  <r>
    <s v="Terrestrial"/>
    <s v="Gh15"/>
    <s v="Carletonville Dolomite Grassland"/>
    <s v="Dry Highveld Grassland Bioregion"/>
    <s v="Grassland"/>
    <s v="T4"/>
    <s v="T4.5"/>
    <s v="North-West (mainly) and Gauteng and marginally into the Free State Province: In the region of Potchefstroom, Ventersdorp and Carletonville, extending westwards to the vicinity of Ottoshoop, but also occurring as far east as Centurion and Bapsfontein in Gauteng Province. "/>
    <s v="Gauteng, Free State, North West"/>
    <s v="Botswana"/>
    <s v="South Africa"/>
    <s v="Slightly undulating plains dissected by prominent rocky chert ridges."/>
    <s v="Warm-temperate, summer-rainfall region, with overall MAP of 593 mm. Summer temperatures high. Severe frequent frost occurs in winter. See also climate diagram for Gh 15 Carletonville Dolomite Grassland (Figure 8.23)."/>
    <s v="Dolomite and chert of the Malmani Subgroup (Transvaal Supergroup) supporting mostly shallow Mispah and Glenrosa soil forms typical of the Fa land type, dominating the landscapes of this unit. Deeper red to yellow apedal soils (Hutton and Clovelly forms) occur sporadically, representing the Ab land type."/>
    <n v="8598.4495455445522"/>
    <n v="5651.33"/>
    <n v="5469.0240000000003"/>
    <x v="0"/>
    <s v="LC"/>
    <x v="0"/>
    <s v="LC↔LC"/>
    <m/>
    <s v="Unchanged"/>
  </r>
  <r>
    <s v="Terrestrial"/>
    <s v="Gm15"/>
    <s v="Paulpietersburg Moist Grassland"/>
    <s v="Mesic Highveld Grassland Bioregion"/>
    <s v="Grassland"/>
    <s v="T4"/>
    <s v="T4.5"/>
    <s v="KwaZulu-Natal and Mpumalanga Provinces: Broad surrounds of Piet Retief, Paulpietersburg and Vryheid, extending westwards to east of Wakkerstroom. Occurs in the uppermost catchments of the Phongolo River. "/>
    <s v="KwaZulu-Natal, Mpumalanga"/>
    <s v="Endemic to South Africa"/>
    <s v="South Africa"/>
    <s v="Mainly undulating with moderately steep slopes, but valley basins are wide and flat and mountainous areas occur mostly along the northern and eastern boundary. "/>
    <s v="Summer rainfall, with MAP 900 mm. Warm-temperate climate, MAT close to 17°C, with fairly frequent frosts. See also climate diagram for Gm 15 Paulpietersburg Moist Grassland (Figure 8.36)."/>
    <s v="This area is underlain by Archaean granite and gneiss partly covered by Karoo Supergroup sediments (Madzaringwe Formation) and intruded by Karoo Dolerite Suite dykes and sills. Dominant soils on the sedimentary parent material are yellow apedal, well drained, with a depth of &gt;800 mm and a clay content of &gt;35%, representing the soil series: Hutton, Clovelly and Griffin. Shortlands soils are dominant on dolerite. Dominant land type Ac, with Fa and Ba of subordinate importance."/>
    <n v="4216.7946981688092"/>
    <n v="2011.26"/>
    <n v="1966.934"/>
    <x v="0"/>
    <s v="EN"/>
    <x v="2"/>
    <s v="EN↔EN"/>
    <s v="B1i_rod"/>
    <s v="Unchanged"/>
  </r>
  <r>
    <s v="Terrestrial"/>
    <s v="Gm6"/>
    <s v="Frankfort Highveld Grassland"/>
    <s v="Mesic Highveld Grassland Bioregion"/>
    <s v="Grassland"/>
    <s v="T4"/>
    <s v="T4.5"/>
    <s v="Free State and marginally Mpumalanga Provinces: Northeastern Free State—south and southeast of the Vaal Dam in the vicinity of Heilbron, Frankfort and Vrede. "/>
    <s v="Mpumalanga, Free State"/>
    <s v="Endemic to South Africa"/>
    <s v="South Africa"/>
    <s v="Flat to slightly undulating and undulating terrain"/>
    <s v="Summer-rainfall region, with MAP of 638 mm (much of which falls in the form of thunderstorms). MAT 14–15°C, indicating a cool to warm-temperature climate, characterised by great temperature differences between summer and winter (thermic continentality due to the deep-inland situation and high altitude of the unit). Occurrence of frost is frequent in winter. See also climate diagram for Gm 6 Frankfort Highveld Grassland (Figure 8.36)."/>
    <s v="Mudstone or shale with sandstone of the Adelaide Subgroup (Beaufort Group) with Jurassic Karoo dolerite intrusions. Soils are Glenrosa, Bonheim and Avalon, with Mayo forms dominating the outcrops and slightly elevated areas, while the Sepane, Arcadia and Rensburg forms dominate the moist bottomlands. Much of the area (three quarters) is classified as Ea, while the rest is Ca land type."/>
    <n v="9891.6311687899124"/>
    <n v="5498.52"/>
    <n v="5465.0860000000002"/>
    <x v="1"/>
    <s v="LC"/>
    <x v="0"/>
    <s v="LC↔LC"/>
    <m/>
    <s v="Unchanged"/>
  </r>
  <r>
    <s v="Terrestrial"/>
    <s v="Gm7"/>
    <s v="Northern Free State Shrubland"/>
    <s v="Mesic Highveld Grassland Bioregion"/>
    <s v="Grassland"/>
    <s v="T4"/>
    <s v="T4.5"/>
    <s v="Free State Province and marginally also into Mpumalanga Province: Northeastern regions of the Free State in the surrounds of Lindley (southwest), Bethlehem, Reitz, Frankfort and Vrede (northeast). "/>
    <s v="Mpumalanga, Free State"/>
    <s v="Endemic to South Africa"/>
    <s v="South Africa"/>
    <s v="Mainly restricted (as isolated pockets) to south-facing slopes of koppies, butts and tafelbergs as well as steep slopes of deeply incised rivers, where sandstone outcrops occur. "/>
    <s v="Summer-rainfall region, with 627 mm MAP. Much of the rainfall is convectional. The frost incidence is around 40 days. See also climate diagram for Gm 7 Northern Free State Shrubland (Figure 8.36)."/>
    <s v="Outcrops of especially Adelaide Subgroup (Beaufort Group, Karoo Supergroup) sandstones and to a lesser extent dolerite sills that protect sedimentary layers of sandstone, mudstone and siltstone from erosion. Soil forms that are typical of these rocky outcrops are the Glenrosa and Mispah forms. Ea land type is dominant (more than 50% of the area), accompanied by Dc and Bb."/>
    <n v="30.025196023896878"/>
    <n v="27.63"/>
    <n v="27.613199999999999"/>
    <x v="0"/>
    <s v="LC"/>
    <x v="0"/>
    <s v="LC↔LC"/>
    <m/>
    <s v="Unchanged"/>
  </r>
  <r>
    <s v="Terrestrial"/>
    <s v="Gm8"/>
    <s v="Soweto Highveld Grassland"/>
    <s v="Mesic Highveld Grassland Bioregion"/>
    <s v="Grassland"/>
    <s v="T4"/>
    <s v="T4.5"/>
    <s v="Mpumalanga, Gauteng (and to a very small extent also in neighbouring Free State and North-West) Provinces: In a broad band roughly delimited by the N17 road between Ermelo and Johannesburg in the north, Perdekop in the southeast and the Vaal River (border with the Free State) in the south. It extends further westwards along the southern edge of the Johannesburg Dome (including part of Soweto) as far as the vicinity of Randfontein. In southern Gauteng it includes the surrounds of Vanderbijlpark and Vereeniging as well as Sasolburg in the northern Free State. "/>
    <s v="Mpumalanga, Gauteng, Free State, North West"/>
    <s v="Endemic to South Africa"/>
    <s v="South Africa"/>
    <s v="Gently to moderately undulating landscape on the Highveld platea"/>
    <s v="Summer-rainfall region (MAP 662 mm). Cool-temperate climate with thermic continentality (high extremes between maximum summer and minimum winter temperatures, frequent occurrence of frost, large thermic diurnal differences, especially in autumn and spring). See also climate diagram for Gm 8 Soweto Highveld Grassland (Figure 8.36)."/>
    <s v="Shale, sandstone or mudstone of the Madzaringwe Formation (Karoo Supergroup) or the intrusive Karoo Suite dolerites which feature prominently in the area. In the south, the Volksrust Formation (Karoo Supergroup) is found and in the west, the rocks of the older Transvaal, Ventersdorp and Witwatersrand Supergroups are most significant. Soils are deep, reddish on flat plains and are typically Ea, Ba and Bb land types."/>
    <n v="14492.85929664688"/>
    <n v="5693.68"/>
    <n v="5504.366"/>
    <x v="1"/>
    <s v="VU"/>
    <x v="3"/>
    <s v="VU↔VU"/>
    <s v="A3_nat, B1i_rod"/>
    <s v="Unchanged"/>
  </r>
  <r>
    <s v="Terrestrial"/>
    <s v="Gs11"/>
    <s v="Southern KwaZulu-Natal Moist Grassland"/>
    <s v="Sub-Escarpment Grassland Bioregion"/>
    <s v="Grassland"/>
    <s v="T4"/>
    <s v="T4.5"/>
    <s v="KwaZulu-Natal and Eastern Cape Provinces: Interior valley basins at Creighton, Malenge and Centocow in the south and the upper Mkomazi River and Howick in the north. "/>
    <s v="KwaZulu-Natal, Eastern Cape"/>
    <s v="Endemic to South Africa"/>
    <s v="South Africa"/>
    <s v="Gently sloping valley bottoms "/>
    <s v="Summer rainfall, with MAP of 920 mm. Cooler form of warm-temperate climate (MAT 15.6°C; 15 frost days a year). See also climate diagram for Gs 11 Southern KwaZulu-Natal Moist Grassland (Figure 8.61)."/>
    <s v="Karoo Supergroup mudstones dominate this area, those of the Volksrust Formation occurring to the south and those of the Adelaide Subgroup to the north. Jurassic dolerite dykes are also present. The dominant soils are mottled and poorly drained, with a depth of 300–500 mm; the clay content ranges from 15–35%, representing soil forms such as Wasbank, Wesselnek, Longlands and Cartref, and Oatsdale on well drained soils. Half of the area is classified as Ac land type, with Fa and Ab of minor occurrence."/>
    <n v="2342.1280975907139"/>
    <n v="1030.33"/>
    <n v="1020.7436"/>
    <x v="0"/>
    <s v="EN"/>
    <x v="2"/>
    <s v="EN↔EN"/>
    <s v="B1i_rod"/>
    <s v="Unchanged"/>
  </r>
  <r>
    <s v="Terrestrial"/>
    <s v="Gs12"/>
    <s v="East Griqualand Grassland"/>
    <s v="Sub-Escarpment Grassland Bioregion"/>
    <s v="Grassland"/>
    <s v="T4"/>
    <s v="T4.5"/>
    <s v="KwaZulu-Natal and Eastern Cape Provinces: Major portion of this unit covers most of East Griqualand (with Kokstad and Matatiele as centres)."/>
    <s v="KwaZulu-Natal, Eastern Cape"/>
    <s v="Endemic to South Africa"/>
    <s v="South Africa"/>
    <s v="Hilly country with slopes "/>
    <s v="The region has mostly summer rainfall, with MAP of 780, mm ranging from 620–816 mm. Kokstad records 88 rain days in a year and three of those occur in the midwinter (June–July). Both mist and snow occur less frequently than in Gd 4 Southern Drakensberg Highland Grassland (Kokstad 26 misty days per year) and much of the rain comes in the form of thunderstorms (Kokstad 45 days). MAT 12.9–15.6°C (overall MAT 14.7°C). Moderately severe frosts occur 30 days in a year. Mean annual evaporation 1 457–1 723 mm (Camp 1999b). See also climate diagram for Gs 12 East Griqualand Grassland (Figure 8.61)."/>
    <s v="Mudstone and sandstone of the Beaufort Group of the Karoo Sequence predominate, but sedimentary rocks of the Molteno, Elliot and Clarens Formations are also present. The dominant soils on the sedimentary parent material are well drained, with a depth of 500–800 mm and clay content from 15–55%. The soils are of Hutton, Clovelly, Oatsdale forms on sediments and Shortlands on dolerite. Most common land types Fa and Ac."/>
    <n v="8728.1379109763675"/>
    <n v="4719.59"/>
    <n v="4697.9348"/>
    <x v="0"/>
    <s v="EN"/>
    <x v="2"/>
    <s v="EN↔EN"/>
    <s v="B1i_rod"/>
    <s v="Unchanged"/>
  </r>
  <r>
    <s v="Terrestrial"/>
    <s v="Gs4"/>
    <s v="Northern KwaZulu-Natal Moist Grassland"/>
    <s v="Sub-Escarpment Grassland Bioregion"/>
    <s v="Grassland"/>
    <s v="T4"/>
    <s v="T4.5"/>
    <s v="KwaZulu-Natal Province: Northern and northwestern regions of the Province, where it forms a discontinuous rim around the upper Thukela Basin and is situated almost entirely within the catchment of the Thukela River. It lies between the drier Gs 6 KwaZulu-Natal Highland Thornveld and the moist upland vegetation of mainly Gs 3 Low Escarpment Moist Grassland to the north and Gs 10 Drakensberg Foothill Moist Grassland to the west. The most extensive areas are in the vicinity of Winterton, Bergville, Fort Mistake, Dannhauser, Dundee, north of Ladysmith and west of Newcastle. At higher altitudes this unit is usually surrounded by Gs 3 Low Escarpment Moist Grassland in the north and Gs 10 Drakensberg Foothill Moist Grassland in the west and south. At lower altitudes Gs 6 KwaZulu-Natal Highland Thornveld and SVs 2 Thukela Thornveld usually occur to the east. "/>
    <s v="KwaZulu-Natal"/>
    <s v="Endemic to South Africa"/>
    <s v="South Africa"/>
    <s v="Hilly and rolling landscapes"/>
    <s v="Summer rainfall, with overall MAP of 840 mm (710–1 120 mm; Camp 1999a), mainly as summer thunderstorms. Mist occurs frequently on hilltops in spring and early summer, but summer droughts are also frequent. Summers are warm to hot, with maximum temperature recorded in the hottest month of January (Bergville MAT 27.8°C). MAT is around 16°C, but some localities may reach 17°C. Frosts are severe and occur about 20 days per year. Mean annual evaporation recorded at Bergville is 1 895 mm. See also climate diagram for Gs 4 Northern KwaZulu-Natal Moist Grassland (Figure 8.61)."/>
    <s v="Mudstones, sandstones and shales of the Beaufort and Ecca Groups of the Karoo Supergroup predominate and are intruded by dolerites of Jurassic age. Land types Bb, Ac, Fa and Ca."/>
    <n v="7440.413250550625"/>
    <n v="4262.99"/>
    <n v="4243.0244000000002"/>
    <x v="0"/>
    <s v="VU"/>
    <x v="3"/>
    <s v="VU↔VU"/>
    <s v="B1i_rod"/>
    <s v="Unchanged"/>
  </r>
  <r>
    <s v="Terrestrial"/>
    <s v="Gd4"/>
    <s v="Southern Drakensberg Highland Grassland"/>
    <s v="Drakensberg Grassland Bioregion"/>
    <s v="Grassland"/>
    <s v="T4"/>
    <s v="T4.5"/>
    <s v="Eastern Cape and KwaZulu-Natal Provinces: An intricate system of patches and corridors across the highest mountains and ridges of the Stormberg, from Molteno to the surrounds of Dordrecht, also including the elevated broad valley of the Kraairivier (near Barkly East) and its tributaries. Further occurring in a broad band (and abutting onto Gd 8 Lesotho Highland Basalt Grassland at upper boundary) on steep slopes of head-valleys fringing the edge of the southern Drakensberg Escarpment covering the regions north and northwest of Indwe, Elliot, Ugie, Maclear, Mt Fletcher (all Eastern Cape) as far as Matatiele (KwaZulu-Natal). From about the Ramatseliso Nek (pass) north of Matatiele the upper boundary of this unit is formed by the Gd 7 uKhahlamba Basalt Grassland—from here the Gd 4 Southern Drakensberg Highland Grassland follows a system of high northwest-southeast-tending ridges as far north as the southeastern extension of the Giant’s Castle buttress (KwaThabamnyana). "/>
    <s v="KwaZulu-Natal, Eastern Cape"/>
    <s v="Endemic to South Africa"/>
    <s v="South Africa"/>
    <s v="Steeply sloping mountainous areas on and below the summit of the Great Escarpment"/>
    <s v="Summer rainfall, with very dry winters. MAP 780 mm (500–1 120 mm), increasing from west to east to close to the southern border of Lesotho. Northeast of the latter region MAP increases with increasing elevation. The coefficient of variation of MAP 16–31% across the unit, with the highest values in the region around the Stormberg Plateau. Temperature regime cool-temperate (MAT around 13°C), typically montane, with cool day-time temperatures throughout the year and the potential for cold conditions at any time. Winter frost is common (30–90 days, average 54 days), incidence increasing with elevation. The areas of high altitude regularly receive snow in winter, sometimes in considerable quantities as a result of clashes of water-laden eastbound fronts with high-altitude cold air masses. See also climate diagram for Gd 4 Southern Drakensberg Highland Grassland (Figure 8.11)."/>
    <s v="Sandstones of the Clarens Formation and sandstones, siltstones and mudstones of the Elliot Formation (both formations belonging to the Stormberg Group, Karoo Supergroup) as well as the basaltic lava flows of the Drakensberg Group. Soils on the steep escarpment slopes tend to be deep and fine-grained, typical of land types Fa, Fb and Ea."/>
    <n v="6646.1076641180616"/>
    <n v="6014.89"/>
    <n v="5993.6872000000003"/>
    <x v="0"/>
    <s v="LC"/>
    <x v="0"/>
    <s v="LC↔LC"/>
    <m/>
    <s v="Unchanged"/>
  </r>
  <r>
    <s v="Terrestrial"/>
    <s v="Gh10"/>
    <s v="Vaal-Vet Sandy Grassland"/>
    <s v="Dry Highveld Grassland Bioregion"/>
    <s v="Grassland"/>
    <s v="T4"/>
    <s v="T4.5"/>
    <s v="North-West and Free State Provinces: South of Lichtenburg and Ventersdorp, stretching southwards to Klerksdorp, Leeudoringstad, Bothaville and to the Brandfort area north of Bloemfontein. "/>
    <s v="Free State, North West"/>
    <s v="Endemic to South Africa"/>
    <s v="South Africa"/>
    <s v="Plains-dominated landscape"/>
    <s v="Warm-temperate, summer-rainfall climate, with overall MAP of 530 mm. High summer temperatures. Severe frost (37 days per year on average) occurs in winter. See also climate diagram for Gh 12 Vaal-Vet Sandy Grassland (Figure 8.23)."/>
    <s v="Aeolian and colluvial sand overlying sandstone, mudstone and shale of the Karoo Supergroup (mostly the Ecca Group) as well as older Ventersdorp Supergroup andesite and basement gneiss in the north. Soil forms are mostly Avalon, Westleigh and Clovelly. Dominant land type Bd, closely followed by Bc, Ae and Ba."/>
    <n v="25965.641726160011"/>
    <n v="6331.64"/>
    <n v="5813.0068000000001"/>
    <x v="1"/>
    <s v="EN"/>
    <x v="2"/>
    <s v="EN↔EN"/>
    <s v="A3_nat"/>
    <s v="Unchanged"/>
  </r>
  <r>
    <s v="Terrestrial"/>
    <s v="Gm30"/>
    <s v="Steenkampsberg Montane Grassland"/>
    <s v="Mesic Highveld Grassland Bioregion"/>
    <s v="Grassland"/>
    <s v="T4"/>
    <s v="T4.5"/>
    <s v="Occurring along the Steenkampsberg escarpment that extends from the headwaters of the Waterval River in mountains north-west of Lydenburg, extending southwards through Dullstroom towards Belfast, then eastwards through Machadodorp to Bambi and Elandshoogte."/>
    <s v="Mpumalanga, Limpopo"/>
    <s v="Endemic to South Africa"/>
    <s v="South Africa"/>
    <s v="mountainous with plateau grasslands, mountain slopes and shallow valleys"/>
    <s v="0"/>
    <s v="The geology broadly forms part of the Pretoria Group, with the Dullstroom, Steenkampsberg, Lakenvlei, Vermont, Magaliesberg, Silverton, Strubenkop, Daspoort,  Hekpoort, and Timeball Hill Formations running from the west through to the east. The Pretoria Group is commonly intersected by the intrusive Transvaal Diabase in the form of dykes and sills. The resulting rocks are predominantly comprised of quartzite, shale, dolerite, diabase and basalt. Soils are shallow to deep, well-drained; either dystrophic and/or mesotrophic depending on geology. Soil derived from quartzite results in sandy, white dystrophic soils with high humus content."/>
    <n v="3858.6934918921738"/>
    <n v="2645.28"/>
    <n v="2611.2055999999998"/>
    <x v="0"/>
    <s v="LC"/>
    <x v="0"/>
    <s v="LC↔LC"/>
    <m/>
    <s v="Unchanged"/>
  </r>
  <r>
    <s v="Terrestrial"/>
    <s v="Gm31"/>
    <s v="Long Tom Pass Montane Grassland"/>
    <s v="Mesic Highveld Grassland Bioregion"/>
    <s v="Grassland"/>
    <s v="T4"/>
    <s v="T4.5"/>
    <s v="Occurring along the escarpment east of Lydenburg, from Morgenzon Reserve just north of Crystal Springs Mountain Lodge, Pilgrim's Rest, southwards to the Schoemanskloof. The lower altitude limit is around 1650 m in the north (where it is drier), dropping to around 1500 m in the south."/>
    <s v="Mpumalanga, Limpopo"/>
    <s v="Endemic to South Africa"/>
    <s v="South Africa"/>
    <s v="diverse physiography, which includes subalpine peaks, level terraces and rolling plains in the higher lying areas with steeply sloping mountain slopes"/>
    <s v="0"/>
    <s v="The geology forms part of the Pretoria Group, which predominantly consists of shale and quartzite in the Rooihoogte, Timeball Hill and Boshoek Formations, and the distinctive volcanic elements of the Hekpoort Andesite Formations which are on the summits of the highest lying areas. The Pretoria Group is commonly intersected by the intrusive Transvaal Diabase in the form of dykes and sills. The mountainous terrain results in shallow soils with pockets of silty clay loam. Soils are well drained clay loams with a fine sand-grade in the topsoil. "/>
    <n v="1048.1363359095981"/>
    <n v="539.80999999999995"/>
    <n v="535.92399999999998"/>
    <x v="2"/>
    <s v="LC"/>
    <x v="0"/>
    <s v="LC↔LC"/>
    <m/>
    <s v="Unchanged"/>
  </r>
  <r>
    <s v="Terrestrial"/>
    <s v="Gs19"/>
    <s v="Dry Coast Hinterland Grassland"/>
    <s v="Sub-Escarpment Grassland Bioregion"/>
    <s v="Grassland"/>
    <s v="T4"/>
    <s v="T4.5"/>
    <s v="KwaZulu-Natal and Eastern Cape Provinces: From Melmoth in the north to near Libode in the former Transkei (including Camperdown, Umlaas Road, Eston, Bisi, iZingolweni, Ngqeleni near Mthatha) generally occurring above the SVs 3 KwaZulu-Natal Hinterland Thornveld, SVs 7 Bisho Thornveld and the SVs 6 Eastern Valley Bushveld. Altitude 450 - 900 m."/>
    <s v="KwaZulu-Natal, Eastern Cape"/>
    <s v="Endemic to South Africa"/>
    <s v="South Africa"/>
    <s v="Undulating plains and hilly landscape mainly associated with drier coast hinterland valleys in the rain-shadow of the rain-bearing frontal weather systems from the east coast"/>
    <s v="0"/>
    <s v="Acid, leached heavy soils are derived from Karoo Super group sediments (including significant Dwyka tillites) and intrusive Karoo dolerites"/>
    <n v="3024.2389349058581"/>
    <n v="1359.32"/>
    <n v="1334.6324"/>
    <x v="1"/>
    <s v="VU"/>
    <x v="3"/>
    <s v="VU↔VU"/>
    <s v="A3_nat, B1i_rod"/>
    <s v="Unchanged"/>
  </r>
  <r>
    <s v="Terrestrial"/>
    <s v="Gs20"/>
    <s v="Moist Coast Hinterland Grassland"/>
    <s v="Sub-Escarpment Grassland Bioregion"/>
    <s v="Grassland"/>
    <s v="T4"/>
    <s v="T4.5"/>
    <s v="KwaZulu-Natal and Eastern Cape Provinces: From near Melmoth in the north to near Libode in the south (including Eshowe, New Hanover, Thornville, Richmond, Harding, Lusikisiki) generally occurring below Gs 9 Midlands Mistbelt Grassland. Altitude 450 - 900 m."/>
    <s v="KwaZulu-Natal, Eastern Cape"/>
    <s v="Endemic to South Africa"/>
    <s v="South Africa"/>
    <m/>
    <s v="0"/>
    <s v="Acid, leached heavy soils are derived from Karoo Supergroup sediments (including significant Dwyka tillites) and intrusive Karoo dolerites. Shallow sandy soils are derived from Natal Group Sandstone"/>
    <n v="6280.5772534721946"/>
    <n v="2293.33"/>
    <n v="2257.5124000000001"/>
    <x v="1"/>
    <s v="VU"/>
    <x v="3"/>
    <s v="VU↔VU"/>
    <s v="A3_nat, B1i_rod"/>
    <s v="Unchanged"/>
  </r>
  <r>
    <s v="Terrestrial"/>
    <s v="Gd5"/>
    <s v="Northern Drakensberg Highland Grassland"/>
    <s v="Drakensberg Grassland Bioregion"/>
    <s v="Grassland"/>
    <s v="T4"/>
    <s v="T4.5"/>
    <s v="KwaZulu-Natal and Free State Provinces: Northeastern and eastern slopes of valleys and buttresses of the Drakensberg in KwaZulu-Natal where most of the region is locally known as Little Berg, from Giant’s Castle to slopes in any direction in the surrounds of Clarens in the Free State. "/>
    <s v="KwaZulu-Natal, Free State"/>
    <s v="Endemic to ZA, Ls, Sz"/>
    <s v="South Africa"/>
    <s v="Mountainous region characterised by steep slopes of broad valleys"/>
    <s v="Summer-rainfall region, with MAP broadly ranging from 720–1 630 mm (overall average MAP 1 017 mm). Snowfalls are occasional and last several days. Summer mists frequent. Hot dry winds frequent from July to October. Summers warm and winters cold, with frequent considerably severe frost events. Overall regional MAT 13.4°C. See also climate diagram for Gd 5 Northern Drakensberg Highland Grassland (Figure 8.11)."/>
    <s v="Mudstone and sandstone of the Elliot Formation and sandstone of the Clarens Formation (Stormberg Group, Karoo Supergroup) supporting soils typical of the Fc land type (dominant) as well as Ac and Bb land types (of lesser importance)."/>
    <n v="1218.569623947709"/>
    <n v="1117.53"/>
    <n v="1116.0640000000001"/>
    <x v="2"/>
    <s v="LC"/>
    <x v="0"/>
    <s v="LC↔LC"/>
    <m/>
    <s v="Unchanged"/>
  </r>
  <r>
    <s v="Terrestrial"/>
    <s v="Gh13"/>
    <s v="Klerksdorp Thornveld"/>
    <s v="Dry Highveld Grassland Bioregion"/>
    <s v="Grassland"/>
    <s v="T4"/>
    <s v="T4.5"/>
    <s v="North-West Province: In two sets of patches, one in the Wolmaransstad, Ottosdal and Hartbeesfontein region, and the other from the Botsolano Game Park north of Mafikeng to the vicinity of Madibogo in the south. "/>
    <s v="North West"/>
    <s v="Botswana"/>
    <s v="South Africa"/>
    <s v="Plains or slightly irregular undulating plains"/>
    <s v="Warm-temperate, summer-rainfall region, with overall MAP of 533 mm. Summer temperatures are high. Frequent frosts occur in winter. See also climate diagram for Gh 13 Klerksdorp Thornveld (Figure 8.23)."/>
    <s v="Shale, slate and quartzite of the Pretoria Group with interlaid diabase sills and Hekpoort lava supporting relatively shallow and rocky soils (Glenrosa and Mispah forms), typical of the Fb land type. Equally represented are eutrophic red plinthic soils (Hutton form), derived mainly from a thick succession of volcanics and sediments of the Ventersdorp Supergroup (Bc land type). Bd and Ae of minor occurrence."/>
    <n v="3766.2457575492749"/>
    <n v="2234.66"/>
    <n v="2123.8560000000002"/>
    <x v="0"/>
    <s v="LC"/>
    <x v="0"/>
    <s v="LC↔LC"/>
    <m/>
    <s v="Unchanged"/>
  </r>
  <r>
    <s v="Terrestrial"/>
    <s v="Gm12"/>
    <s v="Eastern Highveld Grassland"/>
    <s v="Mesic Highveld Grassland Bioregion"/>
    <s v="Grassland"/>
    <s v="T4"/>
    <s v="T4.5"/>
    <s v="Mpumalanga and Gauteng Provinces: Plains between Belfast in the east and the eastern side of Johannesburg in the west and extending southwards to Bethal, Ermelo and west of Piet Retief. "/>
    <s v="Mpumalanga, Gauteng"/>
    <s v="Endemic to South Africa"/>
    <s v="South Africa"/>
    <s v="Slightly to moderately undulating plains, including some low hills and pan depressions. "/>
    <s v="Strongly seasonal summer rainfall, with very dry winters. MAP 650–900 mm (overall average: 726 mm), MAP relatively uniform across most of this unit, but increases significantly in the extreme southeast. The coefficient of variation in MAP is 25% across most of the unit, but drops to 21% in the east and southeast. Incidence of frost from 13–42 days, but higher at higher elevations. See also climate diagram for Gm 12 Eastern Highveld Grassland (Figure 8.36)."/>
    <s v="Red to yellow sandy soils of the Ba and Bb land types found on shales and sandstones of the Madzaringwe Formation (Karoo Supergroup). Land types Bb (65%) and Ba (30%)."/>
    <n v="12772.425252900781"/>
    <n v="3888.45"/>
    <n v="3707.5023999999999"/>
    <x v="0"/>
    <s v="EN"/>
    <x v="2"/>
    <s v="EN↔EN"/>
    <s v="A3_nat"/>
    <s v="Unchanged"/>
  </r>
  <r>
    <s v="Terrestrial"/>
    <s v="Gm27"/>
    <s v="Strydpoort Summit Sourveld"/>
    <s v="Mesic Highveld Grassland Bioregion"/>
    <s v="Grassland"/>
    <s v="T4"/>
    <s v="T4.5"/>
    <s v="Limpopo Province: A series of isolated patches in high-lying areas of the Strydpoortberge, from Bewaarkloof in the east as far as the mountains just above Mokopane (Potgietersrus) in the west. "/>
    <s v="Limpopo"/>
    <s v="Endemic to South Africa"/>
    <s v="South Africa"/>
    <s v="The landscape has a very broken topography with deeply incised valleys. The slopes are steep and rocky, and sparsely wooded.rocky summits and mountain slopes. "/>
    <s v=" Strongly seasonal, with precipitation in summer. Rainfall 530–870 mm (MAP 686 mm). Frost infrequent. See also climate diagram for Gm 27 Strydpoort Summit Sourveld (Figure 8.36)."/>
    <s v="Acidic sandy soil derived from sandstone, quartzite and shale of the Wolkberg Group and the Black Reef Formation as well as the Pretoria Group in the westernmost parts. In the eastern half of this area a large part is underlain by the Penge Banded Iron Formation of the Chuniespoort Group. All of the above form part of the Transvaal Supergroup. Dominant land type Ib."/>
    <n v="268.05085702157442"/>
    <n v="261.77"/>
    <n v="261.13119999999998"/>
    <x v="2"/>
    <s v="LC"/>
    <x v="0"/>
    <s v="LC↔LC"/>
    <m/>
    <s v="Unchang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3">
  <r>
    <s v="Terrestrial"/>
    <s v="Gh3"/>
    <s v="Xhariep Karroid Grassland"/>
    <s v="Dry Highveld Grassland Bioregion"/>
    <x v="0"/>
    <s v="T4"/>
    <s v="T4.5"/>
    <s v="Free State Province and very slightly into the Northern Cape Province: Southern regions including the vicinity of Luckhoff (west), Edenburg (north), Gariep Dam (south) and Smithfield (east). "/>
    <s v="Northern Cape, Free State"/>
    <s v="Endemic to South Africa"/>
    <s v="South Africa"/>
    <s v="Extensive, even or slightly undulating bottomland flats forming a matrix of large landscape patches interrupted by high dolerite sills, koppies and conspicuous ring dykes "/>
    <s v="Seasonal climatic region, with summer rainfall peaking in early autumn, and with overall relatively low MAP (slightly above 410 mm). Some of the localities can, however, reach mean yearly rainfall values as high as 580 mm (Edenburg). MAT around 15°C, but winter frost very common (around 50 days on average). See also climate diagram for Gh 3 Xhariep Karroid Grassland (Figure 8.23)."/>
    <s v="Alternating layers of mudstone and sandstone mostly of the Permian Adelaide Subgroup (Beaufort Group, Karoo Supergroup). Part of the area is covered with soils with diagnostic pedocutanic and prismacutanic (dark clayey) B-horizons and belongs to soil forms such as Estcourt, Rensburg and Oakleaf. In some areas, especially towards the more arid west, patches of calcrete on the soil surface are notable—here the soil forms such as Kimberley and Plooysburg prevail (dwarf karroid shrubs usually concentrate on these areas of limestone-rich patches). The entire area has been classified as Da or Db land types."/>
    <x v="0"/>
    <n v="12392.94"/>
    <n v="12357.0376"/>
    <s v="PP"/>
    <x v="0"/>
    <x v="0"/>
    <s v="LC↔LC"/>
    <m/>
    <s v="Unchanged"/>
  </r>
  <r>
    <s v="Terrestrial"/>
    <s v="SVcb23"/>
    <s v="Polokwane Plateau Bushveld"/>
    <s v="Central Bushveld Bioregion"/>
    <x v="1"/>
    <s v="T4"/>
    <s v="T4.2"/>
    <s v="Limpopo Province: The higher-lying plains around Polokwane, north of the Strydpoort Mountains and south of the SVcb 20 Makhado Sweet Bushveld. "/>
    <s v="Limpopo"/>
    <s v="Endemic to South Africa"/>
    <s v="South Africa"/>
    <s v="Moderately undulating plains.Hills and low mountains of SVcb 24 Mamabolo Mountain Bushveld are embedded within this unit."/>
    <s v="Summer rainfall with very dry winters. MAP from about 400 mm in the northwest to about 600 mm where it borders on the foot of mountains to the east and south. Frost fairly infrequent. Mean monthly maximum and minimum temperatures for Polokwane 33.2°C and 0.6°C for October and June, respectively. See also climate diagram for SVcb 23 Polokwane Plateau Bushveld."/>
    <s v="Migmatites and gneisses of the Hout River Gneiss and the Turfloop Granite (both of Randian Erathem) are dominant. Some ultramafic and mafic metavolcanics, quartzite and chlorite schist of the Pietersburg Group (Swazian Erathem) are also found. Soils variable, with freely drained soils with high base status, some dystrophic/mesotrophic, eutrophic plinthic catenas. Glenrosa and Mispah soil forms. Land types mainly Ae, Bd, Ah, Ab, Bc and Fa."/>
    <x v="1"/>
    <n v="2565.96"/>
    <n v="2519.2303999999999"/>
    <s v="PP"/>
    <x v="0"/>
    <x v="1"/>
    <s v="LC → EN"/>
    <s v="B1i_rod"/>
    <s v="Uplisted"/>
  </r>
  <r>
    <s v="Terrestrial"/>
    <s v="Dg1"/>
    <s v="Noms Mountain Desert"/>
    <s v="Gariep Desert Bioregion"/>
    <x v="2"/>
    <s v="T5"/>
    <s v="T5.5"/>
    <s v="Northernmost part of the Richtersveld National Park, east of Sendelingsdrif, north of Koeroegab and the Kook River, south of the Orange River. The unit borders on units of the Succulent Karoo Biome to the south. "/>
    <s v="Northern Cape"/>
    <s v="Namibia"/>
    <s v="South Africa"/>
    <s v="Most of the unit is formed by rugged, generally low mountains with bare rock and very sparse vegetation. Habitats differ according to topography"/>
    <s v="MAP approximately 45–60 mm. Variable, transitional climate between winter and summer rainfall. High maximum temperatures, reaching up to 50°C in summer. Frost is very rare, but occurs at higher altitudes. Fog infrequent, particularly in the eastern part of the unit."/>
    <s v="Predominantly calc-alkaline, acid and intermediate metavolcanic rocks and quartzitic metasediments of the De Hoop Subgroup (Orange River Group). Also granodiorite, adamellite, leucogranite, tonalite and diorite of the Vioolsdrif Intrusive Suite (Mokolian Erathem) are found. Hardly any deep soils developed. Land type Ic."/>
    <x v="2"/>
    <n v="333.06"/>
    <n v="332.9092"/>
    <s v="WP"/>
    <x v="0"/>
    <x v="0"/>
    <s v="LC↔LC"/>
    <m/>
    <s v="Unchanged"/>
  </r>
  <r>
    <s v="Terrestrial"/>
    <s v="SVs4"/>
    <s v="Ngongoni Veld"/>
    <s v="Sub-Escarpment Savanna Bioregion"/>
    <x v="1"/>
    <s v="T4"/>
    <s v="T4.2"/>
    <s v="KwaZulu-Natal and Eastern Cape Provinces: From Melmoth in the north to near Libode in the former Transkei (including Eshowe, New Hanover, Camperdown, Eston, Richmond, Dumisa, Harding, Lusikisiki and the Libode area). "/>
    <s v="KwaZulu-Natal, Eastern Cape"/>
    <s v="Endemic to South Africa"/>
    <s v="South Africa"/>
    <m/>
    <s v="Summer rainfall with some rain in winter. MAP about 700–1 100 mm. Some valleys are sheltered and may show weak rainshadow effects. Frost infrequent, occurring mainly where cold air becomes trapped in valleys. Mean monthly maximum and minimum temperatures for Melmoth 37.0°C and 4.9°C for October and July, respectively. Corresponding values for New Hanover 38.2°C and –0.2°C for January and June, respectively. See also climate diagram for SVs 4 Ngongoni Veld."/>
    <s v="Acid, leached, heavy soils are derived from Karoo Supergroup sediments (including significant Dwyka tillites) and intrusive Karoo dolerites. Also Glenrosa and Mispah soils occur. Land types Fa, Ab, Ac and Aa."/>
    <x v="3"/>
    <n v="334.1"/>
    <n v="325.98719999999997"/>
    <s v="NP"/>
    <x v="1"/>
    <x v="1"/>
    <s v="VU → EN"/>
    <s v="B1i_rod"/>
    <s v="Uplisted"/>
  </r>
  <r>
    <s v="Terrestrial"/>
    <s v="SKs4"/>
    <s v="Richtersveld Sandy Coastal Scorpionstailveld"/>
    <s v="Namaqualand Sandveld Bioregion"/>
    <x v="3"/>
    <s v="T5"/>
    <s v="T5.2"/>
    <s v="Northern Cape Province: A fragmented band running parallel to the coast 8 to 28 km inland, from a northern boundary at the southwestern corner of the Annisvlakte to the Holgat River, and then for some 30 km southwards. Further this unit is found from just north of the road between Alexander Bay and Oograbies in a southern direction halfway between Port Nolloth and Kleinzee. The unit covers 103 km along the north-south axis. "/>
    <s v="Northern Cape"/>
    <s v="Endemic to South Africa"/>
    <s v="South Africa"/>
    <s v="The boundaries of this unit are clearly visible on satellite and aerial images, characterised by a darker colour, which is created by the intense biological soil surface crusts"/>
    <s v="MAP 60–100 mm, with mainly winter rainfall. Coastal fog also occurs. High wind speeds occur, but are less frequent and weaker than in the SKs 2 Northern Richtersveld Yellow Duneveld. Frost is very rare. "/>
    <s v="Sandy loams, partly covered by yellow and red wind-blown sands, probably of coastal origin. This unit clearly shows an increase in the silt texture class (ca. 20%), which is linked to an increase in pH, compared to the neighbouring units. Within this unit, the surface cover of biological soil crusts at the soil surface reaches maximum values for the Richtersveld coastal plain (80–90%). The hypothesis is proposed that this unit is controlled by maximum silt deposition (desert margin loess) and minimum disturbance, compared to the neighbouring units of the coastal plain. Ah land type is absolutely dominant."/>
    <x v="4"/>
    <n v="442.12"/>
    <n v="441.48399999999998"/>
    <s v="NP"/>
    <x v="0"/>
    <x v="0"/>
    <s v="LC↔LC"/>
    <m/>
    <s v="Unchanged"/>
  </r>
  <r>
    <s v="Terrestrial"/>
    <s v="FFs20"/>
    <s v="Tsitsikamma Sandstone Fynbos"/>
    <s v="Eastern Fynbos-Renosterveld Bioregion"/>
    <x v="4"/>
    <s v="T3"/>
    <s v="T3.2"/>
    <s v="Western and Eastern Cape Provinces: Tsitsikamma Mountains from Uniondale to Cape St Francis, north of the Keurbooms River and south of Langkloof. "/>
    <s v="Eastern Cape, Western Cape"/>
    <s v="Endemic to South Africa"/>
    <s v="South Africa"/>
    <s v="A relatively low mountain range with gentle to steep both northern and southern slopes over 140 km, with a few high peaks and moderately undulating plains. Relatively broad compared to the other coastal mountain ranges varying from 10–20 km in width. "/>
    <s v="MAP 480–1 230 mm (mean: 845 mm), fairly even throughout the year. Mean daily maximum and minimum temperatures 25.5°C and 5.8°C for February and July, respectively. Frost incidence 2–10 days per year. See also climate diagram for FFs 20 Tsitsikamma Sandstone Fynbos (Figure 4.21)."/>
    <s v="Acidic lithosol soils derived from Ordovician sandstones of the Table Mountain Group (Cape Supergroup), plinthic catenas prominent. Land types mainly Ib, Ca and Bb."/>
    <x v="5"/>
    <n v="1577.49"/>
    <n v="1567.7128"/>
    <s v="WP"/>
    <x v="0"/>
    <x v="0"/>
    <s v="LC↔LC"/>
    <m/>
    <s v="Unchanged"/>
  </r>
  <r>
    <s v="Terrestrial"/>
    <s v="FRa2"/>
    <s v="Swartland Alluvium Renosterveld"/>
    <s v="West Coast Renosterveld Bioregion"/>
    <x v="4"/>
    <s v="T3"/>
    <s v="T3.2"/>
    <s v="Western Cape Province: Narrow belts in the southern Swartland encompassed by Klipheuwel, Malmesbury, Moorreesburg and Darling along the Groen and Diep Rivers. "/>
    <s v="Western Cape"/>
    <s v="Endemic to South Africa"/>
    <s v="South Africa"/>
    <s v="Riverine plains and bottomlands"/>
    <s v="MAP 300–490 mm (mean: 370 mm), peaking from May to August. Mists common in winter. Mean daily maximum and minimum temperatures 28.8°C and 7.0°C for February and July, respectively. Frost incidence about 3 days per year. See also climate diagram for FRa 2 Swartland Alluvium Renosterveld (Figure 4.123)."/>
    <s v="Mainly fine silty and sandy alluvial sediments, mainly derived from Cape Granite. Soils with prismacutanic and/or pedocutanic diagnostic horizons are dominant. Land types mainly Db."/>
    <x v="6"/>
    <n v="36.99"/>
    <n v="36.472000000000001"/>
    <s v="NP"/>
    <x v="1"/>
    <x v="2"/>
    <s v="VU → CR"/>
    <s v="B1iii_sp"/>
    <s v="Uplisted"/>
  </r>
  <r>
    <s v="Terrestrial"/>
    <s v="AZi5"/>
    <s v="Bushmanland Vloere"/>
    <s v="Inland Saline Vegetation"/>
    <x v="5"/>
    <s v="T5"/>
    <s v="T5.1"/>
    <s v="Northern Cape Province: Vloere (salt pans) of the central Bushmanland Basin as well as the broad riverbeds of the intermittent Sak River (functioning as temporary connection between some of the pans) as well as its numerous ancient (today dysfunctional) tributaries. The patches of this vegetation unit are embedded especially within NKb 6 Bushmanland Basin Shrubland and NKb 3 Bushmanland Arid Grassland and to a lesser extent also within NKb 4, NKu 1, NKu 2 as well as marginal Succulent Karoo units summarised within the bioregion of Trans-Escarpment Succulent Karoo. "/>
    <s v="Northern Cape"/>
    <s v="Endemic to South Africa"/>
    <s v="South Africa"/>
    <s v="Flat and very even surfaces of pans and broad bottoms of intermittent rivers."/>
    <s v="Arid, seasonal climate with bimodal (equinoctial) precipitation regime—two peaks, one in March and another in November. Overall MAP 141 mm (range 91 mm in western Bushmanland to 306 mm at northern edges of the Roggeveld). Overall MAT 16.8°C (range 17.4°C in northern Bushmanland to 14.5°C on northern edge of the Roggeveld). The region where the Bushmanland Vloere occur, is known for thermic extremes, both long-term (mean daily temperature in January approaching 32°C and in July only several degrees above zero) and short-term (daily temperature amplitude around 25°C). Frequent occurrence of frost is also indicative of the high thermic continentality of the region. See also climate diagram for AZi 5 Bushmanland Vloere (Figure 13.2)."/>
    <s v="Endorheic pans and alluvia of associated intermittent rivers filled with silty and clayey alluvial deposits with a high content of concentrated salt (sodic soils), supported by Ecca Group shales and Dwyka diamictites (Karoo Supergroup). Watkeys (1999) found that in the pan of Brandvlei, the orthic A horizon is underlain by a soft carbonate subsoil and the soils of the alluvial terraces of the Sak River are deep (more than 1 000 mm), stratified and weakly structured and calcareous. Ia land type. Erosion in some places can be considerable, especially after unpredictable heavy thunderstorms leading to sudden swelling of the Sak River. The pans can be filled in wet summers and in autumn."/>
    <x v="7"/>
    <n v="4837.8500000000004"/>
    <n v="4815.0252"/>
    <s v="PP"/>
    <x v="0"/>
    <x v="0"/>
    <s v="LC↔LC"/>
    <m/>
    <s v="Unchanged"/>
  </r>
  <r>
    <s v="Terrestrial"/>
    <s v="AZi7"/>
    <s v="Tanqua Wash Riviere"/>
    <s v="Inland Saline Vegetation"/>
    <x v="5"/>
    <s v="T5"/>
    <s v="T5.2"/>
    <s v="Western Cape and (to a smaller extent) Northern Cape Provinces: Alluvia of the Tankwa and Doring Rivers and sheet-wash plains of their less important tributaries embedded within SKv 5 Tanqua Karoo. "/>
    <s v="Northern Cape, Western Cape"/>
    <s v="Endemic to South Africa"/>
    <s v="South Africa"/>
    <s v="Deeply incised valleys  of intermittent rivers"/>
    <s v="Region characterised by arid to hyperarid climate, with MAP ranging between 100 mm and 170 mm (lowest long-term average is 72.3 mm for Elandsvlei on the Tankwa River). Overall MAP 162 mm, mainly falling in autumn and winter. Mean daily maximum and minimum temperatures are 32.5°C and 3.0°C for January and July, respectively. Overall MAT is slightly higher than 17°C. Due to basin macrotopography the occurrence of frost is fairly frequent. See also climate diagrams for AZi 7 Tanqua Wash Riviere (Figure 13.2)and SKv 5 Tanqua Karoo (Figure 5.65 in Chapter on Succulent Karoo in this book). "/>
    <s v="Broad Quaternary alluvial floors and drainage lines filled with recent sediments mostly from eroded Karoo Supergroup sediments. Sodic loamy to sandy soils (Ia land type) are predominantly supported by sediments of the Ecca and Dwyka Groups of the Karoo Supergroup. In the west, rocks of the Devonian Bokkeveld Group (Cape Supergroup) and in the east, the Permian Adelaide Subgroup (Karoo Supergroup) also support these soils. The run-off in these habitats is very low and spread over large areas."/>
    <x v="8"/>
    <n v="1989.47"/>
    <n v="1983.6"/>
    <s v="MP"/>
    <x v="0"/>
    <x v="0"/>
    <s v="LC↔LC"/>
    <m/>
    <s v="Unchanged"/>
  </r>
  <r>
    <s v="Terrestrial"/>
    <s v="Gh11"/>
    <s v="Vredefort Dome Granite Grassland"/>
    <s v="Dry Highveld Grassland Bioregion"/>
    <x v="0"/>
    <s v="T4"/>
    <s v="T4.5"/>
    <s v="Free State and North-West Provinces: Central portion of the Vredefort Dome around Parys and Vredefort. "/>
    <s v="Free State, North West"/>
    <s v="Endemic to South Africa"/>
    <s v="South Africa"/>
    <s v="Slightly undulating plains"/>
    <s v="Warm-temperate, summer-rainfall region, with overall MAP of 594 mm. Summer temperatures are high. Severe frost (38 days per year on average) occurs in winter. See also climate diagram for Gh 11 Vredefort Dome Granite Grassland (Figure 8.23)."/>
    <s v="Granite and gneiss at the core of the Vredefort Dome underlie this area and includes the Inlandsee Gneiss. Various soil types including the Hutton, Mispah and Avalon forms, representing plinthic soils, which can be dystrophic and/or mesotrophic (Ba land type) or eutrophic (Bc land type). Red soils are generally widespread."/>
    <x v="9"/>
    <n v="424.81"/>
    <n v="416.94400000000002"/>
    <s v="NP"/>
    <x v="2"/>
    <x v="2"/>
    <s v="CR↔CR"/>
    <s v="B1i_rod"/>
    <s v="Unchanged"/>
  </r>
  <r>
    <s v="Terrestrial"/>
    <s v="AZa6"/>
    <s v="Albany Alluvial Vegetation"/>
    <s v="Alluvial Vegetation"/>
    <x v="5"/>
    <s v="T4"/>
    <s v="T4.1"/>
    <s v="Eastern Cape Province: Between East London and Cape St Francis on wide floodplains (usually close to the coast where the topography becomes flatter) of the large rivers such as the Sundays, Zwartkops, Coega, Gamtoos, Baviaanskloof, Great Fish River etc. This alluvial unit is embedded within the Albany Thicket Biome. "/>
    <s v="Eastern Cape"/>
    <s v="Endemic to South Africa"/>
    <s v="South Africa"/>
    <s v="narrow floodplain zones in regions close to the coast or further inland"/>
    <s v="Characterised by undifferentiated, year-round precipitation regime, with only two slight peaks in March and November. The overall MAP is 350 mm (range 300–717 mm). Warm-temperate climate (overall MAT 18°C; range 15.7–18.3°C). The river valleys are often hotter than the surrounding landscape (due to exposed steep slopes), whereas riverine zones closer to the coast enjoy an ameliorated climate due to its proximity to the sea. See also climate diagram for AZa 6 Albany Alluvial Vegetation (Figure 13.2)."/>
    <s v="Underlain by Jurassic-Cretaceous sediments of the Uitenhage Group. The alluvial zones (recent alluvial deposits of various textures, but usually with high clay content) can become flooded following the west-east passage of frontal systems in autumn and winter or during intensive local storms in summer. Ia land type."/>
    <x v="10"/>
    <n v="292.38"/>
    <n v="286.15879999999999"/>
    <s v="PP"/>
    <x v="3"/>
    <x v="1"/>
    <s v="EN↔EN"/>
    <s v="B1i_rod"/>
    <s v="Unchanged"/>
  </r>
  <r>
    <s v="Terrestrial"/>
    <s v="SVs1"/>
    <s v="Thukela Valley Bushveld"/>
    <s v="Sub-Escarpment Savanna Bioregion"/>
    <x v="1"/>
    <s v="T4"/>
    <s v="T4.2"/>
    <s v=" KwaZulu-Natal Province: Central Thukela River basin upstream of Jameson’s Drift, past Tugela Ferry to about 20 km southeast of Ladysmith. Also in valleys of several major tributaries, such as the lower Mooi, Bushmans, Buffels and Sundays Rivers. "/>
    <s v="KwaZulu-Natal"/>
    <s v="Endemic to South Africa"/>
    <s v="South Africa"/>
    <s v="Often rocky rugged slopes and terraces"/>
    <s v=" Summer rainfall with dry winters. MAP about 500–850 mm. Frost fairly infrequent and usually on valley bottoms. Mean monthly maximum and minimum temperatures for Muden 36.7°C and 0.2°C and for Weenen 38.1°C and –4.4°C both for December and June, respectively. See also climate diagram for SVs 1 Thukela Valley Bushveld."/>
    <s v="Shallow soils of Mispah and Glenrosa forms on the slopes, while in valley bottoms, pockets of deep alluvial soils as well as calcareous, duplex soils are found. The major geological formations are sediments of Ecca Group (Karoo Supergroup) and in the eastern part also Archaean granites. Land types mainly Fc and Fb, with some Ae and Ea."/>
    <x v="11"/>
    <n v="1941.53"/>
    <n v="1972.316"/>
    <s v="NP"/>
    <x v="0"/>
    <x v="0"/>
    <s v="LC↔LC"/>
    <m/>
    <s v="Unchanged"/>
  </r>
  <r>
    <s v="Terrestrial"/>
    <s v="NKl2"/>
    <s v="Eastern Lower Karoo"/>
    <s v="Lower Karoo Bioregion"/>
    <x v="6"/>
    <s v="T5"/>
    <s v="T5.1"/>
    <s v="Eastern Cape and Western Cape Provinces: Plains east of the Kariega and Buffels Rivers in the area south of the Camdebo Mountains and the line of mountains linking to the Coetzeesberge encompassing Aberdeen, Graaff-Reinet and Pearston (region called Camdebo) and plains south of Aberdeen to Klipplaat and Miller. Contains some higher elevation islands of Camdebo Escarpment Thicket, Groot Thicket and Lower Karoo Gwarrieveld. "/>
    <s v="Eastern Cape, Western Cape"/>
    <s v="Endemic to South Africa"/>
    <s v="South Africa"/>
    <s v="Plains interrupted by some dolerite dykes, butts and mesas."/>
    <s v="Rainfall mostly in late summer and early autumn, with main peak in March. MAP ranges from about 150 mm in the west to 350 mm in the east. Mean maximum and minimum monthly temperatures for Graaff-Reinet are 38.6°C and –0.3°C for January and July, respectively. See also climate diagram for NKl 2 Eastern Lower Karoo (Figure 7.2)."/>
    <s v="Flat or gently sloping pediments composed of mudstone and resistant sandstones of the Beaufort Group (Adelaide Subgroup), Ecca sediments and Dwyka tillites in the south, with some Jurassic dolerite intrusions in the north. About half the area has red-yellow, apedal, freely drained soils, &lt;300 mm deep, with a high base status (Ag land type). Also shallow Glenrosa and/or Mispah soils (Fc land type)."/>
    <x v="12"/>
    <n v="8190.32"/>
    <n v="8164.2348000000002"/>
    <s v="MP"/>
    <x v="0"/>
    <x v="0"/>
    <s v="LC↔LC"/>
    <m/>
    <s v="Unchanged"/>
  </r>
  <r>
    <s v="Terrestrial"/>
    <s v="SVcb7"/>
    <s v="Norite Koppies Bushveld"/>
    <s v="Central Bushveld Bioregion"/>
    <x v="1"/>
    <s v="T4"/>
    <s v="T4.2"/>
    <s v="North-West and Gauteng Provinces: Embedded in Marikana Thornveld, north of the Magaliesberg, on rocky hills between Rustenburg and Pretoria with the highest hills (e.g. Kareepoortberg) near Brits. "/>
    <s v="Gauteng, North West"/>
    <s v="Endemic to South Africa"/>
    <s v="South Africa"/>
    <s v="The stands of this unit are found on noritic outcrops and koppies, many appearing as inselbergs above the surrounding plains."/>
    <s v="Summer rainfall with dry winters. MAP from 600–700 mm. Frost fairly frequent around the base of hills in winter but less so on the hills. See also climate diagram for SVcb 7 Norite Koppies Bushveld."/>
    <s v="Mostly gabbro and norite with interlayered anorthosite of the Pyramid Gabbro-Norite, Rustenburg Layered Suite, with a small area of the Rashoop Granophyre Suite (felsic igneous rocks), both of the Bushveld Complex (Vaalian). Large rock boulders and very shallow lithosols occur. Soils are well-drained, Glenrosa and Mispah forms; in some areas vertic, melanic clays are found as well. Land types mainly Ib, with some Ea also occurring."/>
    <x v="13"/>
    <n v="216.83"/>
    <n v="360.8888"/>
    <s v="PP"/>
    <x v="0"/>
    <x v="1"/>
    <s v="LC → EN"/>
    <s v="B1i_rod"/>
    <s v="Uplisted"/>
  </r>
  <r>
    <s v="Terrestrial"/>
    <s v="NKb5"/>
    <s v="Kalahari Karroid Shrubland"/>
    <s v="Bushmanland Bioregion"/>
    <x v="6"/>
    <s v="T5"/>
    <s v="T5.1"/>
    <s v="Northern Cape Province: Typically forming belts alternating with belts of Gordonia Duneveld on plains northwest of Upington through Lutzputs and Noenieput to the Rietfontein/Mier area in the north. Other patches occur around Kakamas and north of Groblershoop. The unit is also found in the neighbouring Namibia. "/>
    <s v="Northern Cape"/>
    <s v="Namibia"/>
    <s v="South Africa"/>
    <s v="flat, gravel plains."/>
    <s v="MAP ranges from about 100–200 mm and most rain falls in late summer and early autumn. Winters are particularly dry, with lowest winter relative humidity compared to other Nama-Karoo types. Mean maximum and minimum monthly temperatures in Upington are 39.5°C and –4.2°C for January and July, respectively. Solar radiation is high and in winter is higher than in any other vegetation type of the Nama-Karoo. See also climate diagram for NKb 5 Kalahari Karroid Shrubland (Figure 7.2). "/>
    <s v="Cenozoic Kalahari Group sands and small patches also on calcrete outcrops and screes on scarps of intermittent rivers (mekgacha). In places Dwyka Group tillites outcrop. The soils are deep (&gt;300 mm), red-yellow, apedal, freely drained, with a high base status, typical of Ae land type."/>
    <x v="14"/>
    <n v="8565.36"/>
    <n v="8543.5887999999995"/>
    <s v="NP"/>
    <x v="0"/>
    <x v="0"/>
    <s v="LC↔LC"/>
    <m/>
    <s v="Unchanged"/>
  </r>
  <r>
    <s v="Terrestrial"/>
    <s v="FFs22"/>
    <s v="South Rooiberg Sandstone Fynbos"/>
    <s v="Western Fynbos-Renosterveld Bioregion"/>
    <x v="4"/>
    <s v="T3"/>
    <s v="T3.2"/>
    <s v="Western Cape Province: Southern slopes of the mountains of Rooiberg, Gamka and the Amalienstein Ridge-Sandberg-Bakenskop range. "/>
    <s v="Western Cape"/>
    <s v="Endemic to South Africa"/>
    <s v="South Africa"/>
    <s v="Steep to gentle south-facing slopes, deeply dissected in a few places. "/>
    <s v="MAP 250–710 mm (mean: 465 mm), fairly even but with a low from December to February. Mean daily maximum and minimum temperatures 29.4°C and 3.5°C for January and July, respectively. Frost incidence 10–20 days per year. See also climate diagram for FFs 22 South Rooiberg Sandstone Fynbos (Figure 4.21)."/>
    <s v="Acidic lithosol soils derived from Ordovician sandstones of the Table Mountain Group (Cape Supergroup). Land types mainly Ib and Ic."/>
    <x v="15"/>
    <n v="385.49"/>
    <n v="385.38400000000001"/>
    <s v="WP"/>
    <x v="0"/>
    <x v="0"/>
    <s v="LC↔LC"/>
    <m/>
    <s v="Unchanged"/>
  </r>
  <r>
    <s v="Terrestrial"/>
    <s v="Gd6"/>
    <s v="Drakensberg-Amathole Afromontane Fynbos"/>
    <s v="Drakensberg Grassland Bioregion"/>
    <x v="0"/>
    <s v="T4"/>
    <s v="T4.5"/>
    <s v="KwaZulu-Natal, Eastern Cape and Free State Provinces (presumably also in Lesotho): Series of isolated patches in deeply incised Drakensberg valleys (both in the Northern and Southern Berg) with the southernmost outliers on the Amathole Mountains (Eastern Cape) as well as odd outliers deep into KwaZulu-Natal at high altitude (e.g. Madlozi Mountain) north of Qudeni in the Nkandla District. "/>
    <s v="KwaZulu-Natal, Eastern Cape, Free State"/>
    <s v="Endemic to ZA, Ls, Sz"/>
    <s v="South Africa"/>
    <s v="Steep valleys and escarpment slopes at the head of rivers with small stands in stream gullies and depressions"/>
    <s v="Summer-rainfall region, with MAP 800–1 820 mm (overall regional MAP 1 167 mm). Snowfalls are occasional and summer mists occur frequently. Overall regional MAT of 12.2°C might be misleading since summer days can be quite hot and frost occurs frequently in winter (more than 40 days) and the sheltered position of the afromontane fynbos habitats (steep slopes), often out of direct sun, probably has a profound influence on local microclimate. Hot, dry winds are common from July to October. See also climate diagram for Gd 6 Drakensberg-Amathole Afromontane Fynbos (Figure 8.11)."/>
    <s v="Jurassic basalts (Drakensberg Group) and a variety of Karoo Supergroup sedimentary rocks (mainly sandstone of the Clarens Formation of the Stormberg Group) giving rise to soils of varying depth and nutrient status. Dominant land type Ac, followed by Fa and Ad."/>
    <x v="16"/>
    <n v="21.56"/>
    <n v="21.5428"/>
    <s v="WP"/>
    <x v="0"/>
    <x v="0"/>
    <s v="LC↔LC"/>
    <m/>
    <s v="Unchanged"/>
  </r>
  <r>
    <s v="Terrestrial"/>
    <s v="FRs2"/>
    <s v="Nieuwoudtville Shale Renosterveld"/>
    <s v="Karoo Renosterveld Bioregion"/>
    <x v="4"/>
    <s v="T3"/>
    <s v="T3.2"/>
    <s v="Northern Cape Province: Bokkeveld Plateau at Nieuwoudtville extending in a 1–4 km wide strip 13 km south of Boererus on the Oorlogskloof River near Papkuilsfontein and almost 20 km north of Nieuwoudtville in the vicinity of Kleinplaas. "/>
    <s v="Northern Cape"/>
    <s v="Endemic to South Africa"/>
    <s v="South Africa"/>
    <s v="Flat tableland"/>
    <s v="MAP 190–350 mm (mean: 285 mm), peaking from May to August. Mean daily maximum and minimum temperatures 31.0°C and 3.2°C for February and July, respectively. Frost incidence about 10 days per year. See also climate diagram for FRs 2 Nieuwoudtville Shale Renosterveld (Figure 4.101)."/>
    <s v="The soils have a well-developed clay E-horizon (leading to seasonal water-logging of soils) in places and are derived from Dwyka Group diamictites (tillites) that have a fine-grained (shale) matrix. There are even areas with only skeletal clays over the Nardouw Subgroup rocks (Cape Supergroup). Land types mainly Db and Fb."/>
    <x v="17"/>
    <n v="105.19"/>
    <n v="104.38079999999999"/>
    <s v="NP"/>
    <x v="2"/>
    <x v="2"/>
    <s v="CR↔CR"/>
    <s v="B1i_rod"/>
    <s v="Unchanged"/>
  </r>
  <r>
    <s v="Terrestrial"/>
    <s v="FFs14"/>
    <s v="South Sonderend Sandstone Fynbos"/>
    <s v="Southwest Fynbos Bioregion"/>
    <x v="4"/>
    <s v="T3"/>
    <s v="T3.2"/>
    <s v="Western Cape Province: Southern slopes of the Riviersonderend Mountains from Villiersdorp and Eseljagsberg in the west to Stormsvlei in the east. "/>
    <s v="Western Cape"/>
    <s v="Endemic to South Africa"/>
    <s v="South Africa"/>
    <s v="Steep to gentle southern slopes, with extensive cliffs in places"/>
    <s v="MAP 380–1 650 mm (mean: 785 mm), peaking May to August. Southeasterly cloud brings heavy mist precipitation at higher altitudes in summer. Mean daily maximum and minimum monthly temperatures 25.7°C and 4.6°C for February and July, respectively. Frost incidence 3–10 days per year. See also climate diagram for FFs 14 Sonderend Sandstone Fynbos (Figure 4.21)."/>
    <s v="Acidic lithosol soils derived from Ordovician sandstones of the Table Mountain Group (Cape Supergroup). Land types mainly Ib, Ic and Fa."/>
    <x v="18"/>
    <n v="333.76"/>
    <n v="333.0772"/>
    <s v="WP"/>
    <x v="2"/>
    <x v="2"/>
    <s v="CR↔CR"/>
    <s v="B1iii_sp"/>
    <s v="Unchanged"/>
  </r>
  <r>
    <s v="Terrestrial"/>
    <s v="SKv13"/>
    <s v="Prince Albert Succulent Karoo"/>
    <s v="Rainshadow Valley Karoo Bioregion"/>
    <x v="3"/>
    <s v="T5"/>
    <s v="T5.2"/>
    <s v="Western Cape Province: Broad flat-bottomed, colluvium-filled valleys between the north-facing slopes of the Swartberg and the parallel ridges that lie to the north of the Swartberg, this vegetation unit extends from around Gamkapoort Dam (west of Prince Albert) along the Swartberg foothills, as far as the Bosmanspoort area north of Willowmore. "/>
    <s v="Western Cape"/>
    <s v="Endemic to South Africa"/>
    <s v="South Africa"/>
    <s v="Flat or only slightly undulating country with prominent parallel stony ridges in places, "/>
    <s v="Due to the rainshadow of the Swartberg Mountains, the MAP reaches only 165 mm. The rainfall pattern is equinoctial, with highest incidence from March to April and later from October to November. Winter rainfall is about 46% of the total precipitation. The overall MAT is slightly above 16°C, while at the Farm Tierberg (near Prince Albert) MAT is 17.5°C, temperatures ranging from below 0°C to 30°C. Incidence of frost of 26 days a year is quite high. See also climate diagram for SKv 13 Prince Albert Succulent Karoo (Figure 5.65)."/>
    <s v="Sedimentary rocks of the Ecca Group (particularly the Fort Brown and Prince Albert Formations) together with diamictite of the Dwyka Group are most important in the area, and to a lesser extent shales and quartzites of the Devonian Witteberg Group. In places, Tertiary alluvial and slope deposits overlie these Karoo and Cape Supergroup rocks. This geology supports development of various cambisols and leptosols. Fc is the dominant land type, while Ag land type plays only a minor role."/>
    <x v="19"/>
    <n v="2520.5100000000002"/>
    <n v="2513.9632000000001"/>
    <s v="PP"/>
    <x v="0"/>
    <x v="0"/>
    <s v="LC↔LC"/>
    <m/>
    <s v="Unchanged"/>
  </r>
  <r>
    <s v="Terrestrial"/>
    <s v="SVcb19"/>
    <s v="Limpopo Sweet Bushveld"/>
    <s v="Central Bushveld Bioregion"/>
    <x v="1"/>
    <s v="T4"/>
    <s v="T4.1"/>
    <s v="Limpopo Province: Extends from the lower reaches of the Crocodile and Marico Rivers around Makoppa and Derdepoort, respectively, down the Limpopo River Valley including Lephalale and into the tropics past Tom Burke to the Usutu border post and Taaiboschgroet area in the north. The unit also occurs on the Botswana side of the border."/>
    <s v="Limpopo"/>
    <s v="Botswana"/>
    <s v="South Africa"/>
    <s v="Plains, sometimes undulating or irregular, traversed by several tributaries of the Limpopo River."/>
    <s v="Summer rainfall with very dry winters including the shoulder months of May and September. MAP from about 350 mm in the northeast to about 500 mm in the southwest. Frost fairly infrequent. Mean monthly maximum and minimum temperatures for Lephalale 38.2°C and 2.1°C for December and June, respectively. See also climate diagram for SVcb 19 Limpopo Sweet Bushveld."/>
    <s v="The northern half of the area is dominated by gneisses, metasediments and metavolcanics of the Malala Drift Group, Beit Bridge Complex (Swazian Erathem), basalts of the Letaba Formation (Lebombo Group of the Karoo Supergroup) are also found in the northeast. Sandstone, siltstone and mudstone of the Clarens Formation (Karoo Supergroup), as well as of the Matlabas Subgroup (Mokolian Waterberg Group) are found to the south and west. Soils with calcrete and surface limestone layers, brownish sandy (Clovelly soil form) clayey-loamy soils (Hutton soil form) on the plains and low-lying areas, with shallow, gravelly, sandy soils on the slightly undulating areas, localised areas of black clayey soils (Valsrivier or Arcadia soil forms) and Kalahari sand. Land types mainly Ae, Ah and Fc."/>
    <x v="20"/>
    <n v="10749.17"/>
    <n v="10665.667600000001"/>
    <s v="PP"/>
    <x v="0"/>
    <x v="0"/>
    <s v="LC↔LC"/>
    <m/>
    <s v="Unchanged"/>
  </r>
  <r>
    <s v="Terrestrial"/>
    <s v="Gs1"/>
    <s v="Northern Zululand Mistbelt Grassland"/>
    <s v="Sub-Escarpment Grassland Bioregion"/>
    <x v="0"/>
    <s v="T4"/>
    <s v="T4.5"/>
    <s v="KwaZulu-Natal Province: Crests and slopes of the Ngome Mountain range and the Ngoje Mountain surrounding Louwsburg as well as some smaller mountainous areas of Langkrans, KwaCeza, KwaNtimbankulu and Nhlazatshe."/>
    <s v="KwaZulu-Natal"/>
    <s v="Endemic to South Africa"/>
    <s v="South Africa"/>
    <s v="Gentle to steep upper slopes of mountains formed by hard dolerite dykes"/>
    <s v="Summer rainfall, with overall MAP around 960 mm, reaching 1 130 mm in places. Moisture-laden air frequently blows in from the southeast and is forced up 400–500 m over the mountains, creating ‘mistbelt’ conditions (particularly in spring and summer) that contribute to precipitation. MAT is 17.2°C (16–17.4°C) and mean annual range of evaporation is close to 1 790 mm. See also climate diagram for Gs 1 Northern Zululand Mistbelt Grassland (Figure 8.61)."/>
    <s v="Shales and sandstones of the Madzaringwe and Pietermaritzburg Formations (both Karoo Supergroup) as well as intrusive rocks of the Karoo Dolerite Suite. Dominant soil forms are Hutton, Clovelly and Griffin and are well drained, having 15–35% clay in the A-horizon. Dominant land type Ac, followed in importance by Fa and Ab."/>
    <x v="21"/>
    <n v="283.32"/>
    <n v="281.48680000000002"/>
    <s v="PP"/>
    <x v="3"/>
    <x v="1"/>
    <s v="EN↔EN"/>
    <s v="B1i_rod"/>
    <s v="Unchanged"/>
  </r>
  <r>
    <s v="Terrestrial"/>
    <s v="Dg3"/>
    <s v="Richtersveld Sheet Wash Desert"/>
    <s v="Gariep Desert Bioregion"/>
    <x v="2"/>
    <s v="T5"/>
    <s v="T5.5"/>
    <s v=" The unit is represented by many scattered smaller and larger valleys and plains in the northeastern Richtersveld. The largest areas (that can be shown on a map) include the Springbokvlakte, the Maerpoort, parts of the mid-upper reaches of the Abiekwa and Gannakouriep catchments, the lower Kourougab with the Kook River and the lower Kouams River. At a finer scale, many more parts of this unit would become visible in the northeastern parts of the Richtersveld. "/>
    <s v="Northern Cape"/>
    <s v="Namibia"/>
    <s v="South Africa"/>
    <s v="Sloping, often broad, valley floors, planated by the runoff from rare but strong thunderstorms and often funnelled by the surrounding bare rock of the mountains"/>
    <s v="MAP about 45–70 mm. Very variable, transitional climate between winter and summer rainfall, showing a tendency towards summer rainfall in the east (e.g. lower Springbokvlakte). Rare thunderstorms are the most important source of rainfall. High summer maximum temperatures reach 50°C. Frost is very rare, but occurs at high altitudes. A new rain meter near the Tatasberg recorded a MAP of 55 mm over a six-year period."/>
    <s v="Coarse to fine alluvial sediments created from a variety of rock types mainly of the Vioolsdrif Suite and De Hoop Subgroup (Orange River Group, Mokolian Erathem), but also of the Dwyka Group (Karoo Supergroup), where these glacial deposits cover the older Mokolian rocks. Eroded sediments are shallow to generally deep."/>
    <x v="22"/>
    <n v="156.47999999999999"/>
    <n v="156.47839999999999"/>
    <s v="WP"/>
    <x v="0"/>
    <x v="0"/>
    <s v="LC↔LC"/>
    <m/>
    <s v="Unchanged"/>
  </r>
  <r>
    <s v="Terrestrial"/>
    <s v="SVs5"/>
    <s v="KwaZulu-Natal Sandstone Sourveld"/>
    <s v="Sub-Escarpment Savanna Bioregion"/>
    <x v="1"/>
    <s v="T4"/>
    <s v="T4.2"/>
    <s v="KwaZulu-Natal Province: Elevated coastal inland sandstone plateaus from Mapumulo near Kranskop in the north to St Faiths near Port Shepstone in the south (including Noodsberg, Hillcrest, Kloof, Table Mountain, Inanda, Stony Hill, Umbumbulu, Mid-Illovo, Dumisa, Highflats). "/>
    <s v="KwaZulu-Natal"/>
    <s v="Endemic to South Africa"/>
    <s v="South Africa"/>
    <s v="The dominating landscape features are flat (or rolling) plateau tops and steep slopes commonly forming table mountains."/>
    <s v="Summer rainfall with some rain in winter. MAP about 700–1 200 mm. Mist common and important in providing additional moisture. Frost very infrequent. Mean monthly maximum and minimum temperatures for Hillcrest 35.0°C and 4.2°C and for Mid-Illovo 35.8°C and 4.7°C both for October and June/July, respectively. Corresponding values for Dalton 35.6°C and 0.9°C for October and July, respectively. See also climate diagram for SVs 5 KwaZulu-Natal Sandstone Sourveld."/>
    <s v="Ordovician Natal Group sandstones carry shallow, nutrient-poor, skeletal, sandy soils freely drained and including Glenrosa and Mispah forms. Land types Fa, Ac, Aa and Bb."/>
    <x v="23"/>
    <n v="257.39"/>
    <n v="250.32480000000001"/>
    <s v="NP"/>
    <x v="3"/>
    <x v="1"/>
    <s v="EN↔EN"/>
    <s v="A3_nat, A3_kzn, A2b, B1i_rod"/>
    <s v="Unchanged"/>
  </r>
  <r>
    <s v="Terrestrial"/>
    <s v="Gm17"/>
    <s v="Barberton Montane Grassland"/>
    <s v="Mesic Highveld Grassland Bioregion"/>
    <x v="0"/>
    <s v="T4"/>
    <s v="T4.5"/>
    <s v="Mpumalanga Province and northwestern Swaziland: From Barberton westwards towards Nelshoogte, northwards along the high-lying grassland areas towards Kaapmuiden and Malelane, and southeast towards Piggs Peak. It generally occurs at high altitudes in the Barberton region, ranging from 760 m in the north to 1 640 m in the southwest."/>
    <s v="Mpumalanga"/>
    <s v="Endemic to ZA, Ls, Sz"/>
    <s v="South Africa"/>
    <s v="This unit occurs along the high mountains above Barberton, which rise above the surrounding Lowveld. The terrain is steep, rugged and accessibility is limited. "/>
    <s v="Early summer rainfall, concentrated between November and March. MAP varies between 950 mm in the west, to 1 470 mm in the east (overall MAP 1 194 mm). Frosts are very infrequent during winter (3 days per year) and increase towards the west (10 days). Hot dry winds occur from August to October. See also climate diagram for Gm 17 Barberton Montane Grassland (Figure 8.36)."/>
    <s v="Barberton Supergroup schists, gneiss, felspathic quartzites and various lavas of the Figtree, Moodies, and Onverwacht Formations. Land types Fa (60%) and Ac (20%)."/>
    <x v="24"/>
    <n v="807.44"/>
    <n v="805.17759999999998"/>
    <s v="WP"/>
    <x v="0"/>
    <x v="0"/>
    <s v="LC↔LC"/>
    <m/>
    <s v="Unchanged"/>
  </r>
  <r>
    <s v="Terrestrial"/>
    <s v="SVl2"/>
    <s v="Nwambyia-Pumbe Sandy Bushveld"/>
    <s v="Lowveld Bioregion"/>
    <x v="1"/>
    <s v="T4"/>
    <s v="T4.1"/>
    <s v="Limpopo and Mpumalanga Provinces: Flats well to the east of Punda Maria on the border with Mozambique (the Nwambyia part of this unit). A small patch further south, also on the eastern border, in the vicinity of the Pumbe Guard Post northeast of Satara. "/>
    <s v="Mpumalanga, Limpopo"/>
    <s v="Mozambique"/>
    <s v="South Africa"/>
    <s v="Flats with several small pans embedded. Conspicuous is the absence of well-defined drainage channels."/>
    <s v="Summer rainfall with dry winters. MAP about 450–650 mm. Generally a frost-free region. See also climate diagram for SVl 2 Nwambyia-Pumbe Sandy Bushveld."/>
    <s v="The Cretaceous Malvernia Formation conglomerate and overlying sandstone form deep yellow to red Quaternary sands of the Hutton and Clovelly soil forms (apedal, freely drained, dystrophic and mesotrophic). The Pumbe part also includes some shallow lithosols (Mispah and Glenrosa soil forms). Land types mainly Ac and Fb."/>
    <x v="25"/>
    <n v="181.67"/>
    <n v="183.78360000000001"/>
    <s v="WP"/>
    <x v="0"/>
    <x v="0"/>
    <s v="LC↔LC"/>
    <m/>
    <s v="Unchanged"/>
  </r>
  <r>
    <s v="Terrestrial"/>
    <s v="Gm11"/>
    <s v="Rand Highveld Grassland"/>
    <s v="Mesic Highveld Grassland Bioregion"/>
    <x v="0"/>
    <s v="T4"/>
    <s v="T4.5"/>
    <s v="Gauteng, North-West, Free State and Mpumalanga Provinces: In areas between rocky ridges from Pretoria to Witbank, extending onto ridges in the Stoffberg and Roossenekal regions as well as west of Krugersdorp centred in the vicinity of Derby and Potchefstroom, extending southwards and northeastwards from there."/>
    <s v="Gauteng"/>
    <s v="Endemic to South Africa"/>
    <s v="South Africa"/>
    <s v="Highly variable landscape with extensive sloping plains and a series of ridges slightly elevated over undulating surrounding plains. "/>
    <s v="Strongly seasonal summer-rainfall, warm-temperate region, with very dry winters. MAP is 654 mm, ranging between 570 mm and 730 mm, slightly lower in the western regions. The coefficient of variation of MAP is 28% in the west and 26–27% in the east, and varies only slightly from 25% to 29% across the unit. The incidence of frost is higher in the west (30–40 days) than in the east (10–35 days). See also climate diagram for Gm 11 Rand Highveld Grassland (Figure 8.36)."/>
    <s v="Quartzite ridges of the Witwatersrand Supergroup and the Pretoria Group as well as the Selons River Formation of the Rooiberg Group (last two are of the Transvaal Supergroup), supporting soils of various quality (shallow Glenrosa and Mispah forms especially on rocky ridges), typical of Ba, Bc, Bb and Ib land types."/>
    <x v="26"/>
    <n v="4432.2700000000004"/>
    <n v="4209.3108000000002"/>
    <s v="PP"/>
    <x v="1"/>
    <x v="3"/>
    <s v="VU↔VU"/>
    <s v="A3_nat"/>
    <s v="Unchanged"/>
  </r>
  <r>
    <s v="Terrestrial"/>
    <s v="SKr16"/>
    <s v="Umdaus Mountains Succulent Shrubland"/>
    <s v="Richtersveld Bioregion"/>
    <x v="3"/>
    <s v="T5"/>
    <s v="T5.2"/>
    <s v="Northern Cape Province: Area between the Steinkopf Plateau and the Nababeep Mountains in the southeastern Richtersveld including the wide basins of the Wyepoort and Aribes Rivers. The eastern margin is not well defined and is mapped just short of Geelberg. "/>
    <s v="Northern Cape"/>
    <s v="Endemic to South Africa"/>
    <s v="South Africa"/>
    <s v="Mountainous terrain along the southern and western edges and sheet wash plains with roundish or steep rocky hills. "/>
    <s v="Mainly winter rainfall with slight transition to summer rainfall in the east. Estimated MAP 100–200 mm. Up to 10 frost days per year. Fog not important. See also climate diagram for SKr 16 Umdaus Mountains Succulent Shrubland (Figure 5.12)."/>
    <s v="Mainly Mokolian granites, gneisses and schists supporting shallow soils of loamy or sandy texture. Ib land type dominates the landscapes."/>
    <x v="27"/>
    <n v="432.51"/>
    <n v="432.35919999999999"/>
    <s v="NP"/>
    <x v="0"/>
    <x v="0"/>
    <s v="LC↔LC"/>
    <m/>
    <s v="Unchanged"/>
  </r>
  <r>
    <s v="Terrestrial"/>
    <s v="Gh2"/>
    <s v="Aliwal North Dry Grassland"/>
    <s v="Dry Highveld Grassland Bioregion"/>
    <x v="0"/>
    <s v="T4"/>
    <s v="T4.5"/>
    <s v="Eastern Cape and Free State Provinces: In the broad surrounds of Aliwal North, running in an east-west direction along the northern foothills of the Stormberg Plateau, extending northwards up the Caledon River Valley in the Free State to around Wepener and De Wetsdorp. "/>
    <s v="Eastern Cape, Free State"/>
    <s v="Endemic to South Africa"/>
    <s v="South Africa"/>
    <s v="Broken terrain and irregular plains"/>
    <s v="Overall MAP 510 mm, reaching 600 mm in Wepener (northeastern region of the unit), falling predominantly during summer. MAT around 14°C, with more than 50 days of frost. See also climate diagram for Gh 2 Aliwal North Dry Grassland (Figure 8.23)."/>
    <s v="Alternating layers of mudstone and sandstone of the Tarkastad Subgroup (Beaufort Group, Karoo Supergroup) dominate the undulating topography. In areas protected from erosion, a sandy layer also covers the clayey subsoils. About two thirds of the soils of the area is dominated by soils with diagnostic pedocutanic and prismacutanic (dark clayey) B-horizons of the Db land type. In this land type the dominant soil forms are Estcourt, Rensburg and Oakleaf forms. Dominant land type Db, followed by Da."/>
    <x v="28"/>
    <n v="5694.28"/>
    <n v="5660.3984"/>
    <s v="NP"/>
    <x v="0"/>
    <x v="0"/>
    <s v="LC↔LC"/>
    <m/>
    <s v="Unchanged"/>
  </r>
  <r>
    <s v="Terrestrial"/>
    <s v="FFs8"/>
    <s v="South Hex Sandstone Fynbos"/>
    <s v="Northwest Fynbos Bioregion"/>
    <x v="4"/>
    <s v="T3"/>
    <s v="T3.2"/>
    <s v="Western Cape Province: Southern slopes of the Hex River Mountains from Mosterthoek Twins southeast of Wolseley to Kleinstraat west of Touws River. "/>
    <s v="Western Cape"/>
    <s v="Endemic to South Africa"/>
    <s v="South Africa"/>
    <s v="Rugged mountainous terrain with steep, high cliffs and steep slopes facing south and deeply dissected down to valley floors, creating some of the most dramatic relief in the country, for example at Baboon Peak. "/>
    <s v="MAP 300–2 300 mm (mean: 955 mm), peaking markedly May to August. Snow regular in winter. Southeasterly cloud may bring heavy mist precipitation at higher altitudes in summer. This is the third wettest type of the Cape vegetation. Mean daily maximum and minimum monthly temperatures 26.0°C and 2.7°C for February and July, respectively. Frost incidence 10–30 days per year. See also climate diagram for FFs 8 South Hex Sandstone Fynbos (Figure 4.21)."/>
    <s v="Acidic lithosol soils derived from Ordovician sandstones of the Table Mountain Group (Cape Supergroup). Land types mainly Ic."/>
    <x v="29"/>
    <n v="316.04000000000002"/>
    <n v="315.6388"/>
    <s v="WP"/>
    <x v="0"/>
    <x v="0"/>
    <s v="LC↔LC"/>
    <m/>
    <s v="Unchanged"/>
  </r>
  <r>
    <s v="Terrestrial"/>
    <s v="Gm24"/>
    <s v="Northern Escarpment Afromontane Fynbos"/>
    <s v="Mesic Highveld Grassland Bioregion"/>
    <x v="0"/>
    <s v="T4"/>
    <s v="T4.5"/>
    <s v="Limpopo and Mpumalanga Provinces: Restricted distribution from the peaks of Thabakgolo Mountains above Penge, southwards along highest peaks only, through Mariepskop and as far south as Graskop. Also found in fragments on the summits of the Blouberg and Soutpansberg Mountains (the latter unmapped). "/>
    <s v="Mpumalanga, Limpopo"/>
    <s v="Endemic to South Africa"/>
    <s v="South Africa"/>
    <s v="patches of high-lying quartzite ridges that experience frequent mist. Terrain is very rocky and fires are very rare."/>
    <s v="Summer rainfall generally greater than 1 400 mm, augmented by mist during large parts of the year. Temperature cooler than surrounding areas (MAT 15.6ºC). Frosts infrequent. See climate diagram for Gm 24 Northern Escarpment Afromontane Fynbos (Figure 8.36)."/>
    <s v="Predominantly quartzite of the Black Reef Formation and the Wolkberg Group but also on the westerly Timeball Hill Formation and other quartzitic formations of the Pretoria Group (Transvaal Supergroup). The overwhelmingly dominant land type is Ib, with Ac having a subordinate position."/>
    <x v="30"/>
    <n v="9.34"/>
    <n v="9.3420000000000005"/>
    <s v="WP"/>
    <x v="0"/>
    <x v="0"/>
    <s v="LC↔LC"/>
    <m/>
    <s v="Unchanged"/>
  </r>
  <r>
    <s v="Terrestrial"/>
    <s v="SKv2"/>
    <s v="Swartruggens Quartzite Karoo"/>
    <s v="Rainshadow Valley Karoo Bioregion"/>
    <x v="3"/>
    <s v="T5"/>
    <s v="T5.2"/>
    <s v="Western and Northern Cape Provinces: Hottentotsberge and eastern portions of the Swartruggens bordering on the Tanqua Basin—from the canyon of the Doring River (leaving the Tanqua Karoo Basin at Elandsvlei) in the north to the Karoopoort (east of Ceres) in the south. "/>
    <s v="Northern Cape, Western Cape"/>
    <s v="Endemic to South Africa"/>
    <s v="South Africa"/>
    <s v="Hilly landscape dissected by valleys with steep rocky slope"/>
    <s v="Winter-rainfall regime with clear precipitation optimum from June to August. MAP is around 200 mm (semidesert). MAT 15–16°C. Incidence of frost in midrange in comparison with other units of the Rainshadow Valley category (SKv). See also climate diagram for SKv 2 Swartruggens Quartzite Karoo (Figure 5.65)."/>
    <s v="Quartzitic sandstones of the Witteberg Group (Cape Supergroup) supporting shallow, skeletal soils (mainly Mispah soil form). Ib land type is dominant."/>
    <x v="31"/>
    <n v="557.26"/>
    <n v="557.15120000000002"/>
    <s v="MP"/>
    <x v="0"/>
    <x v="0"/>
    <s v="LC↔LC"/>
    <m/>
    <s v="Unchanged"/>
  </r>
  <r>
    <s v="Terrestrial"/>
    <s v="FRs7"/>
    <s v="Montagu Shale Renosterveld"/>
    <s v="Western Fynbos-Renosterveld Bioregion"/>
    <x v="4"/>
    <s v="T3"/>
    <s v="T3.2"/>
    <s v="Western Cape Province: Patches in the western Little Karoo south of the Waboomberg and Warmwaterberg and south of the Anysberg and Klein Swartberg as well as along the northern foothills of the Langeberg and the southern foothills of the Anysberg, Klein Swartberg, Rooiberg and Gamkaberg, from The Koo in the west to Calitzdorp and Cloete’s Pass in the east. The largest patch occurs between Montagu and Barrydale. "/>
    <s v="Western Cape"/>
    <s v="Endemic to South Africa"/>
    <s v="South Africa"/>
    <s v="Undulating hilly landscape with broad valleys"/>
    <s v="MAP 140–560 mm (mean: 320 mm), with a slight peak in winter. Mean daily maximum and minimum temperatures 28.1°C and 4.1°C for January and July, respectively. Frost incidence 10–20 days per year. See also climate diagram for FRs 7 Montagu Shale Renosterveld (Figure 4.101)."/>
    <s v="Clays mostly derived from Bokkeveld and some Witteberg Group shales; Glenrosa and Mispah forms prominent. Some extensive quartzitic pebble fields occur. Land types mainly Fc and Fb. "/>
    <x v="32"/>
    <n v="1299.19"/>
    <n v="1293.3652"/>
    <s v="PP"/>
    <x v="0"/>
    <x v="0"/>
    <s v="LC↔LC"/>
    <m/>
    <s v="Unchanged"/>
  </r>
  <r>
    <s v="Terrestrial"/>
    <s v="NKb2"/>
    <s v="Blouputs Karroid Thornveld"/>
    <s v="Bushmanland Bioregion"/>
    <x v="6"/>
    <s v="T5"/>
    <s v="T5.1"/>
    <s v="Northern Cape Province: An irregular belt of relatively flat areas skirting the Lower Gariep Broken Veld from around the Augrabies Falls, westwards on the plain above the Blouputs Valley, through the Narries area to the shallow valleys of Kotie se Laagte and Samoep se Laagte. The unit also occurs in southern Namibia. "/>
    <s v="Northern Cape"/>
    <s v="Namibia"/>
    <s v="South Africa"/>
    <s v=" slightly undulating rocky plains "/>
    <s v="Lowest MAP of the vegetation types of the Nama-Karoo (80–120 mm). Seasonal rainfall peaks in March, winters are dry. Incidence of frost is relatively low. See also climate diagram for NKb 2 Blouputs Karroid Thornveld (Figure 7.2)."/>
    <s v="The geology is dominated by Mokolian gneisses such as those of the Hartbees River Complex and the younger Eendoorn Suite. Schists and quartzites of the Bushmanland Group are also significant. Dorbank outcrops at many places and a very dense subdendritic drainage and dissection pattern. The dominating soil forms are Hutton and Mispah—coarse, sandy and shallow (0.1–0.3 m deep). Fb land type dominates the landscape."/>
    <x v="33"/>
    <n v="601.91999999999996"/>
    <n v="601.41359999999997"/>
    <s v="WP"/>
    <x v="0"/>
    <x v="0"/>
    <s v="LC↔LC"/>
    <m/>
    <s v="Unchanged"/>
  </r>
  <r>
    <s v="Terrestrial"/>
    <s v="NKu4"/>
    <s v="Eastern Upper Karoo"/>
    <s v="Upper Karoo Bioregion"/>
    <x v="6"/>
    <s v="T5"/>
    <s v="T5.1"/>
    <s v="Northern Cape, Eastern Cape and Western Cape Provinces: Between Carnarvon and Loxton in the west, De Aar, Petrusville and Venterstad in the north, Burgersdorp, Hofmeyr and Cradock in the east and the Great Escarpment and the Sneeuberge-Coetzeesberge mountain chain in the south."/>
    <s v="Eastern Cape, Northern Cape, Western Cape"/>
    <s v="Endemic to South Africa"/>
    <s v="South Africa"/>
    <s v="Flats and gently sloping plains (interspersed with hills and rocky areas of Upper Karoo Hardeveld in the west, Besemkaree Koppies Shrubland in the northeast and Tarkastad Montane Shrubland in the southeast)"/>
    <s v="Rainfall mainly in autumn and summer, peaking in March. MAP ranges from about 180 mm in the west to 430 mm in the east. Incidence of frost is relatively high, but ranging widely from &lt;30 days (in the lower-altitude Cradock area) to &gt;80 days of frost per year (bordering the Upper Karoo Hardeveld on the Compassberg and mountains immediately to the west). Mean maximum and minimum monthly temperatures in Middelburg (Grootfontein) are 36.1°C and –7.2°C for January and July, respectively. Corresponding values are 37°C and –8°C for Victoria West and 36.6°C and –4.2°C for Hofmeyr. See also climate diagram for NKu 4 Eastern Upper Karoo."/>
    <s v="Mudstones and sandstones of the Beaufort Group (incl. both Adelaide and Tarkastad Subgroups) supporting duplex soils with prismacutanic and/or pedocutanic diagnostic horizons dominant (Da land type) as well as some shallow Glenrosa and Mispah soils (Fb and Fc land types). In places, less prominent Jurassic dolerites (Karoo Dolerite Suite) are also found."/>
    <x v="34"/>
    <n v="48098.39"/>
    <n v="48084.332799999996"/>
    <s v="PP"/>
    <x v="0"/>
    <x v="0"/>
    <s v="LC↔LC"/>
    <m/>
    <s v="Unchanged"/>
  </r>
  <r>
    <s v="Terrestrial"/>
    <s v="NKl4"/>
    <s v="Albany Broken Veld"/>
    <s v="Lower Karoo Bioregion"/>
    <x v="6"/>
    <s v="T5"/>
    <s v="T5.1"/>
    <s v="Eastern Cape Province: Immediately to the north of the Zuurberg Mountains and south of Middlewater, Ripon and the area around the confluence of the Great and Little Fish Rivers and extending eastwards, north of the mountain ridges around Riebeeck East to the Carlisle Bridge area and south of these ridges in the upper Bushmans River Valley past Alicedale and up the New Years River Valley. Including also some irregular linear patches east of Riebeeck East. "/>
    <s v="Eastern Cape"/>
    <s v="Endemic to South Africa"/>
    <s v="South Africa"/>
    <s v="Low mountain ridges and hills "/>
    <s v="Bimodal rainfall with main peak in March and secondary peak in November. Some rain falls in the winter months. Rainfall relatively high for the Nama-Karoo. Incidence of frost is low, with less than a tenth of the area experiencing more than 10 frost days per year. MAP ranges from about 290 mm in the west (in the rainshadow of the Zuurberg) to about 500 mm in the east. See also climate diagram for NKl 4 Albany Broken Veld (Figure 7.2)."/>
    <s v="Mainly shales and some sandstones of various stratigraphic units within the Witteberg Group of the Cape Supergroup and the Beaufort, Ecca and Dwyka Groups of the Karoo Supergroup. Mainly Glenrosa and/or Mispah soils (Fc land type) with some red-yellow, apedal, drained soils, with a high base status, generally &lt;300 mm deep, typical of Ag land type."/>
    <x v="35"/>
    <n v="685.79"/>
    <n v="683.1472"/>
    <s v="MP"/>
    <x v="0"/>
    <x v="0"/>
    <s v="LC↔LC"/>
    <m/>
    <s v="Unchanged"/>
  </r>
  <r>
    <s v="Terrestrial"/>
    <s v="Gm23"/>
    <s v="Northern Escarpment Quartzite Sourveld"/>
    <s v="Mesic Highveld Grassland Bioregion"/>
    <x v="0"/>
    <s v="T4"/>
    <s v="T4.5"/>
    <s v="Limpopo and Mpumalanga Provinces: Occurring along the high-altitude crests of the Northern Escarpment, from Haenertsburg in the north, southeastwards, then bending southwards past Blyde River Canyon, Graskop and as far south as the vicinity of Kaapsehoop. "/>
    <s v="Mpumalanga, Limpopo"/>
    <s v="Endemic to South Africa"/>
    <s v="South Africa"/>
    <s v="The landscape is characteristically very rugged, with steep east-facing cliffs. This escarpment is intersected in some areas with large east-flowing rivers."/>
    <s v="Summer rainfall, but orographic effects enhance precipitation (overall regional MAP 1 176 mm). Mist common along the highest areas. Warm-temperate climate (MAT 16.6ºC), with infrequent frost. See also climate diagram for Gm 23 Northern Escarpment Quartzite Sourveld (Figure 8.36)."/>
    <s v="Black Reef Group and Wolkberg Group quartzite (formed 2.5 gya and occurring at the base of the Transvaal Supergroup), covered with shallow rocky soils of the Mispah form. Dominant land type Ab, with Ib, Fa and Ac of subordinate importance."/>
    <x v="36"/>
    <n v="763.06"/>
    <n v="759.84799999999996"/>
    <s v="MP"/>
    <x v="0"/>
    <x v="0"/>
    <s v="LC↔LC"/>
    <m/>
    <s v="Unchanged"/>
  </r>
  <r>
    <s v="Terrestrial"/>
    <s v="SVl10"/>
    <s v="Pretoriuskop Sour Bushveld"/>
    <s v="Lowveld Bioregion"/>
    <x v="1"/>
    <s v="T4"/>
    <s v="T4.2"/>
    <s v="Mpumalanga Province: From around Hazyview and Pretoriuskop Camp in the southwestern part of the Kruger National Park to the Malekutu area. Also in the Crocodile Estates area between Nelspruit and Crocodile Gorge. "/>
    <s v="Mpumalanga"/>
    <s v="Endemic to South Africa"/>
    <s v="South Africa"/>
    <s v="Mainly uplands "/>
    <s v="Summer rainfall and dry winters. MAP about 550–800 mm. Frost infrequent. Mean monthly maximum and minimum temperatures for Pretoriuskop are 37.3°C and 5.2°C for October and July, respectively. See also climate diagram for SVl 10 Pretoriuskop Sour Bushveld."/>
    <s v="Granite and gneiss of the Nelspruit Suite weathering to a shallow, leached, red to yellow-brown sand to sandy loam of the Glenrosa, Hutton and Clovelly forms. Land types Ae, Ab, Ba and Fb."/>
    <x v="37"/>
    <n v="624.88"/>
    <n v="615.28920000000005"/>
    <s v="WP"/>
    <x v="0"/>
    <x v="0"/>
    <s v="LC↔LC"/>
    <m/>
    <s v="Unchanged"/>
  </r>
  <r>
    <s v="Terrestrial"/>
    <s v="SVcb4"/>
    <s v="Dwarsberg-Swartruggens Mountain Bushveld"/>
    <s v="Central Bushveld Bioregion"/>
    <x v="1"/>
    <s v="T4"/>
    <s v="T4.2"/>
    <s v="North-West Province: Occurs on hills and ridges east of the Lobatsi River through the Zeerust and the Swartruggens areas to Mabeskraal and the Selons River Valley in the east. Also occurs on the parallel ridges of the Dwarsberge from Witkleigat in the west to the hills of the Dwarsberg area in the east. "/>
    <s v="North West"/>
    <s v="Botswana"/>
    <s v="South Africa"/>
    <s v="Rocky low to medium high hills and ridges with some steep faces in places. Height above the surrounding plains can reach about 300 m. "/>
    <s v="Summer rainfall with very dry winters. MAP from about 550–650 mm. Frost fairly frequent in winter in lower-lying areas, less so on the hills. Mean monthly maximum and minimum temperatures for Lindleyspoort-Irr weather station 35.2°C and –0.4oC for January and June, respectively. See also climate diagram for SVcb 4 Dwarsberg-Swartruggens Mountain Bushveld."/>
    <s v="Shales, quartzites and andesites of the Pretoria Group (Transvaal Supergroup) with stony shallow soils of the Glenrosa and Mispah soil forms, with some deep, freely drained soils. Land types mainly Fb, Ib and Ae."/>
    <x v="38"/>
    <n v="2329.17"/>
    <n v="3661.7435999999998"/>
    <s v="PP"/>
    <x v="0"/>
    <x v="0"/>
    <s v="LC↔LC"/>
    <m/>
    <s v="Unchanged"/>
  </r>
  <r>
    <s v="Terrestrial"/>
    <s v="Gm19"/>
    <s v="Sekhukhune Montane Grassland"/>
    <s v="Mesic Highveld Grassland Bioregion"/>
    <x v="0"/>
    <s v="T4"/>
    <s v="T4.5"/>
    <s v="Mpumalanga Province: continuous undulating norite hills in the Roossenekal region, from Stoffberg in the south, northwards through Mapochs Gronde to Schurinksberg in the north, with the Steelpoort River in the west. A"/>
    <s v="Mpumalanga"/>
    <s v="Endemic to South Africa"/>
    <s v="South Africa"/>
    <s v="Major chains of hills transect the area and have a north-south orientation, creating moderately steep slopes with predominantly eastern and western aspects. Large norite boulders and stones cover the shallow soils on the hillsides"/>
    <s v="This unit experiences a similar climate to the adjacent Lydenburg Montane Grassland, although frost incidence decreases towards the north. Summer-rainfall regime with the MAP from about 720 mm in the east to 600 mm in the west, much of the rain falling in the form of thunderstorms in summer from November to January. Mean daily temperature ranges from a minimum of 2.8ºC in winter to a maximum of 24.9ºC in summer. Daily temperatures vary considerably at different localities, with higher temperatures on the plains and lower temperatures on higher-lying plateaus. See also climate diagram for Gm 19 Sekhukhune Montane Grassland (Figure 8.36)."/>
    <s v="The area mostly overlies the mafic intrusive rocks of the Upper and Main Zones of the Rustenburg Layered Suite, which is economically the most important part of the Bushveld Igneous Complex (Vaalian Erathem). The west of this area is dominated by diorite and gabbro (often magnetite-rich) of the Roossenekal Subsuite, whereas the east is dominated by gabbro and norite of the Dsjate Subsuite. In the extreme northeast of the area are metasediments of the Pretoria Group (also Vaalian Erathem) that were metamorphosed by the intrusion of the Bushveld Igneous Complex. Substrates of the undulating hills are generally heterogeneous rocky areas with miscellaneous soil types and those of the southern plains have diagnostic horizons that are vertic, melanic or red-structured. Dominant soil forms have a high clay content and include Arcadia, Mayo, Milkwood, Mispah, Shortlands and Steendal. Ea land type covers 40% of the area, with minor occurrences of Ib and Ab."/>
    <x v="39"/>
    <n v="858.1"/>
    <n v="847.08320000000003"/>
    <s v="NP"/>
    <x v="0"/>
    <x v="0"/>
    <s v="LC↔LC"/>
    <m/>
    <s v="Unchanged"/>
  </r>
  <r>
    <s v="Terrestrial"/>
    <s v="Gm20"/>
    <s v="Leolo Summit Sourveld"/>
    <s v="Mesic Highveld Grassland Bioregion"/>
    <x v="0"/>
    <s v="T4"/>
    <s v="T4.5"/>
    <s v="Limpopo Province: Discontinuous summits on the Leolo Mountain range, which forms an extension to the norite massif of the Dwars River Mountains further south. Sekhukhune is the major town in the vicinity and lies on the western foot slopes of the mountain. "/>
    <s v="Limpopo"/>
    <s v="Endemic to South Africa"/>
    <s v="South Africa"/>
    <s v="Summit plateaus on a major mountain range with steep slopes. Large norite boulders and stones cover the shallow soils on the hillsides and plateau"/>
    <s v="This area experiences a similar climate to the Gm 18 Lydenburg Montane Grassland. MAP 694 mm with about half of the rain falling as thunderstorms in summer from November to January. Mean daily temperatures on the summit are considerably lower than those of the surrounding Steelpoort River Valley. See also climate diagram for Gm 20 Leolo Summit Sourveld (Figure 8.36)."/>
    <s v="Underlain by the banded gabbros, norites and anorthosites of the Dsjate Subsuite of the Rustenburg Layered Suite (part of the Vaalian Bushveld Igneous Complex). The Dsjate Subsuite forms part of the Main Zone of the Rustenburg Layered Suite. Substrates of the undulating plateau are soils of especially the Mayo and Oakleaf forms in the flat areas, with miscellaneous rocky soil forms, such as Glenrosa and Mispah, occurring on the mountain slopes. Dominant soil forms have a high clay content. The almost exclusive land type is Fb."/>
    <x v="40"/>
    <n v="19.010000000000002"/>
    <n v="18.3932"/>
    <s v="NP"/>
    <x v="0"/>
    <x v="0"/>
    <s v="LC↔LC"/>
    <m/>
    <s v="Unchanged"/>
  </r>
  <r>
    <s v="Terrestrial"/>
    <s v="FRs10"/>
    <s v="Peninsula Shale Renosterveld"/>
    <s v="West Coast Renosterveld Bioregion"/>
    <x v="4"/>
    <s v="T3"/>
    <s v="T3.2"/>
    <s v="Western Cape Province: Signal Hill and on the lower northern slopes of Table Mountain and Devil’s Peak; approximately centred on the city bowl of Cape Town. "/>
    <s v="Western Cape"/>
    <s v="Endemic to South Africa"/>
    <s v="South Africa"/>
    <s v="Gentle to steep lower slopes "/>
    <s v="MAP 480–870 mm (mean: 720 mm), peaking markedly from May o August. This is the wettest renosterveld type by far. Mean daily maximum and minimum temperatures 26.7°C and 7.8°C for February and July, respectively. Frost incidence 2 or 3 days per year. See also climate diagram for FRs 10 Peninsula Shale Renosterveld (Figure 4.101)."/>
    <s v="Clay soils derived from shale of the Tygerberg Formation, Malmesbury Group; Glenrosa, Mispah and Lamotte forms prominent. Land types mainly Fa and Ga."/>
    <x v="41"/>
    <n v="3.02"/>
    <n v="2.5072000000000001"/>
    <s v="PP"/>
    <x v="2"/>
    <x v="2"/>
    <s v="CR↔CR"/>
    <s v="A3_nat, A3_coct, B1i_rod, B1iii_sp, B2i_rod, B2iii_sp"/>
    <s v="Unchanged"/>
  </r>
  <r>
    <s v="Terrestrial"/>
    <s v="FFs3"/>
    <s v="Olifants Sandstone Fynbos"/>
    <s v="Northwest Fynbos Bioregion"/>
    <x v="4"/>
    <s v="T3"/>
    <s v="T3.2"/>
    <s v="Western Cape Province: Western Cederberg and Koue Bokkeveld Mountains from Bulshoek Dam to Keerom adjacent to Olifants River Valley and to Saron on the lower western slopes of the Vier-en-twintig Riviere (Voorberg) Mountains (but see Remark 1 below). "/>
    <s v="Western Cape"/>
    <s v="Endemic to South Africa"/>
    <s v="South Africa"/>
    <s v="Gentle to steep slopes to the Cederberg scarp as well as broad valley bottoms. The Cedarberg Shale Band (supporting vegetation of the FFb group of units) gives this landscape its distinctive flat plateau in the west and dissected back-valley to the east. This unit comprises a combination of communities tending to occur on the rocky west-facing slopes of the Cederberg where bare rock and cliffs are dominant and there is less accumulation of sand. "/>
    <s v="MAP 250–700 mm (mean: 450 mm), peaking May to August when 70% of rain falls. Mean daily maximum and minimum temperatures 29.6°C and 4.9°C for February and July, respectively. Frost incidence from 3–10 days per year. See also climate diagram for FFs 3 Olifants Sandstone Fynbos (Figure 4.21)."/>
    <s v="Acidic lithosol soils derived from Ordovician sandstones of the Table Mountain Group (Cape Supergroup). Land types mainly Ic, Ib and Fa."/>
    <x v="42"/>
    <n v="470.59"/>
    <n v="469.40320000000003"/>
    <s v="WP"/>
    <x v="0"/>
    <x v="0"/>
    <s v="LC↔LC"/>
    <m/>
    <s v="Unchanged"/>
  </r>
  <r>
    <s v="Terrestrial"/>
    <s v="SKt1"/>
    <s v="Western Bushmanland Klipveld"/>
    <s v="Trans-Escarpment Succulent Karoo Bioregion"/>
    <x v="3"/>
    <s v="T5"/>
    <s v="T5.2"/>
    <s v="Northern Cape Province: Northwestern plains of Bushmanland east of Namaqualand Klipkoppe, north and northeast of Kliprand and west of Stofvlei."/>
    <s v="Northern Cape"/>
    <s v="Endemic to South Africa"/>
    <s v="South Africa"/>
    <s v="Very sparsely populated plains with a desert appearance (rocky pavements built of rounded, dark-coloured rocks and boulders) "/>
    <s v="Very dry region with MAP only 90 mm (range 70–100 mm), and erratic (almost desert-like) rainfall. Slight peak in precipitation in winter, hardly any in December and January, consistent with the classification of this unit in winter-rainfall Succulent Karoo Biome. Potential evaporation exceeds 2 660 mm. Overall MAT 16–17°C, with clear maxima in December to January. Mean maximum and minimum monthly temperatures in Kliprand are 36°C and –2°C for January and July, respectively. Incidence of frost is relatively high (25 days, range 20–40 days) due to its land-locked position and high altitude generating effect of thermal continentality. See also climate diagram for SKt 1 Western Bushmanland Klipveld (Figure 5.60)."/>
    <s v="Hutton and Mispah soils over Karoo Sequence sediments (mostly Dwyka diamictite and Ecca shale). The rocky pavements of rounded boulders, which characterise this area, are palaeo-river terraces of the palaeo-Orange River, which is presumed to have flowed south through this area (approximately 22 mya). Fc land type covers the entire region."/>
    <x v="43"/>
    <n v="101.71"/>
    <n v="101.3308"/>
    <s v="NP"/>
    <x v="0"/>
    <x v="0"/>
    <s v="LC↔LC"/>
    <m/>
    <s v="Unchanged"/>
  </r>
  <r>
    <s v="Terrestrial"/>
    <s v="Gm28"/>
    <s v="Soutpansberg Summit Sourveld"/>
    <s v="Mesic Highveld Grassland Bioregion"/>
    <x v="0"/>
    <s v="T4"/>
    <s v="T4.5"/>
    <s v="Limpopo Province: Confined to the higher-lying crests and plateaus situated above 1 200 m above sea level and include the highest peaks on the Soutpansberg (Letjuma, 1 747 m) and still higher Blouberg (2 051 m)."/>
    <s v="Limpopo"/>
    <s v="Endemic to South Africa"/>
    <s v="South Africa"/>
    <s v="Rugged summit crests and adjacent steep rocky slopes"/>
    <s v="Summer rainfall, with most rain falling between November and February. Van Wyk &amp; Smith (2001) mention precipitation to be as high as 2 000 mm on the highest peaks. The higher-lying crests and ridges are exposed to strong winds. During the summer months, these winds carry moisture in from the Indian Ocean, covering the vegetation in mist almost daily. During the prolonged dry season, the prevailing winds cause dehydration and desiccation of the soils and vegetation (Hahn 2002). Frost infrequent and MAT 16–17°C. See also climate diagram for Gm 28 Soutpansberg Summit Sourveld (Figure 8.36)."/>
    <s v="Sandstone, quartzite and shale of Mokolian age (Soutpansberg Group, Wyllie’s Poort Formation) giving rise to extremely shallow, coarse-sand Glenrosa and Mispah soils. These soils drain quickly, leading to leached and acidic conditions. The impermeable rock beds on the relatively flat plateaus often prevent water from draining away, leading to the formation of temporary rock pools. The deeper soils may function as sponges, slowly releasing water to feed mountain streams over prolonged periods. Dominant land type Ib, with Fa of minor importance."/>
    <x v="44"/>
    <n v="91.64"/>
    <n v="91.573599999999999"/>
    <s v="WP"/>
    <x v="0"/>
    <x v="0"/>
    <s v="LC↔LC"/>
    <m/>
    <s v="Unchanged"/>
  </r>
  <r>
    <s v="Terrestrial"/>
    <s v="Dg8"/>
    <s v="Southern Nababiepsberge Mountain Desert"/>
    <s v="Gariep Desert Bioregion"/>
    <x v="2"/>
    <s v="T5"/>
    <s v="T5.5"/>
    <s v="South of the Nababiepsberge and north of the Steinkopf Plateau, east of the Groen River and west of the Koubank River. The unit borders on units of the Succulent Karoo Biome to the south (SKr 12 Kosiesberg Succulent Shrubland and SKr 16 Umdaus Mountains Succulent Shrubland). "/>
    <s v="Northern Cape"/>
    <s v="Namibia"/>
    <s v="South Africa"/>
    <s v="rugged mountain area with plateaus and larger plains"/>
    <s v="Very variable, transitional climate between winter and summer rainfall tending towards summer rainfall in the east. MAP about 50–100 mm. Less extreme maximum temperatures and higher frequency of frost days (&lt;10 per year) than in the neighbouring desert units, especially at higher altitudes."/>
    <s v="The shales, quartzite and limestone of the Nama Group (Namibian Erathem), both of the Schwarzrand and of the older Kuibis Subgroups. Younger sediments overly granodiorite and adamellite of the Vioolsdrif Intrusive Suite as well as the andesitic lava and acid volcanics of the Haib Subgroup (Orange River Group, Mokolian Erathem). Very rocky with little to no soils. Land type Ic."/>
    <x v="45"/>
    <n v="343.14"/>
    <n v="342.89879999999999"/>
    <s v="NP"/>
    <x v="0"/>
    <x v="0"/>
    <s v="LC↔LC"/>
    <m/>
    <s v="Unchanged"/>
  </r>
  <r>
    <s v="Terrestrial"/>
    <s v="FFa2"/>
    <s v="Breede Alluvium Fynbos"/>
    <s v="Southwest Fynbos Bioregion"/>
    <x v="4"/>
    <s v="T3"/>
    <s v="T3.2"/>
    <s v="Western Cape Province: Upper Breede River Valley flats from Tulbagh to the Brandvlei Dam near Worcester including the Slanghoek and Brandwag Valleys, and extending to the Hex River Valley. "/>
    <s v="Western Cape"/>
    <s v="Endemic to South Africa"/>
    <s v="South Africa"/>
    <s v="Slightly undulating plains and adjacent high mountains, with numerous alluvial fans and streams"/>
    <s v="Seasonal, winter-rainfall climate peaking June–August. MAP 90–970 mm (mean: 480 mm). Mean daily maximum and minimum temperatures 29.9°C and 4.8°C for February and July, respectively. MAT close to 17°C. Frost incidence infrequent. Although in the rainshadow of the Hawequas Mountains, the area is well fed with water from the mountains. See also climate diagram for FFa 2 Breede Alluvium Fynbos (Figure 4.88)."/>
    <s v="Quaternary alluvial deposits consisting of round cobbles embedded in fine loamy sand, over metasediments of the Malmesbury Group and Bokkeveld Group shales. Soils are usually of alluvial land type Ia, with some Fa land type (with typical Glenrosa and Mispah forms). Hb and Ad land types also present."/>
    <x v="46"/>
    <n v="173.83"/>
    <n v="168.95760000000001"/>
    <s v="PP"/>
    <x v="3"/>
    <x v="1"/>
    <s v="EN↔EN"/>
    <s v="B1i_rod, B1iii_sp, B2i_rod, B2iii_sp"/>
    <s v="Unchanged"/>
  </r>
  <r>
    <s v="Terrestrial"/>
    <s v="Gm14"/>
    <s v="Wakkerstroom Montane Grassland"/>
    <s v="Mesic Highveld Grassland Bioregion"/>
    <x v="0"/>
    <s v="T4"/>
    <s v="T4.5"/>
    <s v="KwaZulu-Natal and Mpumalanga Provinces: Occurring from the Escarpment just north of Sheepmoor (north), to southeast of Utrecht, and then from the vicinity of Volksrust in the west to Mandhlangampisi Mountain near Luneburg in the east. "/>
    <s v="KwaZulu-Natal, Mpumalanga"/>
    <s v="Endemic to South Africa"/>
    <s v="South Africa"/>
    <s v="This unit is a less obvious continuation of the Escarpment that links the southern and northern Drakensberg escarpments. It straddles this divide and is comprised of low mountains and undulating plains."/>
    <s v="Rainfall peaks in midsummer. Rainfall 800–1 250 mm per year (MAP 902 mm). This unit experiences an orographic effect which results in a locally higher precipitation than the adjacent areas. Winters very cold and summers mild (MAT 14ºC). See also climate diagram for Gm 14 Wakkerstroom Montane Grassland (Figure 8.36)."/>
    <s v="The mudstones, sandstones and shale of the Madzaringwe and Volksrust Formations (Karoo Supergroup) were intruded by voluminous Jurassic dolerite dykes and sills. Ac land type dominant, while Fa and Ca are of subordinate importance."/>
    <x v="47"/>
    <n v="2989.78"/>
    <n v="2950.1035999999999"/>
    <s v="PP"/>
    <x v="0"/>
    <x v="0"/>
    <s v="LC↔LC"/>
    <m/>
    <s v="Unchanged"/>
  </r>
  <r>
    <s v="Terrestrial"/>
    <s v="SVcb10"/>
    <s v="Gauteng Shale Mountain Bushveld"/>
    <s v="Central Bushveld Bioregion"/>
    <x v="1"/>
    <s v="T4"/>
    <s v="T4.2"/>
    <s v="Gauteng and North-West Provinces: Occurs mainly on the ridge of the Gatsrand south of Carletonville–Westonaria–Lenasia. Also occurs as a narrow band along the ridge that runs from a point between Tarlton and Magaliesberg in the west, through Sterkfontein, Pelindaba, Atteridgeville to Klapperkop and southeastern Pretoria in the east. "/>
    <s v="Gauteng, North West"/>
    <s v="Endemic to South Africa"/>
    <s v="South Africa"/>
    <s v="Low, broken ridges varying in steepness and with high surface rock cover. "/>
    <s v="Summer rainfall with very dry winters. MAP 600–750 mm, increasing from west to east as well as with higher elevation. Frost frequent, higher in the west and south. See also climate diagram for SVcb 10 Gauteng Shale Mountain Bushveld."/>
    <s v="Dominated by shale and some coarser clastic sediments as well as significant andesite from the Pretoria Group (Transvaal Supergroup), all sedimentary rocks. A part of the area is underlain by Malmani dolomites of the Chuniespoort Group (Transvaal Supergroup). Soils are mostly shallow Mispah, but are deeper at the foot of the slopes. Land type is mostly Fb, with some Ib."/>
    <x v="48"/>
    <n v="702.59"/>
    <n v="919.64440000000002"/>
    <s v="PP"/>
    <x v="0"/>
    <x v="1"/>
    <s v="LC → EN"/>
    <s v="B1i_rod"/>
    <s v="Uplisted"/>
  </r>
  <r>
    <s v="Terrestrial"/>
    <s v="FRs4"/>
    <s v="Ceres Shale Renosterveld"/>
    <s v="Western Fynbos-Renosterveld Bioregion"/>
    <x v="4"/>
    <s v="T3"/>
    <s v="T3.2"/>
    <s v="Western Cape Province: Warm Bokkeveld Valley at Ceres and Laastedrift to the east; Cederberg from Matjiesrivier (not mapped) to Koue Bokkeveld at Blinkberg Pass, the Odessa area north of Gydoberg and Baviaanshoek. "/>
    <s v="Western Cape"/>
    <s v="Endemic to South Africa"/>
    <s v="South Africa"/>
    <s v="Moderately undulating plains and lower mountain slopes "/>
    <s v="MAP 290–720 mm (mean: 430 mm), peaking from May to August. The Warm Bokkeveld communities are much more arid than those in the Koue Bokkeveld. Mean daily maximum and minimum temperatures 27.9°C and 3.2°C for February and July, respectively. Frost incidence 10–40 days per year. See also climate diagram for FRs 4 Ceres Shale Renosterveld (Figure 4.101)."/>
    <s v="Clays derived from shale and sandstone of the Ceres (mostly) and the Bidouw Subgroups of the Bokkeveld Group. Some Nardouw Subgroup shales (Table Mountain Group) and Dwyka diamictites (Karoo Supergroup) also occur. Glenrosa and Mispah forms are prominent. Land types mainly Fb, Fa and Bb."/>
    <x v="49"/>
    <n v="215.32"/>
    <n v="211.45840000000001"/>
    <s v="PP"/>
    <x v="2"/>
    <x v="2"/>
    <s v="CR↔CR"/>
    <s v="B1i_rod"/>
    <s v="Unchanged"/>
  </r>
  <r>
    <s v="Terrestrial"/>
    <s v="Gh1"/>
    <s v="Karoo Escarpment Grassland"/>
    <s v="Dry Highveld Grassland Bioregion"/>
    <x v="0"/>
    <s v="T4"/>
    <s v="T4.5"/>
    <s v="Eastern, Northern and Western Cape Province: Occurs on the Karoo Escarpment, running in an east-west direction from Molteno to Noupoort in the north, and from Somerset East in a northwesterly direction towards Nieu-Bethesda. Also found on the north-facing slopes of the Winterberg Mountains around Tarkastad. The westernmost locality is on the highest-altitude flat-topped mesas of the Escarpment in the Karoo National Park near Beaufort West."/>
    <s v="Eastern Cape, Western Cape"/>
    <s v="Endemic to South Africa"/>
    <s v="South Africa"/>
    <s v="Mountain summits, low mountains and hills"/>
    <s v="Rainfall showing minor (possibly insignificant) peaks in March and November–December. Very dry winters. MAP 300–580 mm, increasing from west to east as well as with increasing elevation. The coefficient of variation of MAP 27–36% across the unit. The incidence of frost is from less than 20 to more than 100 days, the higher values occurring at higher elevation. There may be a number of days of snow per year, especially at higher elevations and near the edge of the Great Escarpment. See also climate diagram for Gh 1 Karoo Escarpment Grassland (Figure 8.23)."/>
    <s v="Shallow soils typical of Ib, Fb and Fc land types on mudstones and sandstones of the Beaufort Group (Karoo Supergroup). Jurassic dolerite intrusions form ridges in the area."/>
    <x v="50"/>
    <n v="8151.04"/>
    <n v="8138.6859999999997"/>
    <s v="WP"/>
    <x v="0"/>
    <x v="0"/>
    <s v="LC↔LC"/>
    <m/>
    <s v="Unchanged"/>
  </r>
  <r>
    <s v="Terrestrial"/>
    <s v="FFs9"/>
    <s v="Peninsula Sandstone Fynbos"/>
    <s v="Southwest Fynbos Bioregion"/>
    <x v="4"/>
    <s v="T3"/>
    <s v="T3.2"/>
    <s v="Western Cape Province: Confined to the Cape Peninsula, from the top of Lion’s Head and Table Mountain (Cape Town) to Cape Point and Cape of Good Hope and including Constantiaberg and Swartkopsberge."/>
    <s v="Western Cape"/>
    <s v="Endemic to South Africa"/>
    <s v="South Africa"/>
    <s v="Gentle to steep slopes, with cliffs in the north, over a 50 km long peninsula."/>
    <s v="MAP 520–1 690 mm (mean: 780 mm), peaking May to August. Mean daily maximum and minimum temperatures 25.0°C and 7.2°C for February and July, respectively. Frost incidence 2 or 3 days per year. Southeasterly cloud (the famous ‘Table Cloth’), accompanied by high wind, brings heavy mist precipitation at higher altitudes to southern and eastern slopes in summer. The region is under strong maritime influence—no part is more than 7 km from the sea. See also climate diagram for FFs 9 Peninsula Sandstone Fynbos (Figure 4.21)."/>
    <s v="Acidic lithosol soils derived from Ordovician sandstones of the Table Mountain Group (Cape Supergroup), Lamotte forms prominent. Land types mainly Ib, Ga and Ic."/>
    <x v="51"/>
    <n v="203.98"/>
    <n v="203.21080000000001"/>
    <s v="WP"/>
    <x v="2"/>
    <x v="2"/>
    <s v="CR↔CR"/>
    <s v="B1iii_sp"/>
    <s v="Unchanged"/>
  </r>
  <r>
    <s v="Terrestrial"/>
    <s v="SVcb3"/>
    <s v="Zeerust Thornveld"/>
    <s v="Central Bushveld Bioregion"/>
    <x v="1"/>
    <s v="T4"/>
    <s v="T4.1"/>
    <s v="North-West Province: Extends along the plains from the Lobatsi River in the west via Zeerust, Groot Marico and Mabaalstad to the flats between the Pilanesberg and western end of the Magaliesberg in the east (including the valley of the lower Selons River). "/>
    <s v="North West"/>
    <s v="Botswana"/>
    <s v="South Africa"/>
    <s v="high base-status and some clay soils on plains and lowlands, also between rocky ridges of SVcb 4 Dwarsberg-Swartruggens Mountain Bushveld."/>
    <s v="Summer rainfall with very dry winters. MAP has a relatively narrow range: 550–600 mm. Frost fairly frequent in winter. Mean monthly maximum and minimum temperatures for Marico-Irr weather station 36.7°C and –0.4°C for January and June, respectively. See also climate diagram for SVcb 3 Zeerust Thornveld."/>
    <s v="Sediments of the Pretoria Group (Transvaal Supergroup) in this area, particularly the Silverton and Rayton Formations, are mostly shale with less quartzite and conglomerate. Carbonates, volcanic rocks, breccias and diamictites also occur in the Pretoria Group. Bronzite, harzburgite, gabbro and norite of the Rustenburg Layered Suite (Bushveld Igneous Complex) are also found. Soils are mostly deep, red-yellow, apedal, freely drained with high base status also with some vertic or melanic clays. Land types mainly Ae and Ea."/>
    <x v="52"/>
    <n v="2852.04"/>
    <n v="889.70360000000005"/>
    <s v="PP"/>
    <x v="0"/>
    <x v="0"/>
    <s v="LC↔LC"/>
    <m/>
    <s v="Unchanged"/>
  </r>
  <r>
    <s v="Terrestrial"/>
    <s v="Gm2"/>
    <s v="Senqu Montane Shrubland"/>
    <s v="Mesic Highveld Grassland Bioregion"/>
    <x v="0"/>
    <s v="T4"/>
    <s v="T4.5"/>
    <s v=" Lesotho as well as in Eastern Cape and Free State Provinces (only marginal patches): Mainly in the lower Senqu Valley, particularly in the Moyeni (Quthing)–Mount Moorosi regions, strongly attenuating upstream northwards in the direction of Thaba-Tseka. Extends into South Africa mainly south of the Orange River (continuation of the Senqu River from Lesotho) in the Herschel District. This shrubland unit covers the valley slopes of the Senqu River as well as its numerous tributaries. "/>
    <s v="Eastern Cape, Free State"/>
    <s v="Endemic to ZA, Ls, Sz"/>
    <s v="South Africa"/>
    <s v="Restricted to steep, boulder-strewn slopes of valleys and deep gullies"/>
    <s v="Summer rainfall, with overall MAP of 687 mm. Much of the rainfall is convectional. Cool-temperate thermic pattern (MAT around 13°C), with 52 days of frost incidence. See also climate diagram for Gm 2 Senqu Montane Shrubland (Figure 8.36)."/>
    <s v="Karoo Supergroup sedimentary rocks of the Clarens, Elliot and Molteno Formations as the Senqu River cuts through the landscape in the low-lying southwestern regions. Intrusive Drakensberg Group (Jurassic) basalts at high altitudes at the interface with the Gd 8 Lesotho Highland Basalt Grassland. Dominant land type Fa, followed by the Ea. The most common soil forms that dominate these land types are Mispah and Glenrosa."/>
    <x v="53"/>
    <n v="2797.85"/>
    <n v="2818.7503999999999"/>
    <s v="NP"/>
    <x v="0"/>
    <x v="0"/>
    <s v="LC↔LC"/>
    <m/>
    <s v="Unchanged"/>
  </r>
  <r>
    <s v="Terrestrial"/>
    <s v="Gm29"/>
    <s v="Waterberg-Magaliesberg Summit Sourveld"/>
    <s v="Mesic Highveld Grassland Bioregion"/>
    <x v="0"/>
    <s v="T4"/>
    <s v="T4.5"/>
    <s v="Limpopo and North-West Provinces and marginally into Gauteng: Isolated patches on summits of the Waterberg (including the Sandrivierberge, Hoekberge, Hanglipberge and Swaershoekberge), Pilanesberg (not mapped) and Magaliesberg."/>
    <s v="Limpopo, Gauteng, North West"/>
    <s v="Endemic to South Africa"/>
    <s v="South Africa"/>
    <s v="Higher slopes and summit positions including crests, and steep rocky scarps and cliff faces"/>
    <s v="Summer rainfall, with MAP 710 mm. Cool-temperate climate (MAT close to 16°C) due to higher altitude. Frost fairly infrequent. See also climate diagram for Gm 29 Waterberg-Magaliesberg Summit Sourveld (Figure 8.36)."/>
    <s v="Acidic sandy, loamy to gravel soil derived from coarse, clastic sedimentary sandstone, quartzite, conglomerate or shale of the Kransberg Subgroup (Waterberg Group, Mokolian Erathem). Ib and Fa land types (both 42%) are co-dominant, with Ac covering a smaller area (12%)."/>
    <x v="54"/>
    <n v="507.5"/>
    <n v="502.77519999999998"/>
    <s v="WP"/>
    <x v="0"/>
    <x v="0"/>
    <s v="LC↔LC"/>
    <m/>
    <s v="Unchanged"/>
  </r>
  <r>
    <s v="Terrestrial"/>
    <s v="SVcb21"/>
    <s v="Soutpansberg Mountain Bushveld"/>
    <s v="Central Bushveld Bioregion"/>
    <x v="1"/>
    <s v="T4"/>
    <s v="T4.2"/>
    <s v="Limpopo Province: Occurs on the slopes of the Soutpansberg Mountain, and Blouberg and Lerataupje Mountains in the west. Extends eastward on lower ridges including Khaphamali and Makonde Mountains. "/>
    <s v="Limpopo"/>
    <s v="Endemic to South Africa"/>
    <s v="South Africa"/>
    <s v="Low to high mountains, highest in the west, splitting into increasing number of lower mountain ridges towards the east.The topography of the east-west- orientated ridges of the mountain changes drastically over short distances, resulting in orographic rain on the southern ridges, and a rainshadow effect on the northern ridges. Because of this topographic diversity, the Soutpansberg Mountain Bushveld comprises a complex mosaic of sharply contrasting kinds of vegetation within limited areas. "/>
    <s v="Summer rainfall with dry winters. MAP about 450–900 mm. Frost infrequent. See also climate diagram for SVcb 21 Soutpansberg Mountain Bushveld."/>
    <s v="Reddish or brown, sandstone and quartzite, conglomerate, basalt, tuff, shale and siltstone of the Soutpansberg Group (including the Wyllie’s Poort, Fundudzi and Nzhelele Formations), Mokolian Erathem. Rocky areas with miscellaneous soils including acidic dystrophic to mesotrophic sandy to loamy soil. Glenrosa and Mispah soil forms are common. Land types mainly Ib, Ab, Fa, Fb, Ae and Ia."/>
    <x v="55"/>
    <n v="3076.34"/>
    <n v="3045.2979999999998"/>
    <s v="MP"/>
    <x v="0"/>
    <x v="0"/>
    <s v="LC↔LC"/>
    <m/>
    <s v="Unchanged"/>
  </r>
  <r>
    <s v="Terrestrial"/>
    <s v="SVcb16"/>
    <s v="Western Sandy Bushveld"/>
    <s v="Central Bushveld Bioregion"/>
    <x v="1"/>
    <s v="T4"/>
    <s v="T4.2"/>
    <s v="Limpopo and North-West Provinces: Occurs on flats and undulating plains from Assen northwards past Thabazimbi and remaining west of the Waterberg Mountains towards Steenbokpan in the north. Some patches occur between the Crocodile and Marico Rivers to the west. "/>
    <s v="Limpopo, North West"/>
    <s v="Botswana"/>
    <s v="South Africa"/>
    <s v="slightly undulating plains."/>
    <s v="Summer rainfall with very dry winters. MAP from about 450 mm in the north to about 650 mm in the south. Fairly frequent light frost in winter. Mean monthly maximum and minimum temperatures for Thabazimbi 36.0°C and –3.7°C for February and June, respectively. See also climate diagram for SVcb 16 Western Sandy Bushveld."/>
    <s v="Sandstone and mudstone of the Matlabas Subgroup and sandstone, subordinate conglomerate, siltstone and shale of the Kransberg Subgroup (both Mokolian Waterberg Group) are found in the north. Archaean granite and gneiss of the Swazian Erathem and granite of the Lebowa Granite Suite (Bushveld Igneous Complex) are found in the west and southeast of the area, respectively. Soils are plinthic catena, eutrophic, red-yellow apedal, freely drained, high base status, Hutton and Clovelly with some Glenrosa and Mispah soil forms. Several areas have less sandy soil than that of SVcb 12 Central Sandy Bushveld. Land types mainly Bd, Ah, Ae and Fa."/>
    <x v="56"/>
    <n v="6010.17"/>
    <n v="9881.1164000000008"/>
    <s v="MP"/>
    <x v="0"/>
    <x v="0"/>
    <s v="LC↔LC"/>
    <m/>
    <s v="Unchanged"/>
  </r>
  <r>
    <s v="Terrestrial"/>
    <s v="Gm25"/>
    <s v="Woodbush Granite Grassland"/>
    <s v="Mesic Highveld Grassland Bioregion"/>
    <x v="0"/>
    <s v="T4"/>
    <s v="T4.5"/>
    <s v=" Limpopo Province: Occurs on the Woodbush Plateau and its outliers, to the north of the Wolkberg, on the Groot Letaba watershed west of Duiwelskloof, Tzaneen and Lenyenye. "/>
    <s v="Limpopo"/>
    <s v="Endemic to South Africa"/>
    <s v="South Africa"/>
    <s v="Mountainous plateau"/>
    <s v="Summer rainfall, with MAP from 700 mm in the east to 1 500 mm in the west (MAP 1 166 mm), with peak in January. Some precipitation may also occur in winter. Mist is common and there is an orographic effect on the Escarpment. Temperature is generally lower in the west than in the east (overall MAT 16.6ºC). Frost infrequent. See also climate diagram for Gm 25 Woodbush Granite Grassland (Figure 8.36)."/>
    <s v="Archaean granite, gneiss and greenstone basement: Turfloop granite (Randian) and relicts of Goudplaats gneiss (Swazian) and occasional dolerite dykes or sills, and quartz veins. Dominant land type Ab, with Hutton (Glenrosa and Shortlands) soils."/>
    <x v="57"/>
    <n v="107.56"/>
    <n v="103.6888"/>
    <s v="PP"/>
    <x v="2"/>
    <x v="2"/>
    <s v="CR↔CR"/>
    <s v="B1i_rod"/>
    <s v="Unchanged"/>
  </r>
  <r>
    <s v="Terrestrial"/>
    <s v="Gm26"/>
    <s v="Wolkberg Dolomite Grassland"/>
    <s v="Mesic Highveld Grassland Bioregion"/>
    <x v="0"/>
    <s v="T4"/>
    <s v="T4.5"/>
    <s v="Limpopo Province: Occurs along the summit of the Strydpoort and Wolkberg Mountains, from the Lekgalameetse Nature Reserve in the east, along the dolomite belt to Mogodi in the west. "/>
    <s v="Limpopo"/>
    <s v="Endemic to South Africa"/>
    <s v="South Africa"/>
    <s v="Series of broad mountain ridges, broad elevated plateaus and adjacent slopes"/>
    <s v="Summer-rainfall regime, 560–980 mm (MAP 772 mm). The adjacent Escarpment catches most of the orographic precipitation (fog, orographic rain), hence this area falls within a rainshadow. Frost infrequent. See also climate diagram for Gm 26 Wolkberg Dolomite Grassland (Figure 8.36)."/>
    <s v="Malmani dolomites of the Chuniespoort Group (Transvaal Supergroup) form the underlying geology of this area. Dominant land types Ib and Ab, with Fa of subordinate importance."/>
    <x v="58"/>
    <n v="242.8"/>
    <n v="242.20840000000001"/>
    <s v="WP"/>
    <x v="0"/>
    <x v="0"/>
    <s v="LC↔LC"/>
    <m/>
    <s v="Unchanged"/>
  </r>
  <r>
    <s v="Terrestrial"/>
    <s v="FRs1"/>
    <s v="Vanrhynsdorp Shale Renosterveld"/>
    <s v="Karoo Renosterveld Bioregion"/>
    <x v="4"/>
    <s v="T3"/>
    <s v="T3.2"/>
    <s v="Northern and Western Cape Provinces: Below generally west- and north-facing sandstone cliffs of the Bokkeveld Escarpment and Matsikamma Mountains from Die Toring north of Van Rhyns Pass to the Gifberge near Klawer. Also extensive in internal valleys of the Koebee in the area of the confluence of the Oorlogs River and the Klein Kobee River. "/>
    <s v="Northern Cape, Western Cape"/>
    <s v="Endemic to South Africa"/>
    <s v="South Africa"/>
    <s v="Valley bottoms and steep slopes below often sheer sandstone cliffs"/>
    <s v="MAP 180–450 mm (mean: 285 mm), peaking from May to August. Mean daily maximum and minimum temperatures 31.2°C and 4.4°C for February and July, respectively. Frost incidence 3–10 days per year. See also climate diagram for FRs 1 Vanrhynsdorp Shale Renosterveld (Figure 4.101)."/>
    <s v="Clays and clayey loams primarily derived from mudstone and siltstone of the Knersvlakte Subgroup (Vanrhynsdorp Group) and schist and phyllite of the older Gariep Supergroup (last two are of Namibian Erathem). Soils are primarily of Glenrosa and Mispah form, closely associated with quartzite and shale of Nardouw Subgroup (Table Mountain Group) forming neighbouring cliffs and screes. Land types mainly Fa and Ib."/>
    <x v="59"/>
    <n v="196.34"/>
    <n v="196.05199999999999"/>
    <s v="PP"/>
    <x v="0"/>
    <x v="0"/>
    <s v="LC↔LC"/>
    <m/>
    <s v="Unchanged"/>
  </r>
  <r>
    <s v="Terrestrial"/>
    <s v="SKv8"/>
    <s v="Western Little Karoo"/>
    <s v="Rainshadow Valley Karoo Bioregion"/>
    <x v="3"/>
    <s v="T5"/>
    <s v="T5.2"/>
    <s v="Western Cape Province: The unit covers most of the western basin of the Little Karoo from the confluence of the Groot and Gouritz Rivers in the west as far as Anysberg by surrounding this mountain range and also extending along the northern flanks of the Klein Swartberg. Two larger patches of the Western Little Karoo are found immediately to the east and south of Touws River and one small isolated patch fringes the Langeberg Mountains in the Montagu area. "/>
    <s v="Western Cape"/>
    <s v="Endemic to South Africa"/>
    <s v="South Africa"/>
    <s v="Flat or slightly undulating landscapes d"/>
    <s v="Western Little Karoo has a multimodal precipitation regime with major peaks in May and August and minor ones in March and November. December to January is markedly drier—a hint towards a slight inclination of the local climate towards a winter-rainfall pattern. MAP is around 230 mm (semidesert). MAT 16°C. On average 14 frost days per year. See also climate diagram for SKv 8 Western Little Karoo (Figure 5.65)."/>
    <s v="Sandstone and shale of the Devonian Bidouw and Ceres Subgroups (both belonging to Bokkeveld Group, Cape Supergroup), Devonian sandstone of the Witteberg Group and Silurian sandstone of the Nardouw Subgroup (Table Mountain Group, Cape Supergroup), supporting deep, loamy-sandy (mainly) soils. The region has been classified as Fc land type."/>
    <x v="60"/>
    <n v="3943.96"/>
    <n v="3931.8216000000002"/>
    <s v="MP"/>
    <x v="0"/>
    <x v="0"/>
    <s v="LC↔LC"/>
    <m/>
    <s v="Unchanged"/>
  </r>
  <r>
    <s v="Terrestrial"/>
    <s v="FRg3"/>
    <s v="Robertson Granite Renosterveld"/>
    <s v="East Coast Renosterveld Bioregion"/>
    <x v="4"/>
    <s v="T3"/>
    <s v="T3.2"/>
    <s v="Western Cape Province: Extremely limited area: confined to low altitudes of the Tierberg north of La Colline near Robertson in the Breede River Valley. "/>
    <s v="Western Cape"/>
    <s v="Endemic to South Africa"/>
    <s v="South Africa"/>
    <s v="Gentle to steep slopes of a granite dome"/>
    <s v="MAP 360–740 mm (mean: 440 mm), with a slight peak from May to August. Mean daily maximum and minimum temperatures 28.7°C and 4.0°C for February and July, respectively. Frost incidence 6–10 days per year. See also climate diagram for FRg 3 Robertson Granite Renosterveld (Figure 4.117)."/>
    <s v="Loamy soils, primarily of Glenrosa and Mispah forms derived from the Robertson Pluton of the Cape Granite Suite. Land type mainly Fb."/>
    <x v="61"/>
    <n v="18.899999999999999"/>
    <n v="18.826799999999999"/>
    <s v="MP"/>
    <x v="0"/>
    <x v="0"/>
    <s v="LC↔LC"/>
    <m/>
    <s v="Unchanged"/>
  </r>
  <r>
    <s v="Terrestrial"/>
    <s v="Gm1"/>
    <s v="Zastron Moist Grassland"/>
    <s v="Mesic Highveld Grassland Bioregion"/>
    <x v="0"/>
    <s v="T4"/>
    <s v="T4.5"/>
    <s v="Eastern Cape and Free State Provinces and Lesotho: Surrounds of Zastron, extends just short of Van Stadensrus (north) to Mohales Hoek (northeast) and Rouxville (west). A narrow corridor extends south towards Jamestown and Dordrecht. "/>
    <s v="Eastern Cape, Free State"/>
    <s v="Endemic to ZA, Ls, Sz"/>
    <s v="South Africa"/>
    <s v="Undulating plains, broken in places due to sandstone outcrops forming extensive terraces"/>
    <s v="Summer rainfall which peaks in March. MAP 615 mm. MAT of 14°C indicates cool-temperate climate. The inland position of the unit results in high thermic continentality: summers are very hot, while winter can be bitterly cold. Frost is a common phenomenon. See also climate diagram for Gm 1 Zastron Moist Grassland (Figure 8.36)."/>
    <s v="Relatively deep sandy layer over the sandstone layers of the Tarkastad Subgroup (Molteno and Elliot Formations) of the Beaufort Group (Karoo Supergroup). Typical soil forms present on these sandstone terraces are Clovelly and Avalon. Clayey soils, which were formed by weathering and leaching processes, are concentrated in low-lying drainage lines, valley bottoms and depressions. Db land type dominates, with typical soil forms such as Estcourt and Oakleaf forms present. Fb and Ca land types of minor importance."/>
    <x v="62"/>
    <n v="2730.91"/>
    <n v="2813.2815999999998"/>
    <s v="NP"/>
    <x v="0"/>
    <x v="0"/>
    <s v="LC↔LC"/>
    <m/>
    <s v="Unchanged"/>
  </r>
  <r>
    <s v="Terrestrial"/>
    <s v="SVcb5"/>
    <s v="Pilanesberg Mountain Bushveld"/>
    <s v="Central Bushveld Bioregion"/>
    <x v="1"/>
    <s v="T4"/>
    <s v="T4.2"/>
    <s v="North-West Province: Hills and mountains immediately north of Sun City and west of Heystekrand (Mankwe District). "/>
    <s v="North West"/>
    <s v="Endemic to South Africa"/>
    <s v="South Africa"/>
    <s v="A near circular (diameter 23–27 km) complex constituting an intrusive and extrusive massif with the original volcanic caldera almost eroded away leaving a broken ring of hills and low mountains as well as the eroded intrusions of the core remaining in the form of many hills and low mountains. Valley floors between the hills and mountains tend to be at most 1–2 km wide. "/>
    <s v="Summer rainfall with very dry winters. MAP from about 600–700 mm. Frost fairly frequent in winter in lower-lying areas, less so on the hills. Mean monthly maximum and minimum temperatures for Manyane Gate (eastern entrance to Pilanesberg Game Reserve) 36.7°C and –2.2°C for February and July, respectively. See also climate diagram for SVcb 5 Pilanesberg Mountain Bushveld."/>
    <s v="The alkaline complex consists of potassium- and sodium-rich, silica-poor rocks, mainly foyaite, lava and tuff with some syenite. Wide range of elements found, particularly rare earth elements and fluorine in the form of CaF2 (flourite). Due to the original volcanic actions, subsequent fracturing, emplacement of intrusions, collapse and resurgence of magma and radial emplacement of dykes, a complex geological pattern exists. Pilanesberg is one of the very few large alkaline ring complexes in the world, approximately 1.3 gya old. Soils are shallow, rocky lithosols on the hills and mountains of the Glenrosa and Mispah soil forms, but with deeper soils on the valley floors. Land type is mostly Ib."/>
    <x v="63"/>
    <n v="418.95"/>
    <n v="359.79599999999999"/>
    <s v="WP"/>
    <x v="0"/>
    <x v="0"/>
    <s v="LC↔LC"/>
    <m/>
    <s v="Unchanged"/>
  </r>
  <r>
    <s v="Terrestrial"/>
    <s v="FFf1"/>
    <s v="Elim Ferricrete Fynbos"/>
    <s v="Southwest Fynbos Bioregion"/>
    <x v="4"/>
    <s v="T3"/>
    <s v="T3.2"/>
    <s v="Western Cape Province: Extensive areas between the Bot River Valley, Hemel en Aarde Valley, Stanford environs, Salmonsdam and Baardskeerdersbos, with the most extensive parts around Elim on the Agulhas Plain spanning the area from Soetmuisberg in the north to Buffeljags and the Soetanysberg in the south. Outliers found on the northern slopes of the mountains adjacent to those of the Rûens around Napier and at Perdekamp north of Arniston. "/>
    <s v="Western Cape"/>
    <s v="Endemic to South Africa"/>
    <s v="South Africa"/>
    <s v="Undulating hills and plains"/>
    <s v="Mainly winter-rainfall regime, also with some summer rain. MAP 350–770 mm (mean: 545 mm), peaking from May to August. Mean daily maximum and minimum temperatures 25.8°C and 6.7°C for January and July, respectively. Frost incidence about 3 days per year. See also climate diagram for FFf 1 Elim Ferricrete Fynbos (Figure 4.83)."/>
    <s v="Glenrosa and Mispah and prismacutanic and pedocutanic soils, derived from Bokkeveld Shale, Cape Granite (of the Hermanus Suite), and ferricrete and silcrete. Land types mainly Fb and Db."/>
    <x v="64"/>
    <n v="239.05"/>
    <n v="233.51320000000001"/>
    <s v="PP"/>
    <x v="3"/>
    <x v="1"/>
    <s v="EN↔EN"/>
    <s v="B1i_rod, B1iii_sp"/>
    <s v="Unchanged"/>
  </r>
  <r>
    <s v="Terrestrial"/>
    <s v="Gs8"/>
    <s v="Mooi River Highland Grassland"/>
    <s v="Sub-Escarpment Grassland Bioregion"/>
    <x v="0"/>
    <s v="T4"/>
    <s v="T4.5"/>
    <s v="KwaZulu-Natal Province: Centre of occurrence in the Mooi River Basin, several scattered large patches near Underberg and Greytown, and on the Helpmekaar Plateau southeast of Dundee."/>
    <s v="KwaZulu-Natal"/>
    <s v="Endemic to South Africa"/>
    <s v="South Africa"/>
    <s v="Mainly rolling and partly broken landscape"/>
    <s v="The region has a MAP of 785 mm, falling mostly in summer. Mist and snow are not frequent. Overall MAT is slightly higher than 14°C. Light, but relatively frequent (30 days per year) frosts may occur for six months in the year (Camp 1999b). See also climate diagram for Gs 8 Mooi River Highland Grassland (Figure 8.61)."/>
    <s v="A mosaic of generally shallow and poorly drained soils derived from sedimentary rocks, mostly of the Adelaide Subgroup (Beaufort Group) of the Karoo Sequence. Deep well-drained apedal soils of the intrusive igneous rocks of the Karoo Dolerite Suite also occur. Almost half of the area is classified as Ac land type, followed by Bb and to lesser extent also Fa."/>
    <x v="65"/>
    <n v="1683.76"/>
    <n v="1664.0576000000001"/>
    <s v="PP"/>
    <x v="3"/>
    <x v="1"/>
    <s v="EN↔EN"/>
    <s v="B1i_rod"/>
    <s v="Unchanged"/>
  </r>
  <r>
    <s v="Terrestrial"/>
    <s v="SKr15"/>
    <s v="Anenous Plateau Shrubland"/>
    <s v="Richtersveld Bioregion"/>
    <x v="3"/>
    <s v="T5"/>
    <s v="T5.2"/>
    <s v="Northern Cape Province: Anenous Plateau (west of the Steinkopf Plateau) in the southeastern Richtersveld, and parts of the adjacent escarpment, extending some 15 km to the north and to the south of the Anenous Pass. Region includes mountains such as Narraberg and Klipfonteinberg. "/>
    <s v="Northern Cape"/>
    <s v="Endemic to South Africa"/>
    <s v="South Africa"/>
    <s v="High plateau with some rolling hills and larger mountains. The original dense shrubland is now fragmented and confined to mountains and to rocky areas"/>
    <s v="Mild to cool winter-rainfall climate. MAP ranges in most of the area from 120–160 mm. Most of the area experiences up to 10 frost days per year. See also climate diagram for SKr 15 Anenous Plateau Shrubland (Figure 5.12)."/>
    <s v="Gneiss and schist of the Precambrian Namaqualand Metamorphic Complex. Soils are mostly loamy sands and loams. Almost the entire area falls within Fb land type."/>
    <x v="66"/>
    <n v="200.89"/>
    <n v="200.25399999999999"/>
    <s v="NP"/>
    <x v="0"/>
    <x v="0"/>
    <s v="LC↔LC"/>
    <m/>
    <s v="Unchanged"/>
  </r>
  <r>
    <s v="Terrestrial"/>
    <s v="SKk4"/>
    <s v="Knersvlakte Shale Vygieveld"/>
    <s v="Knersvlakte Bioregion"/>
    <x v="3"/>
    <s v="T5"/>
    <s v="T5.2"/>
    <s v="Western Cape Province: Knersvlakte (southern part of Namaqualand), at the western foot of the Bokkeveld Escarpment near Vanrhynsdorp. "/>
    <s v="Western Cape"/>
    <s v="Endemic to South Africa"/>
    <s v="South Africa"/>
    <m/>
    <s v="Winter-rainfall climate with dry, hot summers and mild, rainy winters. MAP 126 mm, with almost all the rainfall between May and August. The lowest temperatures in winter 5–10°C, highest temperatures in summer 30–35°C. Winters are mild, with rare occurrence of frost (on average 3 days per year). See also climate diagram for SKk 4 Knersvlakte Shale Vygieveld (Figure 5.53)."/>
    <s v="Shale bands of the Knersvlakte Subgroup (Vanrhynsdorp Group, Namibian Erathem), on level plains or hilltops and moderate to steep slopes covered by shallow soils, moderately acid to slightly alkaline, high stone content. Almost the entire area is classified as Fc land type."/>
    <x v="67"/>
    <n v="980.68"/>
    <n v="979.35599999999999"/>
    <s v="PP"/>
    <x v="0"/>
    <x v="0"/>
    <s v="LC↔LC"/>
    <m/>
    <s v="Unchanged"/>
  </r>
  <r>
    <s v="Terrestrial"/>
    <s v="FRc1"/>
    <s v="Swartland Silcrete Renosterveld"/>
    <s v="West Coast Renosterveld Bioregion"/>
    <x v="4"/>
    <s v="T3"/>
    <s v="T3.2"/>
    <s v="Western Cape Province: A highly fragmented type, scattered in the form of small patches throughout the Swartland from near Firgrove and Kuils River in the south to Eendekuil to Piketberg in the north. Mostly embedded within FRs 9 Swartland Shale Renosterveld followed by FRg 2 Swartland Granite Renosterveld. The largest patch is at Oupas between Moorreesburg and Mamre. "/>
    <s v="Western Cape"/>
    <s v="Endemic to South Africa"/>
    <s v="South Africa"/>
    <s v="Moderately undulating lowlands, often on elevated areas. "/>
    <s v="MAP 250–650 mm (mean: 425 mm), peaking from May to August. Mists common in winter. Mean daily maximum and minimum temperatures 28.7°C and 6.8°C for February and July, respectively. Frost incidence 3 or 4 days per year. See also climate diagram for FRc 1 Swartland Silcrete Renosterveld (Figure 4.124)."/>
    <s v="Remnants of silcrete layers over Malmesbury Group Shale and Cape Granite. Soils with prismacutanic and/or pedocutanic diagnostic horizons or plinthic catena are dominant. Land types mainly Db, Ca and Fc."/>
    <x v="68"/>
    <n v="13.38"/>
    <n v="12.7644"/>
    <s v="NP"/>
    <x v="2"/>
    <x v="2"/>
    <s v="CR↔CR"/>
    <s v="B2i_rod, B2iii_sp"/>
    <s v="Unchanged"/>
  </r>
  <r>
    <s v="Terrestrial"/>
    <s v="SKs12"/>
    <s v="Namaqualand Spinescent Grassland"/>
    <s v="Namaqualand Sandveld Bioregion"/>
    <x v="3"/>
    <s v="T5"/>
    <s v="T5.2"/>
    <s v="Western Cape Province: Namaqualand, a strip in the Knersvlakte from Lutzville and Koekenaap eastwards to north of Vanrhynsdorp. "/>
    <s v="Western Cape"/>
    <s v="Endemic to South Africa"/>
    <s v="South Africa"/>
    <s v="Level landscape"/>
    <s v="Winter-rainfall climate with MAP of 151 mm, with almost all the rainfall between May and August. The lowest temperatures in winter are 5–10ºC. Frost occurs in winter, but it is rare. The highest temperatures in summer are between 25ºC and just higher than 30ºC. See also climate diagram for SKs 12 Namaqualand Spinescent Grassland (Figure 5.39)."/>
    <s v="Cenozoic aeolian, deep, coarse, unstructured, red, sandy soils with very low stone content, more or less neutral soil pH, low salinity and with no or very low carbonate content. Sand originated from the mouth of the palaeo-Orange River formerly located about east of the sand strip and it has been transported inland by the westerly winds. This ancient alluvium sediments are overlying Gariep Supergroup metapelites (mostly schist and phyllite) and some clastic sediments and metavolcanics (Namibian Erathem). Ae land type dominates and Ag land type plays only a subordinate role."/>
    <x v="69"/>
    <n v="424.97"/>
    <n v="423.57440000000003"/>
    <s v="PP"/>
    <x v="0"/>
    <x v="0"/>
    <s v="LC↔LC"/>
    <m/>
    <s v="Unchanged"/>
  </r>
  <r>
    <s v="Terrestrial"/>
    <s v="SVl8"/>
    <s v="Tzaneen Sour Bushveld"/>
    <s v="Lowveld Bioregion"/>
    <x v="1"/>
    <s v="T4"/>
    <s v="T4.2"/>
    <s v="Limpopo Province: A band extending along the footslopes and hills of the northeastern escarpment, from the Soutpansberg Mountains in the north via Tzaneen and narrowing to the Abel Erasmus Pass area in the south. "/>
    <s v="Limpopo"/>
    <s v="Endemic to South Africa"/>
    <s v="South Africa"/>
    <s v="low to high mountains with undulating plains mainly at the base of, and on the lower to middle slopes of the northeastern escarpment."/>
    <s v="Summer rainfall with dry winters. MAP from about 550 mm on the footslopes of the escarpment in the east to about 1 000 mm, where it borders grassland at higher altitudes to the west. Frost infrequent, but occasional at higher altitude. Mean monthly maximum and minimum temperatures for Tzaneen 36.4°C and 3.9°C for January and June, respectively. Corresponding values for Levubu-Agr 36.4°C and 5.7°C for October and July, respectively. See also climate diagram for SVl 8 Tzaneen Sour Bushveld."/>
    <s v="The potassium-poor gneisses of the Goudplaats gneiss (Swazian Erathem) and an Archaean granite dyke underlie most of this area. Shales and quartzite of the Wolkberg Group are present, but not common. Soils are Mispah, Glenrosa or Hutton forms, shallow to deep, sandy or gravelly and well-drained. Land types Fa, Ab, Ae and Ia."/>
    <x v="70"/>
    <n v="1789.85"/>
    <n v="1748.13"/>
    <s v="PP"/>
    <x v="3"/>
    <x v="1"/>
    <s v="EN↔EN"/>
    <s v="B1i_rod"/>
    <s v="Unchanged"/>
  </r>
  <r>
    <s v="Terrestrial"/>
    <s v="FFd4"/>
    <s v="Atlantis Sand Fynbos"/>
    <s v="Southwest Fynbos Bioregion"/>
    <x v="4"/>
    <s v="T3"/>
    <s v="T3.2"/>
    <s v="Western Cape Province: Rondeberg to Blouberg on the West Coast coastal flats; along the Groen River on the eastern side of the Dassenberg-Darling Hills through Riverlands to the area between Atlantis and Kalbaskraal, also between Klipheuwel and the Paardeberg with outliers west of the Berg River east and north of Riebeek-Kasteel between Hermon and Heuningberg. "/>
    <s v="Western Cape"/>
    <s v="Endemic to South Africa"/>
    <s v="South Africa"/>
    <s v="Moderately undulating to flat sand plains"/>
    <s v="Winter-rainfall regime with precipitation peaking from May to August. MAP 290–660 mm (mean: 440 mm). Mists (fogs) common in winter and supplying additional precipitation. Mean daily maximum and minimum temperatures 27.9°C and 7.0°C for February and July, respectively. Frost incidence about 3 days per year. See also climate diagram for FFd 4 Atlantis Sand Fynbos (Figure 4.57)."/>
    <s v="Acidic tertiary, grey regic sands, usually white or yellow. Land types mainly Db, Ha, Hb and Ca."/>
    <x v="71"/>
    <n v="338.57"/>
    <n v="330.73919999999998"/>
    <s v="PP"/>
    <x v="3"/>
    <x v="1"/>
    <s v="EN↔EN"/>
    <s v="B1i_rod, B1i_inv, B1iii_sp"/>
    <s v="Unchanged"/>
  </r>
  <r>
    <s v="Terrestrial"/>
    <s v="SKr17"/>
    <s v="Eenriet Plains Succulent Shrubland"/>
    <s v="Richtersveld Bioregion"/>
    <x v="3"/>
    <s v="T5"/>
    <s v="T5.2"/>
    <s v="Northern Cape Province: Plains northwest of Kabinaberg and south of the Koubank River, extending west and east of the main road between Steinkopf and Vioolsdrif, in the southeastern Richtersveld, partly forming the transition to Bushmanland. "/>
    <s v="Northern Cape"/>
    <s v="Endemic to South Africa"/>
    <s v="South Africa"/>
    <s v="Wide plains tilting towards the north, with few inselbergs. The extensive plains often resemble sheet wash plains and deep loamy-sandy soil"/>
    <s v="Winter-rainfall regime, but with some summer rainfall also occurring (mainly March), especially towards the eastern boundaries of the unit. MAP was estimated at 100–160 mm. Some 10 to 20 frost days occur per year. See also climate diagram for SKr 17 Eenriet Plains Succulent Shrubland (Figure 5.12)."/>
    <s v="Fine-structured deep loamy sands over gneiss of the Precambrian Namaqualand Metamorphic Complex. Ag land type dominates."/>
    <x v="72"/>
    <n v="260.2"/>
    <n v="259.64999999999998"/>
    <s v="NP"/>
    <x v="0"/>
    <x v="0"/>
    <s v="LC↔LC"/>
    <m/>
    <s v="Unchanged"/>
  </r>
  <r>
    <s v="Terrestrial"/>
    <s v="NKb3"/>
    <s v="Bushmanland Arid Grassland"/>
    <s v="Bushmanland Bioregion"/>
    <x v="6"/>
    <s v="T5"/>
    <s v="T5.1"/>
    <s v="Northern Cape Province: Spanning about one degree of latitude from around Aggeneys in the west to Prieska in the east. The southern border of the unit is formed by edges of the Bushmanland Basin while in the northwest this vegetation unit borders on desert vegetation (northwest of Aggeneys and Pofadder). The northern border (in the vicinity of Upington) and the eastern border (between Upington and Prieska) are formed with often intermingling units of Lower Gariep Broken Veld, Kalahari Karroid Shrubland and Gordonia Duneveld. Most of the western border is formed by the edge of the Namaqualand hills. "/>
    <s v="Northern Cape"/>
    <s v="Namibia"/>
    <s v="South Africa"/>
    <s v="Extensive to irregular plains on a slightly sloping plateau "/>
    <s v="Rainfall largely in late summer/early autumn (major peak) and very variable from year to year. MAP ranges from about 70 mm in the west to 200 mm in the east. Mean maximum and minimum monthly temperatures for Kenhardt are 40.6°C and –3.7°C for January and July respectively. Corresponding values for Pofadder are 38.3°C and –0.6°C. Frost incidence ranges from around 10 frost days per year in the northwest to about 35 days in the east. Whirl winds (dust devils) are common on hot summer days. See also climate diagram for NKb 3 Bushmanland Arid Grassland (Figure 7.2)."/>
    <s v="A third of the area is covered by recent (Quaternary) alluvium and calcrete. Superficial deposits of the Kalahari Group are also present in the east. The extensive Palaeozoic diamictites of the Dwyka Group also outcrop in the area as do gneisses and metasediments of Mokolian age. The soils of most of the area are red-yellow apedal soils, freely drained, with a high base status and &lt;300 mm deep, with about one fifth of the area deeper than 300 mm, typical of Ag and Ae land types."/>
    <x v="73"/>
    <n v="41007.980000000003"/>
    <n v="40919.7912"/>
    <s v="PP"/>
    <x v="0"/>
    <x v="0"/>
    <s v="LC↔LC"/>
    <m/>
    <s v="Unchanged"/>
  </r>
  <r>
    <s v="Terrestrial"/>
    <s v="SVk15"/>
    <s v="Koranna-Langeberg Mountain Bushveld"/>
    <s v="Eastern Kalahari Bushveld Bioregion"/>
    <x v="1"/>
    <s v="T4"/>
    <s v="T4.1"/>
    <s v="Northern Cape Province: From the Tswalu Kalahari Reserve at the northern tip of the Korannaberg southwards in the form of multiple ridges to the Langeberg west of Olifantshoek and southwards along the Langeberg and some parallel ridges, to ridges in the vicinity of Volop. Also some ridges to the west of the Langeberg. Altitude 1 000–1 836 m at highest point."/>
    <s v="Northern Cape"/>
    <s v="Endemic to South Africa"/>
    <s v="South Africa"/>
    <s v="Rugged mountains and steep slopes in parts of the Korannaberg but with few cliffs in the Langeberg to the south. "/>
    <s v="Summer and autumn rainfall with very dry winters. MAP about 180–380 mm. Frost frequent in winter. See also climate diagram for SVk 15 Koranna-Langeberg Mountain Bushveld."/>
    <s v="The geology of the Korannaberg and Langeberg Mountains consists of quartzite, greywacke and lenses of hematite of the Olifantshoek Supergroup (Mokolian Erathem). The soils consist of very rocky, shallow sands. Land types mainly Ic, with some Ae."/>
    <x v="74"/>
    <n v="1618.25"/>
    <n v="1617.1748"/>
    <s v="MP"/>
    <x v="0"/>
    <x v="0"/>
    <s v="LC↔LC"/>
    <m/>
    <s v="Unchanged"/>
  </r>
  <r>
    <s v="Terrestrial"/>
    <s v="Gd7"/>
    <s v="uKhahlamba Basalt Grassland"/>
    <s v="Drakensberg Grassland Bioregion"/>
    <x v="0"/>
    <s v="T4"/>
    <s v="T4.5"/>
    <s v="KwaZulu-Natal and to a small extent also the Free State and Eastern Cape Provinces and very slightly in Lesotho: Uppermost slopes of the Drakensberg Mountains just below the edge of the highland plateau. "/>
    <s v="KwaZulu-Natal, Eastern Cape, Free State"/>
    <s v="Endemic to ZA, Ls, Sz"/>
    <s v="South Africa"/>
    <s v="steepof slopes"/>
    <s v="Summer rainfall, with MAP 830–1 820 mm (overall regional MAP 1 234 mm). Great temperature differences between summer (some days with temperature exceeding 30°C) and winter, characterised by occurrence of snow (does not persist for long on steep exposed slopes) and frequent frost (55 days per year). Morning summer mists are also frequent, but so are hot, dry winds from July to October. Depending on altitude and aspect, the climate characteristics vary considerably. See also climate diagram for Gd 7 uKhahlamba Basalt Grassland (Figure 8.11)."/>
    <s v="Jurassic Basalts of the Drakensberg Group (Karoo Supergroup)—a result of prolonged volcanic activity accompanying the birth of the African continent by breaking from Gondwana. Deep nutrient-rich soils are formed on less steep slopes, while basalt outcrops usually do not carry any fine soil, except for shallow pockets of basalt rubble. Dominant land type Fa, followed by Ac and Ic."/>
    <x v="75"/>
    <n v="1345.46"/>
    <n v="1345.884"/>
    <s v="WP"/>
    <x v="0"/>
    <x v="0"/>
    <s v="LC↔LC"/>
    <m/>
    <s v="Unchanged"/>
  </r>
  <r>
    <s v="Terrestrial"/>
    <s v="FFa4"/>
    <s v="Lourensford Alluvium Fynbos"/>
    <s v="Southwest Fynbos Bioregion"/>
    <x v="4"/>
    <s v="T3"/>
    <s v="T3.2"/>
    <s v="Western Cape Province: Low-lying areas between Firgrove and Gordon’s Bay, including much of the Strand and Somerset West, extending up the Lourens River Valley to the Sawmill above Lourensford Estate. "/>
    <s v="Western Cape"/>
    <s v="Endemic to South Africa"/>
    <s v="South Africa"/>
    <s v="Low-lying plains"/>
    <s v="Winter-rainfall climate peaking from May to August. MAP 470–980 mm (mean: 640 mm). Mean daily maximum and minimum temperatures 26.0°C and 7.4°C for February and July, respectively. Frost incidence infrequent. This is the only alluvium fynbos under strong maritime influence. See also climate diagram for FFa 4 Lourensford Alluvium Fynbos (Figure 4.88)."/>
    <s v="Plinthic, duplex, silty soils often with small cobbles and pebbles embedded. Found over Cape Suite granite and metasediments of the Tygerberg Formation (Malmesbury Group). Land types mainly Ca and Ac."/>
    <x v="76"/>
    <n v="5.81"/>
    <n v="5.1344000000000003"/>
    <s v="PP"/>
    <x v="2"/>
    <x v="2"/>
    <s v="CR↔CR"/>
    <s v="A3_coct, A2b, B1i_rod, B1iii_sp"/>
    <s v="Unchanged"/>
  </r>
  <r>
    <s v="Terrestrial"/>
    <s v="Gh5"/>
    <s v="Bloemfontein Dry Grassland"/>
    <s v="Dry Highveld Grassland Bioregion"/>
    <x v="0"/>
    <s v="T4"/>
    <s v="T4.5"/>
    <s v="Free State Province: South-central part of the province, with Bloemfontein more or less centrally. Extending from Petrusburg in the west to the Rustfontein Dam in the east and from Reddersburg in the south to the Soetdoring Nature Reserve in the north. "/>
    <s v="Free State"/>
    <s v="Endemic to South Africa"/>
    <s v="South Africa"/>
    <s v="Slightly undulating bottomland landscape"/>
    <s v="Summer-rainfall region, with MAP around 450 mm. Most of the rainfall is of convectional origin and peaks in late summer. Overall MAT is within warm-temperate ranges (nearly 16°C), with high incidence of frost in winter. See also climate diagram for Gh 5 Bloemfontein Dry Grassland (Figure 8.23)."/>
    <s v="Sedimentary mudstones and layers of sandstone mainly of the Adelaide Subgroup (Beaufort Group, Karoo Supergroup). Volksrust Formation mudstones of the Ecca Group (also Karoo Supergroup) dominate the western part of the area. Deep (&gt;300 mm) layer of red sand (aeolian origin) covers the more clayey B-horizons. Soil forms such as arable Hutton, Bainsvlei and Bloemdal occur here and are typical of the Ca land type. The Ea land type has shallow gravelly soils underlain by dolerite sills. Ca and Ae land types are nearly equally represented."/>
    <x v="77"/>
    <n v="2610.64"/>
    <n v="2576.7836000000002"/>
    <s v="PP"/>
    <x v="0"/>
    <x v="0"/>
    <s v="LC↔LC"/>
    <m/>
    <s v="Unchanged"/>
  </r>
  <r>
    <s v="Terrestrial"/>
    <s v="SVmp7"/>
    <s v="Phalaborwa-Timbavati Mopaneveld"/>
    <s v="Mopane Bioregion"/>
    <x v="1"/>
    <s v="T4"/>
    <s v="T4.1"/>
    <s v="Limpopo and Mpumalanga Provinces: Occurs in a band about 40 km west and east of Phalaborwa and also occurs south of the Olifants River on the boundary between the Timbavati Game Reserve and the Kruger National Park including parts of the Umbabat and Klaserie Nature Reserves. "/>
    <s v="Mpumalanga, Limpopo"/>
    <s v="Endemic to South Africa"/>
    <s v="South Africa"/>
    <s v="The field layer is usually well developed. A feature of the northern section of this unit is the large number of termite mounds on the uplands."/>
    <s v="Summer rainfall with very dry winters. MAP about 400–600 mm. Generally frost-free. Mean monthly maximum and minimum temperatures for Phalaborwa 38.4°C and 5.7°C for January and July, respectively. See also climate diagram for SVmp 7 Phalaborwa-Timbavati Mopaneveld."/>
    <s v="Quartz-feldspar rocks of the Makhutswi Gneiss (Swazian) dominate this area, except in the northwest where they are intruded by the Lekkersmaak Granite (Randian). Sandy soils (usually less than 10% clay in the A-horizon) on the uplands (e.g. Clovelly soil form) and clay soils in the bottomlands (e.g. Valsrivier and Sterkspruit soil forms). The dominant land type mapped is mainly Fb."/>
    <x v="78"/>
    <n v="2035.9"/>
    <n v="2027.6279999999999"/>
    <s v="WP"/>
    <x v="0"/>
    <x v="0"/>
    <s v="LC↔LC"/>
    <m/>
    <s v="Unchanged"/>
  </r>
  <r>
    <s v="Terrestrial"/>
    <s v="FRg1"/>
    <s v="Namaqualand Granite Renosterveld"/>
    <s v="Namaqualand Cape Shrublands Bioregion"/>
    <x v="4"/>
    <s v="T3"/>
    <s v="T3.2"/>
    <s v="Northern Cape Province: Namaqualand, east of Kamieskroon and northeast of Garies in the higher-altitude parts of the Kamiesberg area from Os Plaat se Berge and the Dounabesberge in the north to Stalberg and Grasberg in the south and including a central area around Leliefontein. The most easterly extension is in the vicinity of Paulshoek. Embedded within this unit are several patches of generally highest-altitude FFg 1 Kamiesberg Granite Fynbos. "/>
    <s v="Northern Cape"/>
    <s v="Endemic to South Africa"/>
    <s v="South Africa"/>
    <s v="Plateaus, low mountains and broken veld of typical granite landscapes"/>
    <s v="MAP 130–370 mm (mean: 235 mm), peaking from May to August. This is the most arid of the renosterveld types. Mean daily maximum and minimum temperatures 26.6°C and 2.7°C for January and July, respectively. Frost incidence 10–30 days per year. See also climate diagram for FRg 1 Namaqualand Granite Renosterveld (Figure 4.117)."/>
    <s v="In this area granitic gneiss of the Stalhoek Complex, the Kamieskroon Gneiss and the Nababeep Gneiss is partly overlain by quartzite and other metasediments of the Bitterfontein Formation (Bushmanland Group). The above Mokolian age rocks form level to gentle rocky slopes. The soils are sandy; yellow-brown to brown loamy sand. Land types mainly Ic, IB and Ag."/>
    <x v="79"/>
    <n v="253.86"/>
    <n v="252.79839999999999"/>
    <s v="NP"/>
    <x v="0"/>
    <x v="0"/>
    <s v="LC↔LC"/>
    <m/>
    <s v="Unchanged"/>
  </r>
  <r>
    <s v="Terrestrial"/>
    <s v="FFs27"/>
    <s v="Kouga Sandstone Fynbos"/>
    <s v="Eastern Fynbos-Renosterveld Bioregion"/>
    <x v="4"/>
    <s v="T3"/>
    <s v="T3.2"/>
    <s v="Western and Eastern Cape Provinces: Main area from the Dieprivier and the ridge of Bak se Baken in the west, through Uniondale, eastwards along the main chain of the Kouga Mountains (and continuous with some small ridges such as Ouposberg and Dwarsberg to the northwest), interrupted by the thicket of the Kouga River, and terminating in the vicinity of Blouberg. A narrower band occurs along the upper and generally south-facing parts of the Baviaanskloofberge on the northern side of Baviaanskloof from the Winterhoekberge in the west and continuing up to the gorge of the Groot River. The unit is found at high altitudes (with a southerly aspect) on the main ridge of the Groot Winterhoekberge to the high mountain parts above Uitenhage (e.g. Vermaakskop) and also occurs on some subsidiary high ridges to the south. Also found along the higher and south-facing parts of the Elandsberg as well as on the Van Stadensberg to near Fitches Corner. A narrow band occurs on the southern slopes of the Suuranysberge on the northern side of the lower Langkloof Valley, Kareedouw. "/>
    <s v="Eastern Cape, Western Cape"/>
    <s v="Endemic to South Africa"/>
    <s v="South Africa"/>
    <s v="Mainly long, rounded mountain chains with moderately steep to gentle slopes. "/>
    <s v="MAP 270–910 mm (mean: 600 mm), with a slight bimodal peak in March and October. Mean daily maximum and minimum temperatures 27.3°C and 2.9°C for February and July, respectively. Frost incidence 10–40 days per year. See also climate diagram for FFs 27 Kouga Sandstone Fynbos (Figure 4.21)."/>
    <s v="Acidic lithosol soils derived from sandstones of the Table Mountain Group as well as quartzitic sandstones of the Witteberg Group (Nardouw Subgroup). Land types mainly Ib, Ic and Fa."/>
    <x v="80"/>
    <n v="2165.44"/>
    <n v="2155.9928"/>
    <s v="WP"/>
    <x v="0"/>
    <x v="0"/>
    <s v="LC↔LC"/>
    <m/>
    <s v="Unchanged"/>
  </r>
  <r>
    <s v="Terrestrial"/>
    <s v="SVs6"/>
    <s v="Eastern Valley Bushveld"/>
    <s v="Sub-Escarpment Savanna Bioregion"/>
    <x v="1"/>
    <s v="T4"/>
    <s v="T4.2"/>
    <s v="KwaZulu-Natal and Eastern Cape Provinces Deeply incised valleys of rivers including the lower reaches of the Thukela, Mvoti, Mgeni, Mlazi, Mkhomazi, Mzimkulu, Mzimkulwana, Mtamvuna, Mtentu, Msikaba, Mzimvubu (and its several tributaries), Mthatha, Mbhashe, Shixini, Qhorha and Great Kei. Very seldom extending to the coast. "/>
    <s v="KwaZulu-Natal, Eastern Cape"/>
    <s v="Endemic to South Africa"/>
    <s v="South Africa"/>
    <s v="Most of the river valleys run along a northwest-southeast axis which results in unequal distribution of rainfall on respective north-facing and south-facing slopes since the rain-bearing winds blow from the south"/>
    <s v="Summer rainfall with some rain in winter. MAP about 550–1 000 mm. Frost infrequent. Mean monthly maximum and minimum temperatures for Nagle Dam 36.9°C and 4.0°C for December and June, respectively. See also climate diagram for SVs 6 Eastern Valley Bushveld."/>
    <s v="The area is underlain by the sediments of the Karoo Supergroup with the mudstones and lesser sandstones of the Adelaide and Tarkastad Subgroups (Beaufort Group) dominant, and some Ecca Group shale. Dominant land type Fa."/>
    <x v="81"/>
    <n v="7081.57"/>
    <n v="7037.8728000000001"/>
    <s v="NP"/>
    <x v="0"/>
    <x v="0"/>
    <s v="LC↔LC"/>
    <m/>
    <s v="Unchanged"/>
  </r>
  <r>
    <s v="Terrestrial"/>
    <s v="CB2"/>
    <s v="Maputaland Wooded Grassland"/>
    <s v="Indian Ocean Coastal Belt"/>
    <x v="7"/>
    <s v="T4"/>
    <s v="T4.2"/>
    <s v="KwaZulu-Natal Province and southern Mozambique: In South Africa from the Mozambique border near KwaNgwanase southwards to Sileza, Sibaya, Mseleni, Mbazwana, Sodwana Bay, Ozabeni, eastern and western shores of Lake St Lucia, KwaMbonambi and as far south as near Richards Bay. "/>
    <s v="KwaZulu-Natal"/>
    <s v="Mozambique"/>
    <s v="South Africa"/>
    <s v="Generally flat landscape of the Maputaland coastal plain"/>
    <s v="Approximately the same as for the CB 1 Maputaland Coastal Belt (both units form an intricate regional mosaic). See also climate diagram for CB 2 Maputaland Wooded Grassland (Figure 11.2)."/>
    <s v="Quaternary redistributed sand supporting yellowish redistributed sands of the Berea Formation (Maputaland Group). These are dystric regosols building dune crests, slopes and relatively high-lying level plains. Water table found at depth 1.6–2.0 m below surface (and slightly deeper) in average rainfall years. Ha is the overwhelmingly dominant land type, followed by Hb land type."/>
    <x v="82"/>
    <n v="412.63"/>
    <n v="400.95519999999999"/>
    <s v="MP"/>
    <x v="3"/>
    <x v="1"/>
    <s v="EN↔EN"/>
    <s v="B1i_rod"/>
    <s v="Unchanged"/>
  </r>
  <r>
    <s v="Terrestrial"/>
    <s v="Gm5"/>
    <s v="Basotho Montane Shrubland"/>
    <s v="Mesic Highveld Grassland Bioregion"/>
    <x v="0"/>
    <s v="T4"/>
    <s v="T4.5"/>
    <s v="Free State Province, Lesotho and very marginally into KwaZulu-Natal Province: Foothills of the west-facing Drakensberg (also Maloti) and mainly on the slopes of mesas over a wide area in the vicinity of Zastron in the southwest, the surrounds of Mafeteng, Hobhouse, Maseru, Roma, Ladybrand, Clocolan, Excelsior, Ficksburg, Butha-Buthe, Fouriesburg, Paul Roux, Bethlehem, Phuthaditjhaba as far as Harrismith in the northeast. This shrubland unit covers extensive areas in deeply incised river valleys of western Lesotho, especially those opening towards the south and west. "/>
    <s v="KwaZulu-Natal, Free State"/>
    <s v="Endemic to ZA, Ls, Sz"/>
    <s v="South Africa"/>
    <s v="Steep talus slopes and kloofs of the mesas and other mountain flanks"/>
    <s v="This unit receives more than 720 mm of MAP. Wepener and Harrismith score 629 and 624 mm, respectively, while some patches found closer to the Maloti Mountain range (such as on Qwaqwa Mountain near Phuthaditjhaba) may receive more than 1 400 mm in particularly wet years. Most of the rain falls in summer and much of it as convectional rain, with torrential storms. The overall MAT is 13.7°C. Summers are wet and hot, while winters are (as a rule) dry and with frequent frost. Snowfall is a rare event. See also climate diagram for Gm 5 Basotho Montane Shrubland (Figure 8.36)."/>
    <s v="The upper layers of the mudstones and sandstones of the Molteno, Elliot and Clarens Formations (Stormberg Group, Karoo Supergroup). The variations in weathering rates of the rocks resulted in the formation of numerous terraces along the slopes. In places the dolerite dykes cut through the thick sandstones, resulting in the formation of sheltered ravines. The soil surface is strewn with sandstone rocks and boulders. Ib land type, characterised by miscellaneous soil forms, specially the Mispah, and Glenrosa forms, is dominant. Other land types of minor occurrence are Fa, Bb and Db."/>
    <x v="83"/>
    <n v="2457.4499999999998"/>
    <n v="2462.3627999999999"/>
    <s v="PP"/>
    <x v="0"/>
    <x v="0"/>
    <s v="LC↔LC"/>
    <m/>
    <s v="Unchanged"/>
  </r>
  <r>
    <s v="Terrestrial"/>
    <s v="SVcb27"/>
    <s v="Sekhukhune Plains Bushveld"/>
    <s v="Central Bushveld Bioregion"/>
    <x v="1"/>
    <s v="T4"/>
    <s v="T4.1"/>
    <s v="Limpopo and Mpumalanga Provinces: Lowland area from Burgersfort and the lower basin of the Steelpoort River in the south, northwards through the plains of the Motse River basin to Jobskop and Legwareng (south of the Strydpoort Mountains). Continues up the basin of the Olifants River to around Tswaing and the valleys of the Lepellane and Mohlaletsi Rivers. "/>
    <s v="Mpumalanga, Limpopo"/>
    <s v="Endemic to South Africa"/>
    <s v="South Africa"/>
    <s v="Mainly semi-arid plains and open valleys between chains of hills and small mountains running parallel to the escarpment"/>
    <s v="Summer rainfall with very dry winters. MAP about 400–600 mm, but at the lower end of this range on the central plains increasing to about 500 mm on the plains east of the Leolo Mountains. Frost very infrequent. Mean monthly maximum and minimum temperatures for Tswelopele 37.3°C and –0.9°C for January and June, respectively. Daily temperatures vary considerably at different localities, with higher temperatures on the western plains and lower temperatures on higher-lying plateaus. See also climate diagram for SVcb 27 Sekhukhune Plains Bushveld."/>
    <s v="Complex geology, with rocks mainly mafic and ultramafic intrusive rocks of the main to lower zones of the Rustenberg Layered Suite on the eastern lobe of the Bushveld Igneous Complex (Vaalian). The zones (subsuites) are dominated by concentric belts of norite, gabbro, anorthosite and pyroxenite, with localised protrusions of magnetite, chromatite, serpentinised harzburgite, olivine diorite, shale, dolomite and quartzite. Most of the area consists of red apedal soils. Deep, loamy Valsrivier soils are characteristic of the plains and shallow Glenrosa soils are found on the low-lying, rocky hills. Patches of erodable black, melanic structured horizons are common around small mountains. Some Steendal soils are underlain by gypsum. Land types mainly Ae, Ib, Ea and Ia."/>
    <x v="84"/>
    <n v="1173.08"/>
    <n v="1210.0876000000001"/>
    <s v="PP"/>
    <x v="3"/>
    <x v="1"/>
    <s v="EN↔EN"/>
    <s v="B1i_rod"/>
    <s v="Unchanged"/>
  </r>
  <r>
    <s v="Terrestrial"/>
    <s v="Gs2"/>
    <s v="Ithala Quartzite Sourveld"/>
    <s v="Sub-Escarpment Grassland Bioregion"/>
    <x v="0"/>
    <s v="T4"/>
    <s v="T4.5"/>
    <s v="KwaZulu-Natal and Mpumalanga Provinces and Swaziland: Confined to large quartzite patches that occur from Amsterdam, southwards east of Piet Retief and through Mahamba, to the Paris Dam and Ithala Game Reserve, with isolated outcrops near Magudu. "/>
    <s v="KwaZulu-Natal, Mpumalanga"/>
    <s v="Endemic to ZA, Ls, Sz"/>
    <s v="South Africa"/>
    <s v="Low mountain ranges and undulating hills with rocky lowlands."/>
    <s v="Rainfall peaks in midsummer. MAP from about 1 200 mm in the west to 570 mm in the east (MAP 795 mm). Frost does occur, but is infrequent. See also climate diagram for Gs 2 Ithala Quartzite Sourveld (Figure 8.61)."/>
    <s v="Quartzite of the Mozaan Group (Pongola Supergroup) of the Randian age supporting shallow soils typical of Fb (prevalent) and Fa (marginal) land types."/>
    <x v="85"/>
    <n v="1246.79"/>
    <n v="1242.8516"/>
    <s v="MP"/>
    <x v="0"/>
    <x v="0"/>
    <s v="LC↔LC"/>
    <m/>
    <s v="Unchanged"/>
  </r>
  <r>
    <s v="Terrestrial"/>
    <s v="SVl11"/>
    <s v="Malelane Mountain Bushveld"/>
    <s v="Lowveld Bioregion"/>
    <x v="1"/>
    <s v="T4"/>
    <s v="T4.2"/>
    <s v="Mpumalanga Province: High-lying area north of Malelane and Kaapmuiden including Berg-en-Dal Rest Camp area as far north as the area of the hill Sithongwane in the Kruger National Park. Also includes the Krokodilpoortberge both north and south of the Crocodile Gorge. "/>
    <s v="Mpumalanga"/>
    <s v="Endemic to South Africa"/>
    <s v="South Africa"/>
    <s v="on mountains and higher-lying slopes,"/>
    <s v="Summer rainfall with dry winters. MAP about 600–1 100 mm, increasing with altitude. Mountain tops experience occasional mist. Frost infrequent to occasional at higher altitudes. See also climate diagram for SVl 11 Malelane Mountain Bushveld."/>
    <s v="Granite and gneiss, mostly of the Nelspruit Suite, forming hills with large boulders, with shallow, coarse, sandy lithosols, largely comprised of Glenrosa or Mispah soil types. Land types Fa, Fb and Ib."/>
    <x v="86"/>
    <n v="599.59"/>
    <n v="596.55880000000002"/>
    <s v="WP"/>
    <x v="0"/>
    <x v="0"/>
    <s v="LC↔LC"/>
    <m/>
    <s v="Unchanged"/>
  </r>
  <r>
    <s v="Terrestrial"/>
    <s v="SVl27"/>
    <s v="Crocodile Gorge Mountain Bushveld"/>
    <s v="Lowveld Bioregion"/>
    <x v="1"/>
    <s v="T4"/>
    <s v="T4.2"/>
    <m/>
    <m/>
    <m/>
    <s v="South Africa"/>
    <m/>
    <m/>
    <m/>
    <x v="87"/>
    <n v="429.35"/>
    <n v="426.72800000000001"/>
    <s v="MP"/>
    <x v="0"/>
    <x v="0"/>
    <s v="LC↔LC"/>
    <m/>
    <s v="Unchanged"/>
  </r>
  <r>
    <s v="Terrestrial"/>
    <s v="SVcb28"/>
    <s v="Sekhukhune Mountain Bushveld"/>
    <s v="Central Bushveld Bioregion"/>
    <x v="1"/>
    <s v="T4"/>
    <s v="T4.2"/>
    <s v="Limpopo and Mpumalanga Provinces: Mountains and undulating hills above the lowlands of the SVcb 27 Sekhukhune Plains Bushveld, including the steep slopes of the Leolo Mountains (except areas of Gm 20 Leolo Summit Sourveld), Dwars River Mountains (except areas of Gm 19 Sekhukhune Montane Grassland) and Thaba Sekhukhune, and a number of isolated smaller mountains (e.g. Phepane and Morone). Also the undulating small hills in the valley of the Steelpoort River up to and along the Klip River flowing past Roossenekal. "/>
    <s v="Mpumalanga, Limpopo"/>
    <s v="Endemic to South Africa"/>
    <s v="South Africa"/>
    <s v="hills and mountain slopes that form concentric belts parallel to the northeastern escarpment."/>
    <s v="Summer rainfall with very dry winters. MAP about 500–700 mm, but local topography influences rainfall patterns over short distances. Frost fairly infrequent. Daily temperatures vary considerably at different localities, with highest temperatures in lower-lying areas and lowest temperatures on southern aspects of mountains. See also climate diagram for SVcb 28 Sekhukhune Mountain Bushveld."/>
    <s v="Rocks mainly ultramafic intrusives of the lower, critical and main zones of the eastern Rustenberg Layered Suite of the Bushveld Igneous Complex (Vaalian). Three subsuites (zones), namely Croydon, Dwars River and Dsjate consist mainly of norite, pyroxenite, anorthosite and gabbro, and are characterised by localised intrusions of magnetite, diorite, dunite, bronzitite and harzburgite. Soils are predominantly shallow, rocky and clayey. Glenrosa and Mispah soil forms are common, with lime present in low-lying areas. Rocky areas without soil are common on steep slopes. The Dwars River Valley is characterised by prismacutanic horizons with melanic structured diagnostic horizons. Around Steelpoort red apedal, freely drained soils occur and these deeper soils include Hutton, Bonheim and Steendal soil forms. Land types mainly Ib, Ae, Ic and Fb."/>
    <x v="88"/>
    <n v="1809.04"/>
    <n v="1809.8715999999999"/>
    <s v="PP"/>
    <x v="0"/>
    <x v="0"/>
    <s v="LC↔LC"/>
    <m/>
    <s v="Unchanged"/>
  </r>
  <r>
    <s v="Terrestrial"/>
    <s v="FFc1"/>
    <s v="Swellendam Silcrete Fynbos"/>
    <s v="Southern Fynbos Bioregion"/>
    <x v="4"/>
    <s v="T3"/>
    <s v="T3.2"/>
    <s v="Western Cape Province: Relatively large patches on southern foothills of the Langeberg from around Swellendam to north of Dekriet/Soutpan (between Riversdale and Albertinia), becoming highly fragmented between Albertinia and the southern side of Robinson Pass to around Molenrivier (north of Klein-Brak River). "/>
    <s v="Western Cape"/>
    <s v="Endemic to South Africa"/>
    <s v="South Africa"/>
    <s v="Mainly undulating hills on the coastal forelands, the remains of the old African surface"/>
    <s v=" MAP 320–860 mm (mean: 520 mm), with no clear peak, but a low in December–January. Mean daily maximum and minimum temperatures 28°C and 5.5°C for January and July, respectively. Frost incidence about 3 days per year. See also climate diagram for FFc 1 Swellendam Silcrete Fynbos (Figure 4.83)."/>
    <s v="Silcrete and conglomerate with dry, shallow, loamy sand of Houwhoek form. Land types mainly Db and Gb."/>
    <x v="89"/>
    <n v="393.4"/>
    <n v="388.69880000000001"/>
    <s v="PP"/>
    <x v="3"/>
    <x v="1"/>
    <s v="EN↔EN"/>
    <s v="B1i_rod, B1iii_sp"/>
    <s v="Unchanged"/>
  </r>
  <r>
    <s v="Terrestrial"/>
    <s v="FFf2"/>
    <s v="Potberg Ferricrete Fynbos"/>
    <s v="Southwest Fynbos Bioregion"/>
    <x v="4"/>
    <s v="T3"/>
    <s v="T3.2"/>
    <s v="Western Cape Province: Northern and western lowermost slopes of Potberg Mountain from Potberg to Poortsrivier and bordered on the north by the Breede River from Diepkloof eastwards. "/>
    <s v="Western Cape"/>
    <s v="Endemic to South Africa"/>
    <s v="South Africa"/>
    <s v="Slight slopes and moderately undulating plains perched on the northern slopes below Potberg. "/>
    <s v="MAP 300–540 mm (mean: 455 mm), with no clear peak but a low from December to February. Mean daily maximum and minimum temperatures 26.0°C and 6.2°C for January–February and July, respectively. Frost incidence about 3 days per year. See also climate diagram for FFf 2 Potberg Ferricrete Fynbos (Figure 4.83)."/>
    <s v="Ferricrete with dry, shallow loamy sand; also silcrete and Ordovician sandstone of the Table Mountain Group (Cape Supergroup) colluvium over shales. Shallow stony soils and sandy loams derived from shale. Rounded ferricrete stones, gravel and cobble covering the surface are locally called ‘koffieklip’ due to their brown colour. They are considered to be remains of the old African surface. Land types mainly Db, Fc, Fa and Fb."/>
    <x v="90"/>
    <n v="19.54"/>
    <n v="19.376000000000001"/>
    <s v="PP"/>
    <x v="2"/>
    <x v="2"/>
    <s v="CR↔CR"/>
    <s v="B1iii_sp"/>
    <s v="Unchanged"/>
  </r>
  <r>
    <s v="Terrestrial"/>
    <s v="FFq3"/>
    <s v="Matjiesfontein Quartzite Fynbos"/>
    <s v="Western Fynbos-Renosterveld Bioregion"/>
    <x v="4"/>
    <s v="T3"/>
    <s v="T3.2"/>
    <s v="Western Cape Province: A complex of ridges and low mountains mostly in the Western Little Karoo extending from Saalberg near Karoopoort and Skulpiesklip in the west to Elandsberg near the Gamkapoort Dam in the east. This includes parts of the Bontberg, Voetpadsberg and Koegaberge in the vicinity of Touws River, the Witteberg south of Matjiesfontein including many ridges between the Witteberg and Anysberg, and the higher ridges north of, and running parallel to, the Klein Swartberg. Also between Ouberg Pass and Gatskraal (Mont Eco) west of Warmwaterberg and on hill summits around Ladismith, including Ladismith Hill. ."/>
    <s v="Western Cape"/>
    <s v="Endemic to South Africa"/>
    <s v="South Africa"/>
    <s v="Low flat mountains and parallel ridges in a west-east orientation"/>
    <s v="MAP 150–450 mm (mean: 320 mm), peaking slightly from May to August. Mean daily maximum and minimum temperatures 27.5°C and 2.2°C for February and July, respectively. Frost incidence 10–40 days per year. See also climate diagram for FFq 3 Matjiesfontein Quartzite Fynbos (Figure 4.51)."/>
    <s v="Sandy and skeletal soils derived from Witteberg Group quartzites. Land types mainly Ic, Ib and Fc."/>
    <x v="91"/>
    <n v="1250.47"/>
    <n v="1249.8432"/>
    <s v="PP"/>
    <x v="0"/>
    <x v="0"/>
    <s v="LC↔LC"/>
    <m/>
    <s v="Unchanged"/>
  </r>
  <r>
    <s v="Terrestrial"/>
    <s v="NKu3"/>
    <s v="Northern Upper Karoo"/>
    <s v="Upper Karoo Bioregion"/>
    <x v="6"/>
    <s v="T5"/>
    <s v="T5.1"/>
    <s v="Northern Cape and Free State Provinces: Northern regions of the Upper Karoo plateau from Prieska, Vosburg and Carnarvon in the west to Philipstown, Petrusville and Petrusburg in the east. Bordered in the north by Niekerkshoop, Douglas and Petrusburg and in the south by Carnarvon, Pampoenpoort and De Aar. A few patches occur in Griqualand West."/>
    <s v="Northern Cape, Free State"/>
    <s v="Endemic to South Africa"/>
    <s v="South Africa"/>
    <s v="Flat to gently sloping, with isolated hills of Upper Karoo Hardeveld in the south and Vaalbos Rocky Shrubland in the northeast and with many interspersed pans."/>
    <s v="Rainfall peaks in autumn (March). MAP ranges from about 190 mm in the west to 400 mm in the northeast. Mean maximum and minimum monthly temperatures for Britstown are 37.9°C and –3.6°C for January and July, respectively. Corresponding values are 37.1°C and –4.8°C for De Aar and 39.0°C and –2.3°C for Kareekloof (northwest of Strydenburg). See also climate diagram for NKu 3 Northern Upper Karoo (Figure 7.2)."/>
    <s v="Shales of the Volksrust Formation and to a lesser extent the Prince Albert Formation (both of the Ecca Group) as well as Dwyka Group diamictites form the underlying geology. Jurassic Karoo Dolerite sills and sheets support this vegetation complex in places. Wide stretches of land are covered by superficial deposits including calcretes of the Kalahari Group. Soils are variable from shallow to deep, red-yellow, apedal, freely drained soils to very shallow Glenrosa and Mispah forms. Mainly Ae, Ag and Fc land types."/>
    <x v="92"/>
    <n v="39885.35"/>
    <n v="40004.131999999998"/>
    <s v="NP"/>
    <x v="0"/>
    <x v="0"/>
    <s v="LC↔LC"/>
    <m/>
    <s v="Unchanged"/>
  </r>
  <r>
    <s v="Terrestrial"/>
    <s v="SVkd4"/>
    <s v="Nossob Bushveld"/>
    <s v="Kalahari Duneveld Bioregion"/>
    <x v="1"/>
    <s v="T4"/>
    <s v="T4.1"/>
    <s v="Northern Cape Province: Strip of duneveld west of the Nossob River from Nossob Camp area to Union’s End as well as some patches (for exam- ple in the vicinity of the waterpoint of Dankbaar) in the far northern parts of the Kgalagadi Transfrontier Park. "/>
    <s v="Northern Cape"/>
    <s v="Namibia, Botswana"/>
    <s v="South Africa"/>
    <s v="Open bushveld on plains"/>
    <s v="Summer and autumn rainfall with very dry winters. MAP about 200–300 mm. Frost fairly frequent to frequent in winter. Mean monthly maximum and minimum temperatures for Nossob Rest Camp 39.9°C and –6.2°C for December and July, respectively. See also climate diagram for SVkd 4 Nossob Bushveld."/>
    <s v="Aeolian sand  of the Kalahari forming undulating dunes. Soil of the Namib soil form. Dominant land type Af."/>
    <x v="93"/>
    <n v="762.34"/>
    <n v="762.2912"/>
    <s v="WP"/>
    <x v="0"/>
    <x v="0"/>
    <s v="LC↔LC"/>
    <m/>
    <s v="Unchanged"/>
  </r>
  <r>
    <s v="Terrestrial"/>
    <s v="SKv14"/>
    <s v="Steytlerville Karoo"/>
    <s v="Rainshadow Valley Karoo Bioregion"/>
    <x v="3"/>
    <s v="T5"/>
    <s v="T5.2"/>
    <s v="Eastern Cape Province: Valley bottoms delimited by the Grootrivierberge in the north and Baviaanskloof Mountains in the south, spanning Willowmore in the west and the surrounds of the confluence of the Groot and Haaspoort Rivers in the west. "/>
    <s v="Eastern Cape"/>
    <s v="Endemic to South Africa"/>
    <s v="South Africa"/>
    <s v="Flat lowland regions interrupted by a series of low hills "/>
    <s v="Aseasonal, but clearly bimodal precipitation climate with a major peak in March and another marked precipitation increase between October and December. MAP is almost 220 mm, which can be ascribed to the macrolandscape position of the unit located in a rainshadow valley. MAT 17°C, with 22 frost days per year. See also climate diagram for SKv 14 Steytlerville Karoo (Figure 5.65)."/>
    <s v="The area is dominated by Traka Subgroup shale and minor sandstone (of the Bokkeveld Group) together with lesser quartzite and shale of the Witteberg Group (Cape Supergroup), and supports (in places) deep loamy-sandy soils. Ag is the dominant land form, followed by Fc land form, both making up almost 100% of the area."/>
    <x v="94"/>
    <n v="772.52"/>
    <n v="769.28480000000002"/>
    <s v="NP"/>
    <x v="0"/>
    <x v="0"/>
    <s v="LC↔LC"/>
    <m/>
    <s v="Unchanged"/>
  </r>
  <r>
    <s v="Terrestrial"/>
    <s v="FS5"/>
    <s v="Langebaan Dune Strandveld"/>
    <s v="West Strandveld Bioregion"/>
    <x v="4"/>
    <s v="T3"/>
    <s v="T3.2"/>
    <s v="Western Cape Province: This strandveld occurs in three large disconnected patches: one is a narrow coastal strip from Elands Bay to the mouth of the Great Berg River at Velddrif, the second one covers parts from Britannia Bay past Paternoster to Danger Bay near Saldanha Bay, while the last one surrounds Langebaan Lagoon from the north on the Langebaan Peninsula at Donkergat west of the lagoon and Langebaan, east of the lagoon, via Geelbek to Yzerfontein continuing as a very narrow strip along the West Coast seaboard as far south as Silverstroomstrand at Bokbaai (west of Atlantis). "/>
    <s v="Western Cape"/>
    <s v="Endemic to South Africa"/>
    <s v="South Africa"/>
    <s v="Flat to slightly undulating old coastal dune systems and stabilised inland duneveld "/>
    <s v="Mainly cyclonic rainfall varying from approximately 230 mm in the north to 355 mm in the south, almost exclusively in winter and accompanied by frequent and strong northwesterly winds and cooler temperatures. Mean daily maximum and minimum temperatures 26.1°C and 7.8°C for February and July, respectively. Mean monthly maximum and minimum temperatures for Cape Columbine 29.8°C and 6.1°C for March and July, respectively. Southeasterly winds prevail in summer. Fog and dew contribute to the moisture in summer and autumn (especially in the northern part of the unit). Frost an infrequent phenomenon. See also climate diagram for FS 5 Langebaan Dune Strandveld (Figure 4.128)."/>
    <s v="Deep Tertiary to Recent sands and calcrete of marine origin. Dominant land types Hb (slightly prevailing), Fc and Ha."/>
    <x v="95"/>
    <n v="293.60000000000002"/>
    <n v="292.82479999999998"/>
    <s v="WP"/>
    <x v="3"/>
    <x v="1"/>
    <s v="EN↔EN"/>
    <s v="B1iii_sp"/>
    <s v="Unchanged"/>
  </r>
  <r>
    <s v="Terrestrial"/>
    <s v="SKk8"/>
    <s v="Piketberg Quartz Succulent Shrubland"/>
    <s v="Knersvlakte Bioregion"/>
    <x v="3"/>
    <s v="T5"/>
    <s v="T5.2"/>
    <s v="Western Cape Province: Piketberg area, larger patch on the Farm Draaihoek between Piketberg and Eendekuil (at eastern foothills of the Piketberg Mountains), in the vicinity of Het Kruis and Redelingshuys (north of Piketberg Mountains) as well as near Sauer at the southwestern foot of the Piketberg Mountains. "/>
    <s v="Western Cape"/>
    <s v="Endemic to South Africa"/>
    <s v="South Africa"/>
    <s v="Elevated sites (hummocks) with deeper soils "/>
    <s v="Low, winter-rainfall precipitation regime (most of the rain falls between May and August, with small peaks in June and August). The area is largely in the local rainshadow of the Piketberg Mountains and located within the already generally dry West Coast region—MAP is only about 270 mm and potential evaporation is very high. The local climate is mild (only 4 frost days per year on average) and MAT (18°C) clearly suggests the classification of the unit as warm-temperate. See also climate diagram for SKk 8 Piketberg Quartz Succulent Shrubland (Figure 5.53)."/>
    <s v="This small area is entirely situated on the Porterville Formation (Boland Subgroup) of the Malmesbury Group (Namibian Erathem). Weathering of softer shales left behind hard quartzitic veins which, after disintegration, form an almost continuous quartzite rubble layer. The area is exclusively classified as Db land type."/>
    <x v="96"/>
    <n v="0.59"/>
    <n v="0.62360000000000004"/>
    <s v="NP"/>
    <x v="2"/>
    <x v="2"/>
    <s v="CR↔CR"/>
    <s v="B1i_rod, B2i_rod"/>
    <s v="Unchanged"/>
  </r>
  <r>
    <s v="Terrestrial"/>
    <s v="FFh8"/>
    <s v="Montagu Shale Fynbos"/>
    <s v="Southern Fynbos Bioregion"/>
    <x v="4"/>
    <s v="T3"/>
    <s v="T3.2"/>
    <s v="Western Cape Province: A fragmented unit from the western Little Karoo at relatively high altitudes north of the Langeberg Mountains from Keerom to Langkloof east of Garcia’s Pass (north of Riversdale). Includes parts of The Koo, Ouberg Pass area (between Montagu and Ladismith), Kleinberg (MontEco) and Wildehondskloofhoogte (between Montagu and Barrydale). "/>
    <s v="Western Cape"/>
    <s v="Endemic to South Africa"/>
    <s v="South Africa"/>
    <s v="Moderately undulating uplands and undulating foothills to steep mountains"/>
    <s v="Rainfall at the edge of semi-aridity, with MAP 240–800 mm (mean: 375 mm), peaking slightly in winter. Mean daily maximum and minimum temperatures 25.9°C and 3.4°C for January–February and July, respectively. Frost incidence 10–30 days per year. See also climate diagram for FFh 8 Montagu Shale Fynbos (Figure 4.68)."/>
    <s v="Acidic, moist clay-loamy Glenrosa and Mispah forms derived from Bokkeveld Group shales. Land types mainly Fc and Fb."/>
    <x v="97"/>
    <n v="145.06"/>
    <n v="144.44640000000001"/>
    <s v="PP"/>
    <x v="0"/>
    <x v="0"/>
    <s v="LC↔LC"/>
    <m/>
    <s v="Unchanged"/>
  </r>
  <r>
    <s v="Terrestrial"/>
    <s v="FFg4"/>
    <s v="Robertson Granite Fynbos"/>
    <s v="Southwest Fynbos Bioregion"/>
    <x v="4"/>
    <s v="T3"/>
    <s v="T3.2"/>
    <s v="Western Cape Province: Confined to southern foothills of the Langeberg, namely the higher parts of Tierberg northwest of Robertson and the Langeberg from the Kabous River at Bergenheim to Bakoondshoogte west of Swellendam. "/>
    <s v="Western Cape"/>
    <s v="Endemic to South Africa"/>
    <s v="South Africa"/>
    <s v="Steep, undulating hills "/>
    <s v="MAP 190–1 000 mm (mean: 505 mm), peaking from May to August. Mean daily maximum and minimum temperatures 27.8°C and 4.0°C for January–February and July, respectively. Frost incidence 5–10 days per year. See also climate diagram for FFg 4 Robertson Granite Fynbos (Figure 4.92)."/>
    <s v="Deep loamy sands, Glenrosa and Mispah forms, derived from Cape Granites (Robertson and Dassenheuwel Plutons of Cambrian age). Land types mainly Fb and Fa."/>
    <x v="98"/>
    <n v="14.22"/>
    <n v="14.137600000000001"/>
    <s v="WP"/>
    <x v="0"/>
    <x v="0"/>
    <s v="LC↔LC"/>
    <m/>
    <s v="Unchanged"/>
  </r>
  <r>
    <s v="Terrestrial"/>
    <s v="FRs6"/>
    <s v="Matjiesfontein Shale Renosterveld"/>
    <s v="Western Fynbos-Renosterveld Bioregion"/>
    <x v="4"/>
    <s v="T3"/>
    <s v="T3.2"/>
    <s v="Western Cape Province: From De Doorns and the top of the Theronsberg Pass in the west to Gamka Poort in the east, remaining north of the Waboomberg and Warmwaterberg in the Little Karoo and north of the Anysberg and Groot Swartberg and positioned south of the Tanqua Karoo, the Grootrivier near Matjiesfontein and the Floriskraal Dam southeast of Laingsburg. This type surrounds the many higher elevation ridges of FFq 3 Matjiesfontein Quartzite Fynbos and FFh 2 Matjiesfontein Shale Fynbos. "/>
    <s v="Western Cape"/>
    <s v="Endemic to South Africa"/>
    <s v="South Africa"/>
    <s v="Low mountains, parallel hills and mid-altitude plateaus"/>
    <s v="MAP 150–470 mm (mean: 300 mm), peaking slightly from May to August. Mean daily maximum and minimum temperatures 27.4°C and 2.4°C for February and July, respectively. Frost incidence 10–40 days per year. See also climate diagram for FRs 6 Matjiesfontein Shale Renosterveld (Figure 4.101)."/>
    <s v="Clays and loams derived from Witteberg and Bokkeveld Group shales of the Cape Supergroup; Glenrosa and Mispah forms prominent. Land types mainly Fc, Ic, Ib and Fb."/>
    <x v="99"/>
    <n v="1815.4"/>
    <n v="1809.9760000000001"/>
    <s v="PP"/>
    <x v="0"/>
    <x v="0"/>
    <s v="LC↔LC"/>
    <m/>
    <s v="Unchanged"/>
  </r>
  <r>
    <s v="Terrestrial"/>
    <s v="FFh4"/>
    <s v="Breede Shale Fynbos"/>
    <s v="Southwest Fynbos Bioregion"/>
    <x v="4"/>
    <s v="T3"/>
    <s v="T3.2"/>
    <s v="Western Cape Province: Breede River and Slanghoek Valleys discontinuously from Tulbagh (Winterhoek ‘Kom’) to Swellendam, on the lower southern slopes of the Groot Winterhoek, Witsenberg, Hex and Langeberg Mountains and at places along the base of the Slanghoekberge and western Badsberg. "/>
    <s v="Western Cape"/>
    <s v="Endemic to South Africa"/>
    <s v="South Africa"/>
    <s v="Steep upper slopes below mountains grading to slightly undulating plains, well dissected by rivers. "/>
    <s v="Winter-rainfall climate with MAP 300–1 300 mm (mean: 690 mm), peaking from May to August. Mean daily maximum and minimum temperatures 29.2°C and 4.6°C for February and July, respectively. Frost incidence 3–10 days per year. See also climate diagram for FFh 4 Breede Shale Fynbos (Figure 4.68)."/>
    <s v="Acidic, moist clay-loam, Glenrosa or Mispah forms derived from Bokkeveld Shales, underlain by rocks of the Malmesbury Group. Land types mainly Fa, Fb and Ic."/>
    <x v="100"/>
    <n v="206.36"/>
    <n v="203.67519999999999"/>
    <s v="MP"/>
    <x v="3"/>
    <x v="1"/>
    <s v="EN↔EN"/>
    <s v="B1i_rod, B1iii_sp"/>
    <s v="Unchanged"/>
  </r>
  <r>
    <s v="Terrestrial"/>
    <s v="FFs1"/>
    <s v="Bokkeveld Sandstone Fynbos"/>
    <s v="Northwest Fynbos Bioregion"/>
    <x v="4"/>
    <s v="T3"/>
    <s v="T3.2"/>
    <s v="Distribution Northern and Western Cape Provinces: From the Bokkeveld Escarpment in the north along the Kobee and Matsikamma Mountains to the Gifberge between the Doring (Hantams) River (north of Nieuwoudtville) to the Doring (Tankwa) River (south of Klawer)."/>
    <s v="Northern Cape, Western Cape"/>
    <s v="Endemic to South Africa"/>
    <s v="South Africa"/>
    <s v="A flat tableland, on the Bokkeveld Escarpment, elsewhere gently sloping to the east and south, without any faulting or folding in the sandstone beds. Major exposures of sandstone are at the edge of the Escarpment and where younger sediments have been removed. Topography resulting from rivers cutting through the resistant sandstone, forming deep gorges (such as Oorlogskloof) in an otherwise flat sandstone landscape. Although the shale bands of the Cedarberg Formation are largely absent, rugged ‘Cederberg’ landscape is formed on the eastern edge, where shale outcrops with flat-topped hills occur (and support outliers of Bokkeveld Sandstone Fynbos on their summits"/>
    <s v="MAP 160–430 mm (mean: 290 mm), peaking May to August. The most arid of the Sandstone Fynbos types. Mean daily maximum and minimum temperatures 30.8°C and 4.0°C for February and July, respectively. Frost incidence 3–10 days per year. See also climate diagram for FFs 1 Bokkeveld Sandstone Fynbos (Figure 4.21)."/>
    <s v="Acidic lithosol soils derived from Ordovician sandstones of the Table Mountain Group (Cape Supergroup), very variable from Glenrosa and Mispah forms to red-yellow apedal to grey regic sands or skeletal. Land types mainly Fa, Ai, Ib and Hb."/>
    <x v="101"/>
    <n v="803.54"/>
    <n v="800.37360000000001"/>
    <s v="PP"/>
    <x v="0"/>
    <x v="0"/>
    <s v="LC↔LC"/>
    <m/>
    <s v="Unchanged"/>
  </r>
  <r>
    <s v="Terrestrial"/>
    <s v="FFd10"/>
    <s v="Knysna Sand Fynbos"/>
    <s v="Eastern Fynbos-Renosterveld Bioregion"/>
    <x v="4"/>
    <s v="T3"/>
    <s v="T3.2"/>
    <s v="Western Cape Province: Garden Route coastal flats from Wilderness, generally to the north of the system of lakes, several patches around the Knysna Lagoon, with more isolated patches eastwards to the Robberg peninsula near Plettenberg Bay."/>
    <s v="Western Cape"/>
    <s v="Endemic to South Africa"/>
    <s v="South Africa"/>
    <s v="Undulating hills and moderately undulating plains "/>
    <s v="MAP 670–1 090 mm (mean: 850 mm), with a slight peak in autumn and spring. Mean daily maximum and minimum temperatures 27.3°C and 7.3°C for February and July, respectively. Frost incidence 2 or 3 days per year. See also climate diagram for FFd 10 Knysna Sand Fynbos (Figure 4.57)."/>
    <s v="Deep, acid Tertiary sand inland of coastal dunes forming regic sands and soils of Lamotte form. Land types mainly Hb and Ga."/>
    <x v="102"/>
    <n v="31.66"/>
    <n v="29.771599999999999"/>
    <s v="PP"/>
    <x v="2"/>
    <x v="2"/>
    <s v="CR↔CR"/>
    <s v="B1i_rod"/>
    <s v="Unchanged"/>
  </r>
  <r>
    <s v="Terrestrial"/>
    <s v="FFq4"/>
    <s v="Breede Quartzite Fynbos"/>
    <s v="Southwest Fynbos Bioregion"/>
    <x v="4"/>
    <s v="T3"/>
    <s v="T3.2"/>
    <s v="Western Cape Province: Southern Breede River Valley from the Brandvlei Dam at Die Nekkies near Worcester to northeast of Bonnievale, but with by far the largest extent on the Hammansberg, Ouhangsberge, Gemsbokkop, Gannaberg and Rooiberg. "/>
    <s v="Western Cape"/>
    <s v="Endemic to South Africa"/>
    <s v="South Africa"/>
    <s v="A single range of parallel ridges and flat-topped hills in the west, and high hills and low mountains in the east"/>
    <s v="MAP 190–550 mm (mean: 320 mm), peaking slightly from May to August. Mean daily maximum and minimum temperatures 28.6°C and 4.7°C for February and July, respectively. Frost incidence 5–8 days per year. See also climate diagram for FFq 4 Breede Quartzite Fynbos (Figure 4.51)."/>
    <s v="Sandy and skeletal soils (Glenrosa and Mispah forms prominent) derived from Witteberg Group quartzites. Land types mainly Ic and Fb."/>
    <x v="103"/>
    <n v="91.65"/>
    <n v="91.305199999999999"/>
    <s v="PP"/>
    <x v="0"/>
    <x v="0"/>
    <s v="LC↔LC"/>
    <m/>
    <s v="Unchanged"/>
  </r>
  <r>
    <s v="Terrestrial"/>
    <s v="FRs5"/>
    <s v="Central Mountain Shale Renosterveld"/>
    <s v="Karoo Renosterveld Bioregion"/>
    <x v="4"/>
    <s v="T3"/>
    <s v="T3.2"/>
    <s v="Northern and Western Cape Provinces: Southern and southeastern slopes of the Klein-Roggeveldberge and Komsberg below the Roggeveld section of the Great Escarpment (facing the Moordenaars Karoo) as well as farther east below Besemgoedberg and Suurkop west of Merweville and in the west in the Karookop area between Losper se Berg and high points around Thyshoogte. "/>
    <s v="Northern Cape, Western Cape"/>
    <s v="Endemic to South Africa"/>
    <s v="South Africa"/>
    <s v="Slopes and broad ridges of low mountains and escarpments"/>
    <s v="Arid to semi-arid climate. MAP 180–410 mm (mean: 290 mm), with relatively even rainfall, but still showing a slight high in autumn-winter. Mean daily maximum and minimum temperatures 29.9°C and 0.9°C for January and July, respectively. Frost incidence 20–50 days per year. See also climate diagram for FRs 5 Central Mountain Shale Renosterveld (Figure 4.101)."/>
    <s v="Clayey soils overlying Adelaide Subgroup (Beaufort Group of the Karoo Supergroup) mudstones and subordinate sandstones. Glenrosa and Mispah forms are prominent. Land types mainly Ib and Fc."/>
    <x v="104"/>
    <n v="1200.54"/>
    <n v="1199.1568"/>
    <s v="NP"/>
    <x v="0"/>
    <x v="0"/>
    <s v="LC↔LC"/>
    <m/>
    <s v="Unchanged"/>
  </r>
  <r>
    <s v="Terrestrial"/>
    <s v="FFq5"/>
    <s v="Grootrivier Quartzite Fynbos"/>
    <s v="Eastern Fynbos-Renosterveld Bioregion"/>
    <x v="4"/>
    <s v="T3"/>
    <s v="T3.2"/>
    <s v="Western and Eastern Cape Provinces: Ridges north of the Groot Swartberg and Baviaanskloof Mountains, from Prince Albert to Wolwefontein west of Kirkwood, but mainly in the Grootrivierberge mostly north of the Groot River between Willowmore and Steytlerville as well as on the adjoining Witteberg north of the Grootrivierberge. Generally a very narrow strip (&lt; 1 km wide) west of the Boesmanspoortberg at Willowmore. Separated from the most easterly quartzite fynbos unit (FFq 6 Suurberg Quartzite Fynbos) by the Wolwefontein-Baroe Valley. "/>
    <s v="Eastern Cape, Western Cape"/>
    <s v="Endemic to South Africa"/>
    <s v="South Africa"/>
    <s v="A series of narrow parallel scarps, much broader, higher and more extensive in the west at Witberg"/>
    <s v="MAP 160–560 mm (mean: 330 mm), peaking in March, with a low from June to September. Mean daily maximum and minimum temperatures 30.1°C and 1.4°C for January and July, respectively. Frost incidence 10–30 days per year. See also climate diagram for FFq 5 Grootrivier Quartzite Fynbos (Figure 4.51)."/>
    <s v="Sandy and skeletal soils, often red-yellow, apedal and shallow, derived from Witteberg Group quartzite. Land types mainly Ib, Ag and Ic."/>
    <x v="105"/>
    <n v="388.46"/>
    <n v="388.29559999999998"/>
    <s v="NP"/>
    <x v="0"/>
    <x v="0"/>
    <s v="LC↔LC"/>
    <m/>
    <s v="Unchanged"/>
  </r>
  <r>
    <s v="Terrestrial"/>
    <s v="FFs17"/>
    <s v="Potberg Sandstone Fynbos"/>
    <s v="Southwest Fynbos Bioregion"/>
    <x v="4"/>
    <s v="T3"/>
    <s v="T3.2"/>
    <s v="Western Cape Province: Mainly on the inselberg-like Potberg Mountain south of the lower Breede River to Melkhoutrivier, with an extension on to the flats towards Noetsie and an outlier on the coastal flats at Infanta. "/>
    <s v="Western Cape"/>
    <s v="Endemic to South Africa"/>
    <s v="South Africa"/>
    <s v="Prolonged, moderately steep sandstone coastal inselberg"/>
    <s v="MAP 410–550 mm (mean: 500 mm), fairly evenly throughout the year, but with a low from December to February. Mists covering the ridge are common in summer. Mean daily maximum and minimum temperatures 25.7°C and 6.1°C for January and July, respectively. Frost incidence 2 or 3 days per year. See also climate diagram for FFs 17 Potberg Sandstone Fynbos (Figure 4.21)."/>
    <s v="Acidic lithosol soils derived from Ordovician sandstones of the Table Mountain Group (Cape Supergroup), Glenrosa and Mispah forms are prominent. Land types mainly Ic, Ib and Fb."/>
    <x v="106"/>
    <n v="100.8"/>
    <n v="100.306"/>
    <s v="WP"/>
    <x v="0"/>
    <x v="2"/>
    <s v="LC → CR"/>
    <s v="B1iii_sp"/>
    <s v="Uplisted"/>
  </r>
  <r>
    <s v="Terrestrial"/>
    <s v="FRs18"/>
    <s v="Baviaanskloof Shale Renosterveld"/>
    <s v="Eastern Fynbos-Renosterveld Bioregion"/>
    <x v="4"/>
    <s v="T3"/>
    <s v="T3.2"/>
    <s v="Eastern Cape Province: Two relatively small groups of digitally shaped lower hillslopes dissected by many ravines (kloofs) containing AT 3 Groot Thicket on the southern side of the Baviaanskloof Valley from Voorkloof to Vleikloof in the west and from Kleinkommandokloof to Drinkwaterkloof in the east. "/>
    <s v="Eastern Cape"/>
    <s v="Endemic to South Africa"/>
    <s v="South Africa"/>
    <s v="Flat, lower mountain bases"/>
    <s v="MAP 200–620 mm (mean: 365 mm), even throughout the year, with a peak in March. Mean daily maximum and minimum temperatures 27.9°C and 2.5°C for February and July, respectively. Frost incidence 10–30 days per year. See also climate diagram for FRs 18 Baviaanskloof Shale Renosterveld (Figure 4.101)."/>
    <s v="Often skeletal clays and loams derived from shales of the Nardouw Subgroup (Table Mountain Group). Glenrosa and Mispah forms prominent. Land types mainly Ib and Fb."/>
    <x v="107"/>
    <n v="118.67"/>
    <n v="118.6628"/>
    <s v="WP"/>
    <x v="0"/>
    <x v="0"/>
    <s v="LC↔LC"/>
    <m/>
    <s v="Unchanged"/>
  </r>
  <r>
    <s v="Terrestrial"/>
    <s v="FFd8"/>
    <s v="Breede Sand Fynbos"/>
    <s v="Southwest Fynbos Bioregion"/>
    <x v="4"/>
    <s v="T3"/>
    <s v="T3.2"/>
    <s v="Western Cape Province: Small patches usually in close proximity to the Breede River from the Brandvlei Dam to near Robertson. "/>
    <s v="Western Cape"/>
    <s v="Endemic to South Africa"/>
    <s v="South Africa"/>
    <s v="Very fragmented, occurring as dune plumes and dune seas in the valley bottoms primarily south of the Breede River, and extending up the sides of adjacent hills"/>
    <s v="MAP 230–560 mm (mean: 345 mm), peaking from May to August. Mean daily maximum and minimum temperatures 29.6°C and 5.0°C for February and July, respectively. Frost incidence 3–6 days per year. See also climate diagram for FFd 8 Breede Sand Fynbos (Figure 4.57)."/>
    <s v="Recent aeolian sand accumulations of riverine origin (Breede River). Land types mainly Fc, Bb and Hb."/>
    <x v="108"/>
    <n v="43.99"/>
    <n v="43.4236"/>
    <s v="PP"/>
    <x v="2"/>
    <x v="2"/>
    <s v="CR↔CR"/>
    <s v="B1iii_sp"/>
    <s v="Unchanged"/>
  </r>
  <r>
    <s v="Terrestrial"/>
    <s v="FFa1"/>
    <s v="Kouebokkeveld Alluvium Fynbos"/>
    <s v="Northwest Fynbos Bioregion"/>
    <x v="4"/>
    <s v="T3"/>
    <s v="T3.2"/>
    <s v="Western Cape Province: Fringes of the northern Koue Bokkeveld valleys from Op Die Berg (north of Ceres) northwards to Tandfontein and eastwards to Excelsior, extending to the Blinkberg Pass and Winkelhaak. Smaller unmapped patches are also found at north-facing entrances to valleys of the Hex River Mountains. "/>
    <s v="Western Cape"/>
    <s v="Endemic to South Africa"/>
    <s v="South Africa"/>
    <s v="Slightly undulating plains in mountain valleys where alluvium has accumulated alongside rivers and as alluvial fans"/>
    <s v="Winter-rainfall climate with MAP 240–730 mm (mean: 400 mm), peaking from May to August. Mean daily maximum and minimum temperatures 28.0°C and 3.4°C for February and July, respectively. Frost incidence fairly infrequent, 10–30 days per year. This is the driest and coolest of all alluvium fynbos types due to the rainshadow effect and high elevation. See also climate diagram for FFa 1 Kouebokkeveld Alluvium Fynbos (Figure 4.88)."/>
    <s v="Sandy to silty alluvium with small cobbles embedded over Bokkeveld shales. Soils are duplex and dystrophic plinthic catenas and grey regic sands. Land types mainly Ca, Bb and Hb."/>
    <x v="109"/>
    <n v="54.49"/>
    <n v="52.908799999999999"/>
    <s v="PP"/>
    <x v="2"/>
    <x v="2"/>
    <s v="CR↔CR"/>
    <s v="B1i_rod"/>
    <s v="Unchanged"/>
  </r>
  <r>
    <s v="Terrestrial"/>
    <s v="FFh3"/>
    <s v="Swartberg Shale Fynbos"/>
    <s v="Western Fynbos-Renosterveld Bioregion"/>
    <x v="4"/>
    <s v="T3"/>
    <s v="T3.2"/>
    <s v="Western Cape Province: A very fragmented unit from the southern foothills of the Klein and Groot Swartberge, occurring in isolated pockets from the vicinity of Ladismith to Matjiesrivier and north of the Groot Swartberge around Gideonshoop southwest of Klaarstroom. "/>
    <s v="Western Cape"/>
    <s v="Endemic to South Africa"/>
    <s v="South Africa"/>
    <s v="Steep to gentle slopes below sandstone mountains"/>
    <s v="MAP 210–770 mm (mean: 510 mm), with a bimodal peak in October–November and January–February and a low in winter. Mean daily maximum and minimum temperatures 28.4°C and 4.6°C for February and July, respectively. Frost incidence 2–10 days per year. See also climate diagram for FFh 10 Suurberg Shale Fynbos (Figure 4.68)."/>
    <s v="Acidic, moist clay-loam, Glenrosa or Mispah forms derived from shales of the Bokkeveld Group (Devonian) and the Cango Group (Namibian Erathem). Land types mainly Fc, Fb and Ib."/>
    <x v="110"/>
    <n v="63.92"/>
    <n v="63.683199999999999"/>
    <s v="PP"/>
    <x v="0"/>
    <x v="0"/>
    <s v="LC↔LC"/>
    <m/>
    <s v="Unchanged"/>
  </r>
  <r>
    <s v="Terrestrial"/>
    <s v="FFh5"/>
    <s v="Cape Winelands Shale Fynbos"/>
    <s v="Southwest Fynbos Bioregion"/>
    <x v="4"/>
    <s v="T3"/>
    <s v="T3.2"/>
    <s v="Western Cape Province: Higher hills and lower mountain slopes in the Stellenbosch and Somerset West areas, in patches from Blousteen on Clarence Drive at Koeëlbaai to south of Elsenberg and within the Jonkershoek Valley, with pockets on the Cape Peninsula at Devils Peak, the Tygerberg Hills on Kanonkop, Groenberg near Wellington and the upper Franschhoek Valley. "/>
    <s v="Western Cape"/>
    <s v="Endemic to South Africa"/>
    <s v="South Africa"/>
    <s v="Moderately undulating plains and steep slopes against the mountains"/>
    <s v="MAP 520–1 690 mm (mean: 865 mm), peaking from May to August. This is the shale fynbos unit with the highest rainfall. Mean daily maximum and minimum temperatures 26.4°C and 6.6°C for February and July, respectively. Frost incidence 2 or 3 days per year. See also climate diagram for FFh 5 Cape Winelands Shale Fynbos (Figure 4.68)."/>
    <s v="Acidic, moist clay-loamy, red-yellow apedal and Glenrosa and Mispah forms derived from Malmesbury Shales. Land types mainly Ac, Fa and Ic."/>
    <x v="111"/>
    <n v="36.64"/>
    <n v="35.829599999999999"/>
    <s v="MP"/>
    <x v="2"/>
    <x v="2"/>
    <s v="CR↔CR"/>
    <s v="B1i_rod, B2i_rod, B1iii_sp, B2iii_sp"/>
    <s v="Unchanged"/>
  </r>
  <r>
    <s v="Terrestrial"/>
    <s v="FFh1"/>
    <s v="Kouebokkeveld Shale Fynbos"/>
    <s v="Northwest Fynbos Bioregion"/>
    <x v="4"/>
    <s v="T3"/>
    <s v="T3.2"/>
    <s v="Western Cape Province: Koue Bokkeveld Valley from Waboomrivier and Rosendal (Koue Bokkeveld) to Gydo Pass (north of Ceres), edge of the Warm Bokkeveld from Gydo Pass along the lower slopes of the Gydoberg and Waboomberg to the upland plateau with Klondyke and Muilbergsvlakte, and Agter Witzenberg valleys, from Rosendal (Swartruggens) to Wakkerstroom. "/>
    <s v="Western Cape"/>
    <s v="Endemic to South Africa"/>
    <s v="South Africa"/>
    <s v="Slightly undulating plains and steep slopes in valleys between high mountains"/>
    <s v="MAP 300–920 mm (mean: 570 mm). Mean daily maximum and minimum temperatures 27.1°C and 3.1°C for February and July, respectively. Frost incidence 10–30 days per year. See also climate diagram for FFh 1 Kouebokkeveld Shale Fynbos (Figure 4.68)."/>
    <s v="Acidic, moist clay-loam prismacutanic or pedocutanic soils, derived from Bokkeveld Shales. Land types mainly Db, Fb, Fa, Bb and Ib."/>
    <x v="112"/>
    <n v="201.72"/>
    <n v="198.90799999999999"/>
    <s v="MP"/>
    <x v="2"/>
    <x v="2"/>
    <s v="CR↔CR"/>
    <s v="B1i_rod"/>
    <s v="Unchanged"/>
  </r>
  <r>
    <s v="Terrestrial"/>
    <s v="FFh9"/>
    <s v="Garden Route Shale Fynbos"/>
    <s v="Eastern Fynbos-Renosterveld Bioregion"/>
    <x v="4"/>
    <s v="T3"/>
    <s v="T3.2"/>
    <s v="Western and Eastern Cape Provinces: Patches along the coastal foothills of the Langeberg at Grootberg (northeast of Heidelberg), the Outeniqua Mountains from Cloete’s Pass via the Groot Brak River Valley, Hoekwil, Karatara, Barrington and Knysna to Plettenberg Bay. Patches from the Bloukrans Pass along coastal platform shale bands south of the Tsitsikamma Mountains via Kleinbos and Fynboshoek to south of both Clarkson and the Kareedouw Mountains. "/>
    <s v="Eastern Cape, Western Cape"/>
    <s v="Endemic to South Africa"/>
    <s v="South Africa"/>
    <s v="Undulating hills and moderately undulating plains on the coastal forelands"/>
    <s v="MAP 310–1 120 mm (mean: 700 mm), relatively even throughout the year, but with a slight low in winter. Mean daily maximum and minimum temperatures 27.6°C and 6.5°C for January and July, respectively. Frost incidence 2 or 3 days per year. See also climate diagram for FFh 9 Garden Route Shale Fynbos (Figure 4.68)."/>
    <s v="Acidic, moist clay-loam, prismacutanic and pedocutanic soils derived from Caimans Group and Ecca (in the east) shales. Land types mainly Db and Fa."/>
    <x v="113"/>
    <n v="250.17"/>
    <n v="243.7328"/>
    <s v="PP"/>
    <x v="3"/>
    <x v="1"/>
    <s v="EN↔EN"/>
    <s v="B1i_rod, B1i_inv"/>
    <s v="Unchanged"/>
  </r>
  <r>
    <s v="Terrestrial"/>
    <s v="FFh11"/>
    <s v="Peninsula Shale Fynbos"/>
    <s v="Southwest Fynbos Bioregion"/>
    <x v="4"/>
    <s v="T3"/>
    <s v="T3.2"/>
    <s v="Western Cape Province: Higher hills and lower mountain slopes on the Cape Peninsula at Devils Peak, mainly on the south and east aspects. Altitude 0–700 m."/>
    <s v="Western Cape"/>
    <s v="Endemic to South Africa"/>
    <s v="South Africa"/>
    <s v="Steep slopes against the mountains. Higher hills and lower mountain slopes on the Cape Peninsula at Devils Peak, mainly on the south and east aspects"/>
    <s v="0"/>
    <s v="Acidic, moist clay-loamy, red-yellow apedal and Glenrosa and Mispah forms derived from Malmesbury Shales. Land types mainly Ac, Fa and Ic. "/>
    <x v="114"/>
    <n v="5.59"/>
    <n v="5.3592000000000004"/>
    <s v="WP"/>
    <x v="1"/>
    <x v="2"/>
    <s v="VU → CR"/>
    <s v="B1i_rod, B2i_rod"/>
    <s v="Uplisted"/>
  </r>
  <r>
    <s v="Terrestrial"/>
    <s v="FFh7"/>
    <s v="Greyton Shale Fynbos"/>
    <s v="Southwest Fynbos Bioregion"/>
    <x v="4"/>
    <s v="T3"/>
    <s v="T3.2"/>
    <s v="Western Cape Province: South of Riviersonderend and Caledon Swartberg Mountains on higher-altitude shales from Theewaterskloof Dam to Stormsvlei, including the Bergfontein and Spitskop hills north of Caledon. "/>
    <s v="Western Cape"/>
    <s v="Endemic to South Africa"/>
    <s v="South Africa"/>
    <s v="Moderately undulating plains and steep slopes of adjacent mountains"/>
    <s v="Rainfall peaks slightly in winter (August high). MAP 320–710 mm (mean: 485 mm). Mean daily maximum and minimum temperatures 27.6°C and 5.4°C for February and July, respectively. Frost incidence 2 or 3 days per year. See also climate diagram for FFh 7 Greyton Shale Fynbos (Figure 4.68)."/>
    <s v="Acidic, moist clay-loam and colluvium with various, often Glenrosa and Mispah forms, derived from Bokkeveld Group shales, often with Ordovician sandstones of the Table Mountain Group (Cape Supergroup). Land types mainly Fa, Fb and Db."/>
    <x v="115"/>
    <n v="149.78"/>
    <n v="148.1284"/>
    <s v="PP"/>
    <x v="2"/>
    <x v="2"/>
    <s v="CR↔CR"/>
    <s v="B1iii_sp"/>
    <s v="Unchanged"/>
  </r>
  <r>
    <s v="Terrestrial"/>
    <s v="FFs30"/>
    <s v="Western Altimontane Sandstone Fynbos"/>
    <s v="Northwest Fynbos Bioregion"/>
    <x v="4"/>
    <s v="T3"/>
    <s v="T3.2"/>
    <s v="Western Cape Province: Summits and top ridges from around 1 800 m upwards including patches on Jurie se Berg (Sneeukoppe; 1 930 m), Shadow Peak (1 898 m) and Sneeuberg (2 026 m) in the Cederberg, Sneeukop (2 071 m) in Skurweberge, Groot Winterhoek Peak (2 078 m), Eureka Peak (1 987 m), Medina Peak (1 905 m) and Sneeugat Peak (1 884 m), Groot Winterhoek, as well as a series of larger patches along the Hex River Mountains on Mosterthoek Twins (2 030 m), Waaihoek Peak (1 948 m), Mount Superior (1 913 m), Fonteintjiesberg (1 989 m), Sentinel Peak (1 939 m), Buffelshoek Peak (2 059 m), Milner Peak (1 995 m), Groothoek Peak (2 099 m), Rooiberg (2 209 m), Sonkliprug (2 100 m) and Matroosberg (2 249 m). This unit includes Keeromsberg (2 071 m) situated in the extreme west of the Langeberg as well as Du Toits Peak (1 994 m) in the Du Toitsberge."/>
    <s v="Western Cape"/>
    <s v="Endemic to South Africa"/>
    <s v="South Africa"/>
    <s v="High-altitude summit peaks, generally fragmented and localised, but relatively extensive in the Hex River Mountains."/>
    <s v="MAP generally 450–3 140 mm (mean: 1 385 mm), peaking May to August. Mean daily maximum and minimum temperatures 22.9°C and 0.1°C for February and July, respectively. Microclimatical measurements at altitudes of about 1 900 m on Waaihoek Peak (Boelhouwers 1998) revealed that diurnal frost cycles occur from May to September. The annual precipitation totals 2 488 mm at Waaihoek Peak, 77% of which falls during the freeze/thaw season. Presence of snow estimated to occur on 31 days per year. Unlike on shale (see a note under FFb 2), despite 74 frost days a year at Waaihoek Peak, no evidence in favour of soil needle-ice formation observed. See also climate diagram for FFs 30 Western Altimontane Sandstone Fynbos (Figure 4.21)."/>
    <s v="Skeletal and rocky acidic lithosol soils derived from Ordovician sandstones of the Table Mountain Group (Cape Supergroup). Land types mainly Ic and Ib."/>
    <x v="116"/>
    <n v="37.49"/>
    <n v="37.485999999999997"/>
    <s v="WP"/>
    <x v="0"/>
    <x v="0"/>
    <s v="LC↔LC"/>
    <m/>
    <s v="Unchanged"/>
  </r>
  <r>
    <s v="Terrestrial"/>
    <s v="NKb4"/>
    <s v="Bushmanland Sandy Grassland"/>
    <s v="Bushmanland Bioregion"/>
    <x v="6"/>
    <s v="T5"/>
    <s v="T5.1"/>
    <s v="Northern Cape Province: Surrounds of Aggeneys (northern Bushmanland) and a few isolated patches south of Copperton on the eastern edge of the Bushmanland Basin suggesting the course of the paleoriverine system of the Orange River and its tributaries. The largest continuous patch of this vegetation type fills the shallow valley of the intermittent Koa River southeast and west of Aggeneys. "/>
    <s v="Northern Cape"/>
    <s v="Endemic to South Africa"/>
    <s v="South Africa"/>
    <m/>
    <s v="Major rainfall peak between February and April and a minor peak in November. MAP ranges from about 70–110 mm. See also climate diagram for NKb 4 Bushmanland Sandy Grassland (Figure 7.2)."/>
    <s v="Mostly Quaternary sediments (sand, calcrete) with some contribution of the pre-Pleistocene Kalahari Group sediments in the east. Typically the surface is covered by red sands &gt;300 mm deep, forming dunes in places. Af land type dominates."/>
    <x v="117"/>
    <n v="2672.98"/>
    <n v="2670.2676000000001"/>
    <s v="NP"/>
    <x v="0"/>
    <x v="0"/>
    <s v="LC↔LC"/>
    <m/>
    <s v="Unchanged"/>
  </r>
  <r>
    <s v="Terrestrial"/>
    <s v="FRs15"/>
    <s v="Swartberg Shale Renosterveld"/>
    <s v="Western Fynbos-Renosterveld Bioregion"/>
    <x v="4"/>
    <s v="T3"/>
    <s v="T3.2"/>
    <s v="Western and Eastern Cape Provinces: Mainly northern slopes of the Groot Swartberg and some parallel ridges in the Oukloof and Droëkloof from near Prince Albert in the west to Vartjiesrivier in the east; an outlier further west on the Swartberg in the upper reaches of the Waterkloofrivier catchment between Elandspad and Kliphuisvlei (above and east of Gamkaskloof or Die Hel). "/>
    <s v="Eastern Cape, Western Cape"/>
    <s v="Endemic to South Africa"/>
    <s v="South Africa"/>
    <s v="Steep and gentle intermontane valleys "/>
    <s v="MAP 500–1 140 mm (mean: 815 mm), relatively even with a bimodal peak in March and August–November. Mean daily maximum and minimum temperatures 25.1°C and 7.0°C for January–February and July, respectively. Frost incidence 0–20 days per year. See also climate diagram for FFb 6 Eastern Coastal Shale Band Vegetation (Figure 4.77)."/>
    <s v="The soils derived from several shale sources within the Table Mountain Group (particularly the Nardouw Subgroup) as well as the Witteberg and Bokkeveld Groups of the Cape Supergroup that underlie this area. Prismacutanic and pedocutanic and Glenrosa or Mispah forms are prominent. Land types mainly Ib, Ic and Fc."/>
    <x v="118"/>
    <n v="264.87"/>
    <n v="264.25599999999997"/>
    <s v="PP"/>
    <x v="0"/>
    <x v="0"/>
    <s v="LC↔LC"/>
    <m/>
    <s v="Unchanged"/>
  </r>
  <r>
    <s v="Terrestrial"/>
    <s v="FRs17"/>
    <s v="Langkloof Shale Renosterveld"/>
    <s v="Eastern Fynbos-Renosterveld Bioregion"/>
    <x v="4"/>
    <s v="T3"/>
    <s v="T3.2"/>
    <s v="Western and Eastern Cape Provinces: Narrow belt from Herold on the northern side of the Outeniqua Mountains to Kykoe, then descending along the upper reaches of the Keurbooms River Valley, south of the Prince Alfred Pass, to Vleitjie se Berg; in the Langkloof Valley from Harmonie via Avontuur to Haarlem and further from Krakeelrivier via Joubertina and Kareedouw to Salielaagte. Small outlier at Brandhoek northeast of Joubertina. "/>
    <s v="Eastern Cape, Western Cape"/>
    <s v="Endemic to South Africa"/>
    <s v="South Africa"/>
    <s v="Intermontane valleys and lower slopes "/>
    <s v="MAP 280–770 mm (mean: 505 mm), relatively even with a bimodal peak in March and October–November. Mean daily maximum and minimum temperatures 27.9°C and 4.6°C for January–February and July, respectively. Frost incidence 2–10 days per year. See also climate diagram for FRs 17 Langkloof Shale Renosterveld (Figure 4.101)."/>
    <s v="A very narrow east-west distribution of clays and loams derived from shales of the Nardouw Subgroup of the Table Mountain Group as well as the Ceres Subgroup of the Bokkeveld Group. Prismacutanic and pedocutanic and Glenrosa and Mispah forms are prominent. Land types mainly Db, Fa and Bb."/>
    <x v="119"/>
    <n v="65.67"/>
    <n v="64.186400000000006"/>
    <s v="NP"/>
    <x v="3"/>
    <x v="1"/>
    <s v="EN↔EN"/>
    <s v="B1i_rod"/>
    <s v="Unchanged"/>
  </r>
  <r>
    <s v="Terrestrial"/>
    <s v="FRs16"/>
    <s v="Uniondale Shale Renosterveld"/>
    <s v="Eastern Fynbos-Renosterveld Bioregion"/>
    <x v="4"/>
    <s v="T3"/>
    <s v="T3.2"/>
    <s v="Western and Eastern Cape Provinces: Little Karoo from Sebrasfontein (south of Oudtshoorn) to Uniondale on the northern slopes of the Outeniqua Mountains, lower southern slopes of the Kammanassie Mountains, northern slopes of the western end of the Kouga Mountains as well as ridges, plateaus and valleys to Willowmore in the north; a few outliers in the Grootrivierberge, west of Naroegas Poort."/>
    <s v="Eastern Cape, Western Cape"/>
    <s v="Endemic to South Africa"/>
    <s v="South Africa"/>
    <s v="Intermontane valleys and lower slopes "/>
    <s v="MAP 170–660 mm (mean: 350 mm), even throughout the year with a slight peak in March. Mean daily maximum and minimum temperatures 29.6°C and 2.4°C for January and July, respectively. Frost incidence 10–40 days per year. See also climate diagram for FRs 16 Uniondale Shale Renosterveld (Figure 4.101)."/>
    <s v="Clays and loams derived from Bokkeveld (and Witteberg) Group shales. Glenrosa and Mispah forms prominent. Land types mainly Fc and Fb."/>
    <x v="120"/>
    <n v="1108.5899999999999"/>
    <n v="1104.1063999999999"/>
    <s v="PP"/>
    <x v="0"/>
    <x v="0"/>
    <s v="LC↔LC"/>
    <m/>
    <s v="Unchanged"/>
  </r>
  <r>
    <s v="Terrestrial"/>
    <s v="SVl12"/>
    <s v="Kaalrug Mountain Bushveld"/>
    <s v="Lowveld Bioregion"/>
    <x v="1"/>
    <s v="T4"/>
    <s v="T4.2"/>
    <s v="Mpumalanga Province and slightly into Swaziland: Mountain slopes and hills from Barberton in the west continuing eastwards south of the Kaaps River and lower Crocodile River. Also including the lower slopes of Three Sisters and Kaalrug to the area of One Tree Hill and Wilson’s Kop in the east. "/>
    <s v="Mpumalanga"/>
    <s v="Endemic to ZA, Ls, Sz"/>
    <s v="South Africa"/>
    <s v="Often steep or very broken mountain slopes at altitudes lower than the Gm 17 Barberton Montane Grassland."/>
    <s v="Summer rainfall with dry winters. MAP from about 650 mm on the footslopes of the mountains to about 1 200 mm where it borders grassland at higher altitudes. Frost infrequent to occasional at higher altitudes. See also climate diagram for SVl 12 Kaalrug Mountain Bushveld."/>
    <s v="Rocky mountains of schists, gneiss, shale and quartzite of the Figtree, Moodies, and Onverwacht Groups of the Barberton Greenstone Belt. Also basaltic lava including the granodiorite of the Salisburykop Pluton. Soils shallow, mainly Glenrosa and Mispah forms, with some areas of vertic, melanic clays along lowest edges. Land types Fb, Fa and Ea."/>
    <x v="121"/>
    <n v="369.15"/>
    <n v="368.40800000000002"/>
    <s v="MP"/>
    <x v="0"/>
    <x v="0"/>
    <s v="LC↔LC"/>
    <m/>
    <s v="Unchanged"/>
  </r>
  <r>
    <s v="Terrestrial"/>
    <s v="SKs11"/>
    <s v="Namaqualand Arid Grassland"/>
    <s v="Namaqualand Sandveld Bioregion"/>
    <x v="3"/>
    <s v="T4"/>
    <s v="T4.5"/>
    <s v="Northern Cape Province: Namaqualand, northwest of Soebatsfontein and patches south of Kliprand. Smaller patches also scattered within the Namaqualand Blomveld (these were not mapped due to small extent). "/>
    <s v="Northern Cape"/>
    <s v="Endemic to South Africa"/>
    <s v="South Africa"/>
    <s v="Flat to slightly undulating plains"/>
    <s v="Winter-rainfall area with MAP of 131 mm, with almost all the rainfall between May and August. Due to the inland position of the unit, some frost days per year can be recorded. The lowest temperatures in winter range from 5–10ºC, while the highest temperatures in summer are between 25ºC and just higher than 30ºC. See also climate diagram for SKs 11 Namaqualand Arid Grassland (Figure 5.39)."/>
    <s v="Quaternary aeolian, deep, coarse, loose, red sands overlying granitic-gneiss of the Stalhoek Complex as well as clastic sediments of the Knersvlakte Subgroup of the Vanrhynsdorp Group. Ag land type dominates the landscape and Ah and Ae land types make a small contribution."/>
    <x v="122"/>
    <n v="286.97000000000003"/>
    <n v="286.69119999999998"/>
    <s v="WP"/>
    <x v="0"/>
    <x v="0"/>
    <s v="LC↔LC"/>
    <m/>
    <s v="Unchanged"/>
  </r>
  <r>
    <s v="Terrestrial"/>
    <s v="Gm10"/>
    <s v="Egoli Granite Grassland"/>
    <s v="Mesic Highveld Grassland Bioregion"/>
    <x v="0"/>
    <s v="T4"/>
    <s v="T4.5"/>
    <s v="Gauteng Province: Johannesburg Dome extending in the region between northern Johannesburg in the south, and from near Lanseria Airport and Centurion (south of Pretoria) to the north, westwards to about Muldersdrif and eastwards to Tembisa. "/>
    <s v="Gauteng"/>
    <s v="Endemic to South Africa"/>
    <s v="South Africa"/>
    <s v="Moderately undulating plains and low hills "/>
    <s v="Strongly seasonal summer-rainfall region, with very dry winters. MAP 620–800 mm (overall average 680 mm). The coefficient of variation in MAP from 24–27% across the unit. Incidence of frost frequent, but higher in the south than the north. See also climate diagram for Gm 10 Egoli Granite Grassland (Figure 8.36)."/>
    <s v="Archaean granite and gneiss of the Halfway House Granite at the core of the Johannesburg Dome supporting leached, shallow, coarsely grained, sandy soil poor in nutrients of Glenrosa form. Small area is built by ultramafics. Dominant land types Bb and Ba."/>
    <x v="123"/>
    <n v="196.6"/>
    <n v="183.07480000000001"/>
    <s v="PP"/>
    <x v="2"/>
    <x v="2"/>
    <s v="CR↔CR"/>
    <s v="B1i_rod"/>
    <s v="Unchanged"/>
  </r>
  <r>
    <s v="Terrestrial"/>
    <s v="FOz8"/>
    <s v="Sand Forest"/>
    <s v="Zonal &amp; Intrazonal Forests"/>
    <x v="8"/>
    <s v="T4"/>
    <s v="T4.2"/>
    <s v="KwaZulu-Natal Province and Mozambique: Occurring in a broad and highly fragmented belt in South Africa from False Bay Park (Greater St Lucia Wetland Park) in the south to the national border with Mozambique (Tembe Elephant Park and Ndumo Game Reserve). The main distribution of this forest is in Maputaland, where still reasonably extensive patches of this forest can be encountered. Special thicket communities, ?oristically very close to the Maputaland sand forest, are found in the northern part of the Kruger National Park—here imbedded within Nwambyia and Pumbe sandvelds. "/>
    <s v="KwaZulu-Natal"/>
    <s v="Mozambique"/>
    <s v="South Africa"/>
    <m/>
    <s v="0"/>
    <s v="Grey to orange-brown (Maputaland), and dull brown/red-brown (Kruger National Park), deep arenosols and dystric (strongly leached) regosols; soils contain very little clay and are acidic. In Maputaland these soils develop on ancient (up to 3 myr old; Ndumo Hill cordon is up 5 myr old) mega-dune systems (crests, slopes and rarely also inter-dune depressions) of the Maputaland and Zululand Groups."/>
    <x v="124"/>
    <n v="244.51"/>
    <n v="244.07"/>
    <s v="WP"/>
    <x v="0"/>
    <x v="0"/>
    <s v="LC↔LC"/>
    <m/>
    <s v="Unchanged"/>
  </r>
  <r>
    <s v="Terrestrial"/>
    <s v="Gm16"/>
    <s v="KaNgwane Montane Grassland"/>
    <s v="Mesic Highveld Grassland Bioregion"/>
    <x v="0"/>
    <s v="T4"/>
    <s v="T4.5"/>
    <s v="Mpumalanga and Swaziland, and marginally into northern KwaZulu-Natal: Occurs along the gentle slopes of the Escarpment, from the Phongolo Valley in the south, northwards to the Usutu Valley and to the uppermost Lomati Valley near Carolina, including the western grassland areas of Swaziland. "/>
    <s v="KwaZulu-Natal, Mpumalanga"/>
    <s v="Endemic to ZA, Ls, Sz"/>
    <s v="South Africa"/>
    <s v="Largely comprised of undulating hills and plains that occur on the eastern edge of the Escarpment"/>
    <s v="Early summer rainfall, with MAP 910 mm, ranging between 800 and 1 250 mm. This unit has a wide range of frost frequency (3–20 days per year), with most frost days occurring in the western regions. See also climate diagram for Gm 16 KaNgwane Montane Grassland (Figure 8.36)."/>
    <s v="Mostly on granite of the Mpuluzi Granite (Randian Erathem), Archaean gneiss giving rise to melanic soils, with intrusions of diabase. Land types Ac, Fa and Ba."/>
    <x v="125"/>
    <n v="5385.12"/>
    <n v="5329.0375999999997"/>
    <s v="PP"/>
    <x v="3"/>
    <x v="1"/>
    <s v="EN↔EN"/>
    <s v="B1i_rod"/>
    <s v="Unchanged"/>
  </r>
  <r>
    <s v="Terrestrial"/>
    <s v="SVcb20"/>
    <s v="Makhado Sweet Bushveld"/>
    <s v="Central Bushveld Bioregion"/>
    <x v="1"/>
    <s v="T4"/>
    <s v="T4.1"/>
    <s v="Limpopo Province: Straddling the Tropic of Capricorn, occurs on the plains south of the Soutpansberg, east of the Waterberg and on the apron surrounding the Blouberg and Lerataupje Mountains, and north of the Polokwane Plateau and west of the escarpment, with extensions to Mokopane to the south and to the north near Vivo. "/>
    <s v="Limpopo"/>
    <s v="Endemic to South Africa"/>
    <s v="South Africa"/>
    <s v="Slightly to moderately undulating plains sloping generally down to the north, with some hills in the southwest."/>
    <s v="Summer rainfall with very dry winters. MAP about 350–550 mm. Frost fairly infrequent. Mean monthly maximum and minimum temperatures for Mara-Agr 36.5°C and –0.8°C for November and June, respectively. See also climate diagram for SVcb 20 Makhado Sweet Bushveld."/>
    <s v="The area is underlain by the gneisses and migmatites of the Hout River Gneiss (Randian Erathem) and the potassium-deficient gneisses of the Goudplaats Gneiss (Swazian Erathem). Sandstones and mudstones of the Matlabas Subgroup (Mokolian Waterberg Group) are also found. Soils include deep, greyish sands, eutrophic plinthic catenas, red-yellow apedal freely drained soils with high base status, clayey in bottomlands. Land types mainly Bd, Bc, Ae and Ia."/>
    <x v="126"/>
    <n v="6367.8"/>
    <n v="6219.6940000000004"/>
    <s v="PP"/>
    <x v="0"/>
    <x v="1"/>
    <s v="LC → EN"/>
    <s v="B1i_rod"/>
    <s v="Uplisted"/>
  </r>
  <r>
    <s v="Terrestrial"/>
    <s v="FOz4"/>
    <s v="Northern Mistbelt Forest"/>
    <s v="Zonal &amp; Intrazonal Forests"/>
    <x v="8"/>
    <s v="T2"/>
    <s v="T2.4"/>
    <s v="Limpopo and Mpumalanga Provinces as well as in Swaziland: Occurring along the Soutpansberg from Blouberg in the northwest to the Samandou Plateau in the northeast and further southwards (along the Northern Escarpment) from Abel Erasmus Pass (Olifants River) to the surroundings of Badplaas and Barberton. In northern Swaziland in ?re refugia and cooler sheltered areas along a north-south trending lowveld/highveld transition. "/>
    <s v="Mpumalanga, Limpopo"/>
    <s v="Endemic to ZA, Ls, Sz"/>
    <s v="South Africa"/>
    <m/>
    <s v="0"/>
    <s v="Highly weathered, clayey soils mainly of Avalon and Hutton soil forms, derived from shales (Pretoria Group), quartzite (Black Reef Formation), dolomite (Chuniespoort Group), granite (Nelspruit Basement) and diabase (Mokolian intrusives)."/>
    <x v="127"/>
    <n v="289.32"/>
    <n v="288.714"/>
    <s v="WP"/>
    <x v="0"/>
    <x v="0"/>
    <s v="LC↔LC"/>
    <m/>
    <s v="Unchanged"/>
  </r>
  <r>
    <s v="Terrestrial"/>
    <s v="FFd1"/>
    <s v="Namaqualand Sand Fynbos"/>
    <s v="Northwest Fynbos Bioregion"/>
    <x v="4"/>
    <s v="T3"/>
    <s v="T3.2"/>
    <s v="Western and Northern Cape Provinces: Coastal plains with a well-separated patch between Kommagas and Koingnaas in the north, and a series of patches south of the Spoeg River, to the Olifants River near Koekenaap extending to close (around 2 km) to the coast at places, for example near Geelwal and Ruitersvlei. "/>
    <s v="Northern Cape, Western Cape"/>
    <s v="Endemic to South Africa"/>
    <s v="South Africa"/>
    <s v="Slightly undulating plains comprising both isolated streets and dune fields of aeolian sand. "/>
    <s v="Winter-rainfall regime, with very low precipitation (MAP 70–150 mm; mean: 105 mm), peaking between May and August. This is the driest of all fynbos types, with less than half the rainfall of the driest classical sand fynbos types, and almost qualifying as desert but with probably multiple alternative sources of water. Dense mists are common in winter and may contribute significantly to precipitation. Thicker deposits of sand (dunes) allow for water storage and some localised water aquifers occur. Mean daily maximum and minimum temperatures 28.4°C and 7.0°C for February and July, respectively. Very low frost incidence (1 or 2 days per year). See also climate diagram for FFd 1 Namaqualand Sand Fynbos (Figure 4.57)."/>
    <s v="Aeolian, deep, loose, red sand overlying marine or other sediments. Land types mainly Ah, Hb and Ai."/>
    <x v="128"/>
    <n v="1109.52"/>
    <n v="1106.7156"/>
    <s v="PP"/>
    <x v="0"/>
    <x v="0"/>
    <s v="LC↔LC"/>
    <m/>
    <s v="Unchanged"/>
  </r>
  <r>
    <s v="Terrestrial"/>
    <s v="FFs31"/>
    <s v="Swartberg Altimontane Sandstone Fynbos"/>
    <s v="Western Fynbos-Renosterveld Bioregion"/>
    <x v="4"/>
    <s v="T3"/>
    <s v="T3.2"/>
    <s v="Western Cape Province: Altitudes above 1 800 m on sandstone, from a high plateau (1 933 m) west of Towerkop, Towerkop (2 189 m), Toringberg (2 127 m) and from here stretching eastwards continuously along a long ridge culminating in the highest point in the Fynbos Biome, namely Seweweekspoort Peak (2 325 m) also occurring on the peak (1 999 m) east of the Poort, all in the Klein Swartberg Mountains. Further patches occur along the Groot Swartberg Mountains from the ridge of the Kangoberg (2 034 m) to Waboomberg (1 942 m), via various other high points including Tierberg (1 948 m) as far as Blesberg (2 084 m) in the east. The summit(s) of Mannetjiesberg (1 955 m) in the Kammanassie Mountains probably also carries this vegetation type (not mapped)."/>
    <s v="Western Cape"/>
    <s v="Endemic to South Africa"/>
    <s v="South Africa"/>
    <s v="High-altitude summit peaks"/>
    <s v=" MAP 310–900 mm (mean: 585 mm), peaking slightly in March, but relatively even with a low from December to February. Mean daily maximum and minimum temperatures 23.6°C and –1.1°C for January and July, respectively. Frost incidence 10–30 days per year. See also climate diagram for FFs 31 Swartberg Altimontane Sandstone Fynbos (Figure 4.21)."/>
    <s v="Skeletal and rocky acidic lithosol soils derived from Ordovician sandstones of the Table Mountain Group (Cape Supergroup). Narrow shale bands run across some ridges in both the Klein and Groot Swartberg. Land types mainly Ic and Ib."/>
    <x v="129"/>
    <n v="50.77"/>
    <n v="50.786799999999999"/>
    <s v="WP"/>
    <x v="0"/>
    <x v="0"/>
    <s v="LC↔LC"/>
    <m/>
    <s v="Unchanged"/>
  </r>
  <r>
    <s v="Terrestrial"/>
    <s v="Dg4"/>
    <s v="Kwaggarug Mountain Desert"/>
    <s v="Gariep Desert Bioregion"/>
    <x v="2"/>
    <s v="T5"/>
    <s v="T5.5"/>
    <s v="South of the Springbokvlakte sheet wash plain and north of the Rosyntjieberge. It includes the Kwaggarug Mountain, the lower slopes of Mount Terror and most of the catchment of the Oudannisiep River. The unit borders on SKr 8 Rosyntjieberg Succulent Shrubland of the Succulent Karoo Biome to the south. "/>
    <s v="Northern Cape"/>
    <s v="Namibia"/>
    <s v="South Africa"/>
    <s v="Patchy mosaic of isolated hills and mountains, surrounded by limited plains of sheet wash character"/>
    <s v="MAP about 45–70 mm. Transitional, highly variable climate between winter and summer rainfall. No significant occurrence of fog. High summer maximum temperature can reach up to 50°C. Frost is very rare, but occurs at high altitudes."/>
    <s v="Metavolcanics and metasediments (including quartzite) of the Mokolian Orange River Group are most abundant (both the De Hoop Subgroup and Rosyntjieberg Formation are represented). Dwyka diamictite is also present and the Vioolsdrif Suite occurs on the northern and western fringes of the area. Very rocky, with little developed soils or no soil cover. Sands are found in sheet washes and on valley bottoms. Land type Ic."/>
    <x v="130"/>
    <n v="107.25"/>
    <n v="107.1832"/>
    <s v="WP"/>
    <x v="0"/>
    <x v="0"/>
    <s v="LC↔LC"/>
    <m/>
    <s v="Unchanged"/>
  </r>
  <r>
    <s v="Terrestrial"/>
    <s v="Gs14"/>
    <s v="Mthatha Moist Grassland"/>
    <s v="Sub-Escarpment Grassland Bioregion"/>
    <x v="0"/>
    <s v="T4"/>
    <s v="T4.5"/>
    <s v="Eastern Cape Province: Plains between Mthatha and Butterworth parallel to the coastline and excluding the river valleys that intrude landwards into this unit. "/>
    <s v="Eastern Cape"/>
    <s v="Endemic to South Africa"/>
    <s v="South Africa"/>
    <s v="Undulating plains and hills"/>
    <s v="Summer rainfall, with MAP 600–970 mm. The coefficient of variation of MAP 25–30% across the unit, but drops to approximately 15% on the southeast-facing inland mountain slopes. Incidence of frost 2–14 days, but is higher further from the coast. See also climate diagram for Gs 14 Mthatha Moist Grassland (Figure 8.61)."/>
    <s v="Mudstones of the Tarkastad and Adelaide Subgroups (Beaufort Group, Karoo Supergroup) underlie this area, with highly leached soils typical of the Fa land type."/>
    <x v="131"/>
    <n v="2178.5"/>
    <n v="2135.8667999999998"/>
    <s v="NP"/>
    <x v="3"/>
    <x v="1"/>
    <s v="EN↔EN"/>
    <s v="B1i_rod"/>
    <s v="Unchanged"/>
  </r>
  <r>
    <s v="Terrestrial"/>
    <s v="AZs3"/>
    <s v="Subtropical Dune Thicket"/>
    <s v="Eastern Strandveld"/>
    <x v="5"/>
    <s v="MT2"/>
    <s v="MT2.1"/>
    <s v="Eastern Cape and KwaZulu-Natal Provinces (further north also in Mozambique): Coastal dune cordons along the subtropical coasts of the Indian Ocean between Kei Mouth and the KwaZulu-Natal/Mozambique international border."/>
    <s v="KwaZulu-Natal, Eastern Cape"/>
    <s v="Endemic to South Africa"/>
    <s v="South Africa"/>
    <s v="coastal dune "/>
    <s v="Characterised by relatively high MAP (1 028 mm) and a high probability of rain any time of the year (with pronounced higher rainfall in all seasons, except for the winter months of June and July. Subtropical thermal regime with MAT 19.0°C and no incidence of frost. "/>
    <s v="Recent dunes overlying calcretes as well as Maputaland Group calcareous sandstones and shallow marine deposits."/>
    <x v="132"/>
    <n v="11.98"/>
    <n v="12.001200000000001"/>
    <s v="WP"/>
    <x v="0"/>
    <x v="0"/>
    <s v="LC↔LC"/>
    <m/>
    <s v="Unchanged"/>
  </r>
  <r>
    <s v="Terrestrial"/>
    <s v="Gd2"/>
    <s v="Amathole Mistbelt Grassland"/>
    <s v="Drakensberg Grassland Bioregion"/>
    <x v="0"/>
    <s v="T4"/>
    <s v="T4.5"/>
    <s v="Eastern Cape Province: On the highest ridges of the Winterberg, Katberg, Amathole and Kologha ranges. "/>
    <s v="Eastern Cape"/>
    <s v="Endemic to South Africa"/>
    <s v="South Africa"/>
    <s v="Mountains and moderately undulating slopes below peaks, often with ridges of rock or boulder outcrops. "/>
    <s v="Bimodal spring-autumn rainfall pattern although rain can fall at any time of the year, and it increases from west to east as well as with increasing elevation. Coefficient of variation in MAP from 15–29% across the unit. MAP 550–1 100 mm (overall regional average 750 mm). Precipitation supplemented by orographically induced precipitation (mist and drizzle). MAT of 13°C indicates a cool-temperate climate. Incidence of frost is 20–95 days (average 42) per year, but the probability of the frost occurrence is higher in the western regions of the unit. See also climate diagram for Gd 2 Amathole Mistbelt Grassland (Figure 8.11)."/>
    <s v="Deep, freely drained, highly weathered soils overlying the Beaufort Group (predominantly Triassic Tarkastad Subgroup) sedimentary rocks. Dominant land type Fb (two thirds of the region), Ib land type covers about a third."/>
    <x v="133"/>
    <n v="153.97999999999999"/>
    <n v="153.55879999999999"/>
    <s v="NP"/>
    <x v="0"/>
    <x v="0"/>
    <s v="LC↔LC"/>
    <m/>
    <s v="Unchanged"/>
  </r>
  <r>
    <s v="Terrestrial"/>
    <s v="SVl15"/>
    <s v="Northern Lebombo Bushveld"/>
    <s v="Lowveld Bioregion"/>
    <x v="1"/>
    <s v="T4"/>
    <s v="T4.1"/>
    <s v="Mpumalanga and Limpopo Provinces: Lebombo Mountains south of the Shingwedzi River to the Komatipoort area, including ridge points such as Nhlanguleni. The mountain range forms a natural frontier between Mozambique and South Africa (Kruger National Park). Much of the eastern slopes are in Mozambique. "/>
    <s v="Mpumalanga, Limpopo"/>
    <s v="Mozambique"/>
    <s v="South Africa"/>
    <s v="rocky slopes and ridges of a linear range of hills reaching about 100 m (and higher in places) above its surrounding basalt plains towards the west. "/>
    <s v="Summer rainfall with dry winters. MAP about 350–750 mm. Incidence of fog in river gorges in the Lebombo Mountains supposedly contributes extensively to moisture availability to plants in these areas. Generally a frost-free area. Temperature on the western mountainside can become very high. See also climate diagram for SVl 15 Northern Lebombo Bushveld."/>
    <s v="Rhyolite of the Jozini Formation and lesser basalt of the Letaba Formation, both of the Lebombo Group (Karoo Supergroup) as well as dykes of granophyre (Jurassic) form ridges with stony, shallow lithosols with very frequent rocky outcrops. Soils are shallow (Mispah) as well as deeper (Swartland and Glenrosa). Land types Fb and Ea."/>
    <x v="134"/>
    <n v="1333.99"/>
    <n v="1343.6088"/>
    <s v="WP"/>
    <x v="0"/>
    <x v="0"/>
    <s v="LC↔LC"/>
    <m/>
    <s v="Unchanged"/>
  </r>
  <r>
    <s v="Terrestrial"/>
    <s v="SKk3"/>
    <s v="Knersvlakte Quartz Vygieveld"/>
    <s v="Knersvlakte Bioregion"/>
    <x v="3"/>
    <s v="T5"/>
    <s v="T5.2"/>
    <s v="Western Cape Province: Knersvlakte (southern part of Namaqualand), from Bitterfontein southwards to just south of Klawer, with the main centre north and northwest of Vanrhynsdorp. "/>
    <s v="Western Cape"/>
    <s v="Endemic to South Africa"/>
    <s v="South Africa"/>
    <s v="Slightly undulating landscape with slopes and broad ridges covered by prominent though very patchy white layer of quartzite. "/>
    <s v="Winter-rainfall climate with dry, hot summers and mild, rainy winters. MAP 116 mm. Fog and dew occasionally supplementing the water supply. The lowest temperatures in winter 5–10°C. The highest temperatures in summer 30–35°C. Winters are mild, with rare occurrence of frost (on average 3 days per year). See also climate diagram for SKk 3 Knersvlakte Quartz Vygieveld (Figure 5.53)."/>
    <s v="Clastic sediments of the Vanrhynsdorp Group and some Gariep Supergroup schists supporting loamy-sandy shallow to moderately deep, slightly alkaline soils, low to high stone (especially quartz) content. Fc and Fb are land types of equal importance (both covering about a third of the area), followed by Ag land type."/>
    <x v="135"/>
    <n v="1301.1400000000001"/>
    <n v="1298.8276000000001"/>
    <s v="WP"/>
    <x v="0"/>
    <x v="0"/>
    <s v="LC↔LC"/>
    <m/>
    <s v="Unchanged"/>
  </r>
  <r>
    <s v="Terrestrial"/>
    <s v="FFs19"/>
    <s v="South Outeniqua Sandstone Fynbos"/>
    <s v="Eastern Fynbos-Renosterveld Bioregion"/>
    <x v="4"/>
    <s v="T3"/>
    <s v="T3.2"/>
    <s v="Western Cape Province: Southern slopes of the Outeniqua Mountains from the Cloetesberg northeast of Albertinia in the west to the upper reaches of the Keurbooms River where it borders on FFs 20 Tsitsikamma Sandstone Fynbos. It includes sandstone outcrops on the lowlands from the vicinity of the Goukamma River near Knysna in the west and Komkromma Point near Nature’s Valley in the east. "/>
    <s v="Western Cape"/>
    <s v="Endemic to South Africa"/>
    <s v="South Africa"/>
    <s v="Gentle to steep south-facing slopes, over a 160 km long area, relatively broad with some moderately sloping intramontane valleys in the west where it is over 10 km wide."/>
    <s v="MAP 360–1 170 mm (mean: 785 mm), with a slight bimodal winter and a low in December. Mean daily maximum and minimum temperatures 27.8°C and 4.8°C for January and July, respectively. Frost incidence 2–10 days per year. See also climate diagram for FFs 19 South Outeniqua Sandstone Fynbos (Figure 4.21)."/>
    <s v="Acidic lithosol soils derived from Ordovician sandstones of the Table Mountain Group (Cape Supergroup). Land types mainly Ib, Gb and Fa."/>
    <x v="136"/>
    <n v="1054.06"/>
    <n v="1047.6220000000001"/>
    <s v="WP"/>
    <x v="0"/>
    <x v="0"/>
    <s v="LC↔LC"/>
    <m/>
    <s v="Unchanged"/>
  </r>
  <r>
    <s v="Terrestrial"/>
    <s v="SVmp8"/>
    <s v="Mopane Gabbro Shrubland"/>
    <s v="Mopane Bioregion"/>
    <x v="1"/>
    <s v="T4"/>
    <s v="T4.1"/>
    <s v="Limpopo and Mpumalanga Provinces: Occurs in narrow, irregular and disjunct belts from the Phoda Hills near Bateleur Bushveld Camp in the north, southwards in the vicinity of the Stapelkop Dam and Shimuwini Bushveld Camp, to the Shilawuri Hill area. Also further south in the vicinity of the Shisakashanghondo Dam. "/>
    <s v="Mpumalanga, Limpopo"/>
    <s v="Endemic to South Africa"/>
    <s v="South Africa"/>
    <s v="Slightly irregular to slightly undulating landscape with numerous outcrops of gabbro. "/>
    <s v="Summer rainfall with very dry winters. MAP about 450–650 mm. Generally a frost-free area. See also climate diagram for SVmp 8 Mopane Gabbro Shrubland."/>
    <s v="The basement rocks of the general area are the Swazian Goudplaats and Makhutswi gneisses. These are intruded by sinuous dykes of Timbavati gabbro that are most significant in this shrubland. Soils are dark, with relatively high clay content. Vertisols occur in areas with concave topography and lithosols on the outcrops. Main soil forms are Milkwood, Mayo, Bonheim and Swartland. Main land types Fa, Ah, Ae, Fb and Ea."/>
    <x v="137"/>
    <n v="310.23"/>
    <n v="310.31079999999997"/>
    <s v="WP"/>
    <x v="0"/>
    <x v="0"/>
    <s v="LC↔LC"/>
    <m/>
    <s v="Unchanged"/>
  </r>
  <r>
    <s v="Terrestrial"/>
    <s v="SKn3"/>
    <s v="Namaqualand Blomveld"/>
    <s v="Namaqualand Hardeveld Bioregion"/>
    <x v="3"/>
    <s v="T5"/>
    <s v="T5.2"/>
    <s v="Northern Cape Province and to a small extent also Western Cape Province: Valleys and flat areas (piedmonts, vlaktes) between granitic rocky hills of the Namaqualand Escarpment, from Steinkopf southwards to Bitterfontein. "/>
    <s v="Northern Cape, Western Cape"/>
    <s v="Endemic to South Africa"/>
    <s v="South Africa"/>
    <s v="Level to slightly undulating sedimentary surfaces between rocky granitic hills and mountains, such as wide plains and broad valleys with dry channels of intermittent water courses. "/>
    <s v="Seasonal winter rainfall (May to September) with sporadic drought periods (well below 100 mm per year) of one or two years in succession. Dew is present throughout the winter. MAP 145 mm. An average of 13 days of frost per year, but varying greatly from year to year. Mean maximum and minimum daily temperatures from January to February and June to August span 29–32°C and 3–5°C, respectively. See also climate diagram for SKn 3 Namaqualand Blomveld (Figure 5.29)."/>
    <s v="Underlain by granite-gneisses and metasediments of Mokolian age, affected by the Namaqualand Metamorphic Event. Supporting relatively deep, yellow-brown, fine to coarse loamy sand derived through weathering of the granite rocks. Ag and Ae land types make up almost 80% of the area, followed by Fc land type accounting for a further 15%."/>
    <x v="138"/>
    <n v="2899.27"/>
    <n v="2890.8323999999998"/>
    <s v="PP"/>
    <x v="0"/>
    <x v="0"/>
    <s v="LC↔LC"/>
    <m/>
    <s v="Unchanged"/>
  </r>
  <r>
    <s v="Terrestrial"/>
    <s v="SKr18"/>
    <s v="Bushmanland Inselberg Shrubland"/>
    <s v="Richtersveld Bioregion"/>
    <x v="3"/>
    <s v="T4"/>
    <s v="T4.1"/>
    <s v="Northern Cape Province: A group of prominent solitary mountains (inselbergs) and smaller koppies towering over surrounding flat plains in northern Bushmanland in the Aggeneys and Pofadder regions. The most important inselbergs include Achab se Berg, Aggeneys se Berg, Ghaamsberg, Goob se Berg, Naib se Berg and Namiesberge. "/>
    <s v="Northern Cape"/>
    <s v="Namibia"/>
    <s v="South Africa"/>
    <s v="steep slopes of the inselbergs."/>
    <s v="Erratic, very low rainfall (MAP below 100 mm, range 70–120 mm) occurring mainly in the form of thunderstorms in late summer from February to April. Around 20 days of frost per year (range 10–30 days). Mean maximum and minimum mean monthly temperatures for Aggeneys are 38°C and –3°C for February and July, respectively. See also climate diagram for SKr 18 Bushmanland Inselberg Shrubland (Figure 5.12)."/>
    <s v="Inselbergs of high-grade metamorphic rocks on a broad alluvial plain consist of clastic sediments, volcanics and intrusive rocks of Mokolian age that were metamorphosed during the Namaqualand Metamorphic Event. Ib and Ic land types are dominant in the area."/>
    <x v="139"/>
    <n v="812.85"/>
    <n v="812.33079999999995"/>
    <s v="PP"/>
    <x v="0"/>
    <x v="0"/>
    <s v="LC↔LC"/>
    <m/>
    <s v="Unchanged"/>
  </r>
  <r>
    <s v="Terrestrial"/>
    <s v="Gh7"/>
    <s v="Winburg Grassy Shrubland"/>
    <s v="Dry Highveld Grassland Bioregion"/>
    <x v="0"/>
    <s v="T4"/>
    <s v="T4.5"/>
    <s v="Free State Province: Series of larger patches between Trompsburg through Bloemfontein and Winburg to Ventersburg. "/>
    <s v="Free State"/>
    <s v="Endemic to South Africa"/>
    <s v="South Africa"/>
    <s v="Solitary hills, slopes and escarpments of mesas "/>
    <s v="Summer-rainfall region, with MAP around 500 mm. Much of the rainfall is of convectional origin. Overall MAT is slightly higher than 15°C, with more than 40 days of frost in winter. See also climate diagram for Gh 7 Winburg Grassy Shrubland (Figure 8.23)."/>
    <s v="Extensive dolerite sills forming ridges, plateaus and slopes of koppies, and small escarpments marking the erosion terraces. The sills cover alternating layers of mudstone and sandstone of sedimentary origin (Adelaide Subgroup of the Beaufort Group). Prominent soil forms are the stony Mispah and gravel-rich Glenrosa derived from Jurassic dolerite. Dominating land type Ea, with Dc also present in places."/>
    <x v="140"/>
    <n v="1295.9000000000001"/>
    <n v="1286.2911999999999"/>
    <s v="PP"/>
    <x v="0"/>
    <x v="0"/>
    <s v="LC↔LC"/>
    <m/>
    <s v="Unchanged"/>
  </r>
  <r>
    <s v="Terrestrial"/>
    <s v="Gh9"/>
    <s v="Western Free State Clay Grassland"/>
    <s v="Dry Highveld Grassland Bioregion"/>
    <x v="0"/>
    <s v="T4"/>
    <s v="T4.5"/>
    <s v="Free State Province: Region covering part of the western Bloemfontein District (south), Boshof (southwest), Hertzogville (west), Wesselsbron (north) and Brandfort (east) and consisting of three main areas, of which the southern and middle sections are separated by a slightly elevated area (dolerite hills) between Hertzogville, Boshof and Soutpan. The Vet River Valley separates the middle and northern sections and all three sections are separated from one another by belts of Gh 10 Vaal-Vet Sandy Grassland. "/>
    <s v="Free State"/>
    <s v="Endemic to South Africa"/>
    <s v="South Africa"/>
    <s v="Restricted to flat bottomlands "/>
    <s v="Seasonal rainfall concentrated from November–March (overall MAP 450 mm). Cool temperate regime with MAT 16–17°C. Occurrence of frost frequent. See also climate diagram for Gh 9 Western Free State Clay Grassland (Figure 8.23)."/>
    <s v="Deposits of sandstone, mudstone and shale (Volksrust Formation, Ecca Group) underlie extensive areas of flat to undulating plains, interrupted by dolerite sills in places. No rivers or streams drain away from these plains, and all the water drains into the numerous playas (pans)—a unique feature of this landscape. Dry, clayey, duplex soils typical of land types Da, Db and Dc. Fc land type also occurs."/>
    <x v="141"/>
    <n v="5354.99"/>
    <n v="5306.8680000000004"/>
    <s v="PP"/>
    <x v="0"/>
    <x v="0"/>
    <s v="LC↔LC"/>
    <m/>
    <s v="Unchanged"/>
  </r>
  <r>
    <s v="Terrestrial"/>
    <s v="AZa7"/>
    <s v="Subtropical Alluvial Vegetation"/>
    <s v="Alluvial Vegetation"/>
    <x v="5"/>
    <s v="T3"/>
    <s v="T3.1"/>
    <s v="Limpopo, Mpumalanga and KwaZulu-Natal Provinces and in Swaziland: Broad river alluvia and around some river-fed pans in the subtropical regions of eastern South Africa, in particular in the Lowveld, Central Bushveld and in northern KwaZulu-Natal. The most important alluvia include the Limpopo, Luvubu, Olifants, Sabie, Crocodile, Phongolo, Usutu and Mkuze Rivers. This unit is fully embedded within the Savanna Biome. "/>
    <s v="KwaZulu-Natal, Mpumalanga, Limpopo"/>
    <s v="Botswana, Zimbabwe, Mozambique"/>
    <s v="South Africa"/>
    <s v="Flat alluvial riverine terraces "/>
    <s v="Subtropical, seasonal summer-rainfall climate with broad range of temperature (19.3°C in western Central Bushveld and 22.0°C in Mopane) and precipitation (MAP 311–672 mm for Limpopo Valley and Maputaland, respectively) due to large latitudinal and longitudinal ranges. See also climate diagram for AZa 7 Subtropical Alluvial Vegetation (Figure 13.2)."/>
    <s v="Recent alluvial deposits with deep fine-structured sandy to loamy soils (Dundee, Estcourt, Valsrivier, Sterkspruit, Oakleaf forms), waterlogged as it is often exposed to floods (especially during the rainy summer season). Salt often accumulates in the alluvial soils (due to strong evaporation). Ia land type."/>
    <x v="142"/>
    <n v="861.07"/>
    <n v="859.42520000000002"/>
    <s v="WP"/>
    <x v="0"/>
    <x v="0"/>
    <s v="LC↔LC"/>
    <m/>
    <s v="Unchanged"/>
  </r>
  <r>
    <s v="Terrestrial"/>
    <s v="SVmp1"/>
    <s v="Musina Mopane Bushveld"/>
    <s v="Mopane Bioregion"/>
    <x v="1"/>
    <s v="T4"/>
    <s v="T4.1"/>
    <s v="Limpopo Province: "/>
    <s v="Limpopo"/>
    <s v="Botswana, Zimbabwe"/>
    <s v="South Africa"/>
    <s v="Undulating to very irregular plains, with some hills"/>
    <s v="Summer rainfall with very dry winters including the shoulder months of May and September. MAP about 300–400 mm. Generally frost-free unit. Mean monthly maximum and minimum temperatures for Macuville-Agr (northwest of Musina) 39.9°C and 0.9°C for November and June, respectively. See also climate diagram for SVmp 1 Musina Mopane Bushveld."/>
    <s v="Most of the area is underlain by the Archaean Beit Bridge Complex, except where it is covered by much younger Karoo sandstones and basalts. The Beit Bridge Complex consists of gneisses and metasediments and is structurally very complex. Variable soils from deep red/brown clays, moderately deep, dark, heavy clays to deep, freely drained sandy soils to shallower types including skeletal Glenrosa and Mispah soil forms. Land types mainly Ae, Ah, Fc and Db."/>
    <x v="143"/>
    <n v="8061.97"/>
    <n v="8133.1067999999996"/>
    <s v="MP"/>
    <x v="0"/>
    <x v="0"/>
    <s v="LC↔LC"/>
    <m/>
    <s v="Unchanged"/>
  </r>
  <r>
    <s v="Terrestrial"/>
    <s v="Dg2"/>
    <s v="Richtersberg Mountain Desert"/>
    <s v="Gariep Desert Bioregion"/>
    <x v="2"/>
    <s v="T5"/>
    <s v="T5.5"/>
    <s v="Northeastern part of the Richtersveld National Park, south of Kook River and north of the Springbokvlakte and Tatasberg including the mountains of Rooiberg, Richtersberg, Claim Peak and Nabasberg. The unit borders on units of the Succulent Karoo Biome to the west. "/>
    <s v="Northern Cape"/>
    <s v="Namibia"/>
    <s v="South Africa"/>
    <s v="Rugged mountain ranges with bare rock and valleys some of which (e.g. lower Gannakouriep River) form deep canyons."/>
    <s v="Very variable transitional (winter to summer rainfall) climate. MAP about 45–70 mm. High summer maximum temperatures reach up to 50°C. Frost very rare, but occurs at high altitudes. Fog insignificant. At a new rain meter at 440 m altitude near Claim Peak a MAP of 47.1 mm has been recorded over a six-year period."/>
    <s v="Granodiorite and adamellite of the Vioolsdrif Suite dominate the area together with the metavolcanics and metasediments of the De Hoop Subgroup of the Orange River Group (Mokolian). Granite of the Tatasberg Pluton (part of the Kuboos-Bremen Suite) also features. Very rocky substrate, with very shallow to no soils. Sands occur in valley bottoms. Land type Ic."/>
    <x v="144"/>
    <n v="361.41"/>
    <n v="361.39479999999998"/>
    <s v="WP"/>
    <x v="0"/>
    <x v="0"/>
    <s v="LC↔LC"/>
    <m/>
    <s v="Unchanged"/>
  </r>
  <r>
    <s v="Terrestrial"/>
    <s v="SKr12"/>
    <s v="Kosiesberg Succulent Shrubland"/>
    <s v="Richtersveld Bioregion"/>
    <x v="3"/>
    <s v="T5"/>
    <s v="T5.2"/>
    <s v="Northern Cape Province: Southwestern Richtersveld—a major part of the mountain ranges and escarpment region stretching 55 km from Eksteenfontein in the north over the slopes of the Kosiesberg to the Anenous Pass in the southeast. "/>
    <s v="Northern Cape"/>
    <s v="Endemic to South Africa"/>
    <s v="South Africa"/>
    <s v="Escarpment that includes the steep slope between the high plateau in the east and the lower plateau in the west as well as several ranges of mountains and hills at the upper and lower level. Due to the incision of deep valley systems, the area is deeply dissected into a number of thinly connected fragments."/>
    <s v="MAP is estimated at 100–200 mm (and possibly slightly higher). Winter rainfall is clearly predominant. Orogenic cloud formation and fog are frequently observed in winter. At higher altitudes up to 10 frost days per year can be expected."/>
    <s v="Granite and gneiss of the Mokolian Hoogoor and Vioolsdrif Suites are most significant, but a large area in the west is underlain by Namaqua System alkali-granite of the Korridor Suite. These rocks support mostly loamy soils. Ib land type is dominant, followed by Ic land type."/>
    <x v="145"/>
    <n v="612.05999999999995"/>
    <n v="611.92600000000004"/>
    <s v="NP"/>
    <x v="0"/>
    <x v="0"/>
    <s v="LC↔LC"/>
    <m/>
    <s v="Unchanged"/>
  </r>
  <r>
    <s v="Terrestrial"/>
    <s v="SKs2"/>
    <s v="Northern Richtersveld Yellow Duneveld"/>
    <s v="Namaqualand Sandveld Bioregion"/>
    <x v="3"/>
    <s v="T5"/>
    <s v="T5.2"/>
    <s v="Northern Cape Province: Richtersveld, band some 5–25 km wide east of the coastline, stretching over 45 km from south of Brandkaros in the north to the Holgat River in the south. "/>
    <s v="Northern Cape"/>
    <s v="Endemic to South Africa"/>
    <s v="South Africa"/>
    <s v="Most of the area is covered by flat sand shields, often interrupted by dunes, which normally form flat whale-backs. Steep dune crests and dune valleys form only rarely"/>
    <s v="MAP is 50–70 mm with mainly winter rainfall. High frequency of coastal fog. Extreme wind speeds and sand blasting from the south. Storms occur frequently. Frost is very rare."/>
    <s v="Mainly yellow, wind-blown sands of coastal origin, older than the white dune sands found further west—an ancient mobile dune field, which became stabilised as a consequence of improving climate conditions and increase of vegetation cover after the last glaciation. The structure of south-north-oriented dune ridges and accompanying valley systems is still visible, but the local processes of erosion and sedimentation have resulted in formation of relatively saline valleys with silty or loamy soil. Currently wind erosion is active only to a very limited extent. Ah is the dominant land type, while Ai land type is of subordinate importance."/>
    <x v="146"/>
    <n v="526.53"/>
    <n v="524.91679999999997"/>
    <s v="NP"/>
    <x v="0"/>
    <x v="0"/>
    <s v="LC↔LC"/>
    <m/>
    <s v="Unchanged"/>
  </r>
  <r>
    <s v="Terrestrial"/>
    <s v="SKk9"/>
    <s v="Kobee Succulent Shrubland"/>
    <s v="Knersvlakte Bioregion"/>
    <x v="3"/>
    <s v="T5"/>
    <s v="T5.2"/>
    <s v="0"/>
    <s v="Northern Cape, Western Cape"/>
    <s v="Endemic to South Africa"/>
    <s v="South Africa"/>
    <m/>
    <s v="0"/>
    <m/>
    <x v="147"/>
    <n v="140.34"/>
    <n v="140.2304"/>
    <s v="NP"/>
    <x v="0"/>
    <x v="0"/>
    <s v="LC↔LC"/>
    <m/>
    <s v="Unchanged"/>
  </r>
  <r>
    <s v="Terrestrial"/>
    <s v="SVkd1"/>
    <s v="Gordonia Duneveld"/>
    <s v="Kalahari Duneveld Bioregion"/>
    <x v="1"/>
    <s v="T4"/>
    <s v="T4.2"/>
    <s v="Northern Cape Province: Areas with dunes comprising the largest part of the South African side of the Kgalagadi Transfrontier Park. South of the Molopo River border with Botswana (west of Van Zylsrus), interleaving with NKb 5 Kalahari Karroid Shrubland in the west (south of Rietfontein to the Orange River area) and in the south (around Upington and north of Groblershoop). Also occurs as a number of loose dune cordons south of the Orange River near Keimoes and between Upington and Putsonderwater. Eastern boundary is found at the longitude of Pearson’s Hunt, but with outliers near Niekerkshoop in the southeast and Floradora in the northeast. "/>
    <s v="Northern Cape"/>
    <s v="Namibia, Botswana"/>
    <s v="South Africa"/>
    <s v="Parallel dunes about 3–8 m above the plains"/>
    <s v="Summer and autumn rainfall with very dry winters. MAP about 120–260 mm. Frost fairly frequent to frequent in winter. Mean monthly maximum and minimum temperatures for Vrouenspan 41.5°C and –4.0°C for December and July, respectively. See also climate diagram for SVkd 1 Gordonia Duneveld."/>
    <s v="Aeolian sand underlain by superficial silcretes and calcretes of the Cenozoic Kalahari Group. Fixed parallel sand dunes, with Af land type almost exclusively."/>
    <x v="148"/>
    <n v="37027.99"/>
    <n v="37004.611199999999"/>
    <s v="MP"/>
    <x v="0"/>
    <x v="0"/>
    <s v="LC↔LC"/>
    <m/>
    <s v="Unchanged"/>
  </r>
  <r>
    <s v="Terrestrial"/>
    <s v="AZd4"/>
    <s v="Subtropical Seashore Vegetation"/>
    <s v="Seashore Vegetation"/>
    <x v="5"/>
    <s v="MT2"/>
    <s v="MT2.1"/>
    <s v="Eastern Cape and KwaZulu-Natal Provinces: Beaches, coastal dunes, dune slacks and coastal cliffs of the subtropical coasts of the Indian Ocean (from northeast of Kei Mouth in the Eastern Cape to the Mozambique border), the region includes South East, Transkei and KwaZulu-Natal coasts (sensu Tinley 1985, Lubke et al. 1997)."/>
    <s v="KwaZulu-Natal, Eastern Cape"/>
    <s v="Mozambique"/>
    <s v="South Africa"/>
    <m/>
    <s v="Rainfall can occur any time during the year but with more in summer in the western part of the area (Kei Mouth region), with a pronounced summer precipitation peak along most of the northern coastal stretch. Overall MAP more than 1 000 mm. MAT of 20.3°C is indicative of a subtropical thermal regime. No frost occurs in the region. Very intensive solar irradiation enhanced by reflected albedo from the white dunes and the sea. "/>
    <s v="Recent coastal sandy sediments forming beaches and dunes, exposed to reworking by relentless wind and sea storms."/>
    <x v="149"/>
    <n v="26.17"/>
    <n v="26.400400000000001"/>
    <s v="WP"/>
    <x v="0"/>
    <x v="0"/>
    <s v="LC↔LC"/>
    <m/>
    <s v="Unchanged"/>
  </r>
  <r>
    <s v="Terrestrial"/>
    <s v="AZi3"/>
    <s v="Southern Kalahari Mekgacha"/>
    <s v="Inland Saline Vegetation"/>
    <x v="5"/>
    <s v="T5"/>
    <s v="T5.2"/>
    <s v="Northern Cape and North-West Provinces: Valleys (including beds and adjacent slopes) of the intermittent rivers draining the dry savanna south of the Bakalahari Schwelle (broad interfluve at 1 000–1 100 m altitude) in the South African part of the Kalahari region. The major mekgacha of the region include the Nossob, Auob, Molopo and Kuruman Rivers. A more extensive (endorheic) system of mekgacha is found north of the Bakalahari Schwelle in central Botswana. "/>
    <s v="Northern Cape, North West"/>
    <s v="Namibia, Botswana"/>
    <s v="South Africa"/>
    <m/>
    <s v="Subarid region with seasonal, summer-rainfall regime with a slight shift of the major peak towards late summer (February–March). Overall MAP 240 mm (ranging from 180 mm at southwestern boundary to as much as 420 mm further north). High thermic continentality is obvious from the extreme differences between the mean daily maximum and minimum temperatures in January and July: 34°C and 1°C, respectively, great daily temperature differences (sometimes reaching amplitude between 25°C and 30°C, especially in transitional climatic periods) as well as the fairly frequent occurrence of frost. The overall MAT of 19°C (range 17.5–19.1°C) is indicative of a subtropical climate, classified in the Köppen’s system as BWKw’ in its southernmost regions and as BWhw further north (Coetzee &amp; Werger 1975, Schultze &amp; McGee 1978, Werger 1978). See also climate diagram for AZi 3 Southern Kalahari Mekgacha (Figure 13.2)."/>
    <s v="The river channels are embedded within prevalently sandy Kalahari sediments that cover the Precambrian metamorphic crust of the area. The substrate of the dry riverbeds are silty, sandy and rocky, poorly drained and rich in nutrients though the ionic composition of the soils in particular rivers show considerable differences. The banks of the dry rivers can cut deep into duricrust (calcrete or silcrete and various transitions between these end-members, and in places also ferricretes), sometimes vertical bluffs (steep cliffs) of a few metres high may develop (Werger 1978, Thomas &amp; Shaw 1991). The mekgacha may stay without any water for a very long time and floods (sometimes of considerable magnitude) occur only in response to dramatic short-term precipitation events, for example the Nossob was in flood in 1806, 1963 and 1987 and the Auob was in flood in 1973, 1974 and 2000 (Thomas &amp; Shaw 1991; H. Bezuidenhout, personal communication). Some of the rivers such as the Kuruman must experience effective subsurface flow of water judging from the near-continuous belt of trees."/>
    <x v="150"/>
    <n v="2133.1999999999998"/>
    <n v="1914.6479999999999"/>
    <s v="MP"/>
    <x v="0"/>
    <x v="0"/>
    <s v="LC↔LC"/>
    <m/>
    <s v="Unchanged"/>
  </r>
  <r>
    <s v="Terrestrial"/>
    <s v="SKn6"/>
    <s v="Kamiesberg Mountains Shrubland"/>
    <s v="Namaqualand Hardeveld Bioregion"/>
    <x v="3"/>
    <s v="T3"/>
    <s v="T3.2"/>
    <s v="Northern Cape Province: Kamiesberg Mountains (central Namaqualand) from about 30 km north of Kamieskroon southwards almost to Kliprand as well as on western slopes of the northern Bokkeveld Escarpment in the Vanrhynsdorp-Nieuwoudtville area. "/>
    <s v="Northern Cape"/>
    <s v="Endemic to South Africa"/>
    <s v="South Africa"/>
    <s v="Steep, mainly south- to east-facing upper (high-altitude) slopes of large granite domes exposed to increased topographic precipitation as well as in deep gullies in the Hardeveld"/>
    <s v="Winter-rainfall area with MAP of 230 mm. Almost all the rainfall occurs from May to August, while rain is very rare between December and February. Dew is experienced throughout the winter. Frost occurs for about 13 days of the year and the lowest temperatures in the winter are 5–10ºC. The highest temperatures in summer are around 30ºC. See also climate diagram for SKn 6 Kamiesberg Mountains Shrubland (Figure 5.29)."/>
    <s v="Bitterfontein quartzites of the Bushmanland Group and the Kamieskroon gneiss occur in the north, giving rise to moderate to steep rocky slopes. Rock sizes vary from medium to large, with flat to gentle rock sheets as well as rock domes. In the south, the clastic sediments of the Knersvlakte Subgroup of the Vanrhynsdorp Group predominate. Most of the soils are yellow-brown to brown, loamy and sandy. Ib land type dominates the area (70%), while the rest is characterised by Ic land type."/>
    <x v="151"/>
    <n v="391.79"/>
    <n v="391.52519999999998"/>
    <s v="NP"/>
    <x v="0"/>
    <x v="0"/>
    <s v="LC↔LC"/>
    <m/>
    <s v="Unchanged"/>
  </r>
  <r>
    <s v="Terrestrial"/>
    <s v="Dg10"/>
    <s v="Eastern Gariep Rocky Desert"/>
    <s v="Gariep Desert Bioregion"/>
    <x v="2"/>
    <s v="T5"/>
    <s v="T5.5"/>
    <s v="All the rocky desert areas along the Orange River, including Groot Pellaberge, Dabenorisberge, Abbasasberge and many smaller mountains between Pella and Vioolsdrif. Also some mountains mapped further south well away from the Orange River such as the Haramoebberge and Witberg. "/>
    <s v="Northern Cape"/>
    <s v="Namibia"/>
    <s v="South Africa"/>
    <s v="Hills and mountains (up to 650 m of relative altitude from their base), mostly with bare rock outcrops "/>
    <s v="MAP about 45–80 mm with rainfall peak in late summer and early autumn, becoming more pronounced eastwards. Summer maximum temperatures often more than 40°C, occasionally reaching 50°C at low altitudes. Frost is very rare, but occurs at high altitudes."/>
    <s v="In the east mainly leucocratic biotite gneiss and quartz-feldspar gneiss of the Stalhoek Complex and lesser amounts of leucocratic biotite gneiss occur, with intercalations of calc-silicate rocks, mafic gneiss, and a quartzite-schist association of the Hom Subgroup, Bushmanland Group. In the west the area consists of granodiorite, adamellite, leucogranite, tonalite and diorite of the Vioolsdrif Suite and intermediate and acid volcanics of the Haib Subgroup of the Orange River Group (all of the above of Mokolian age). Very rocky substrate, with little or no soils. Land type Ic."/>
    <x v="152"/>
    <n v="2085.67"/>
    <n v="2084.326"/>
    <s v="NP"/>
    <x v="0"/>
    <x v="0"/>
    <s v="LC↔LC"/>
    <m/>
    <s v="Unchanged"/>
  </r>
  <r>
    <s v="Terrestrial"/>
    <s v="FFs26"/>
    <s v="South Kammanassie Sandstone Fynbos"/>
    <s v="Western Fynbos-Renosterveld Bioregion"/>
    <x v="4"/>
    <s v="T3"/>
    <s v="T3.2"/>
    <s v="Western Cape Province: On the southern slopes of the Kammanassie Mountains between Dysselsdorp and Uniondale. "/>
    <s v="Western Cape"/>
    <s v="Endemic to South Africa"/>
    <s v="South Africa"/>
    <s v="Steep to precipitous upper southern slopes, with gentler foot slopes, well dissected and rugged."/>
    <s v="MAP 310–1 150 mm (mean: 690 mm), even with no peak, but with a low from December to February. Mean daily maximum and minimum temperatures 29.0°C and 2.3°C for January and July, respectively. Frost incidence 10–30 days per year. See also climate diagram for FFs 26 South Kammanassie Sandstone Fynbos (Figure 4.21)."/>
    <s v="Acidic lithosol soils derived from Ordovician sandstones of the Table Mountain Group (Cape Supergroup), Glenrosa and Mispah forms prominent. Land types mainly Ib, Ic and Fb."/>
    <x v="153"/>
    <n v="287.45999999999998"/>
    <n v="287.02"/>
    <s v="WP"/>
    <x v="0"/>
    <x v="0"/>
    <s v="LC↔LC"/>
    <m/>
    <s v="Unchanged"/>
  </r>
  <r>
    <s v="Terrestrial"/>
    <s v="SVmp6"/>
    <s v="Lowveld Rugged Mopaneveld"/>
    <s v="Mopane Bioregion"/>
    <x v="1"/>
    <s v="T4"/>
    <s v="T4.1"/>
    <s v="Limpopo and Mpumalanga Provinces: Broken veld from the area southeast of Giyani in the west to Shimuwini and Boulders Camps in the east as well as the rugged area of the Olifants River Valley south of Phalaborwa, from Grietjieberg in the west to the Maveni River tributary in the east. "/>
    <s v="Mpumalanga, Limpopo"/>
    <s v="Endemic to South Africa"/>
    <s v="South Africa"/>
    <s v="Slightly to extremely irregular plains with sometimes steep slopes and a number of prominent hills. The area around the Olifants River has more dissected and steeper slopes than the northern part of this unit"/>
    <s v="Summer rainfall with very dry winters. MAP about 400–600 mm. Generally a frost-free area, but frost sometimes occurs in the low-lying areas. See also climate diagram for SVmp 6 Lowveld Rugged Mopaneveld."/>
    <s v="The Goudplaats Gneiss and Makhutswi Gneiss underlie most of this area, with a smaller contribution from the ultramafic metavolcanics (rocks rich in chlorite, amphibole, talc and serpentine) and metasediments of the Giyani Greenstone Belt (all Swazian Erathem). Soils are red-yellow apedal, freely drained, but also shallow and stony, especially in the east. Soil forms are mainly Hutton, Mispah and Glenrosa. Land types Ae, Fb and Fa."/>
    <x v="154"/>
    <n v="2451.5500000000002"/>
    <n v="2431.5623999999998"/>
    <s v="WP"/>
    <x v="0"/>
    <x v="0"/>
    <s v="LC↔LC"/>
    <m/>
    <s v="Unchanged"/>
  </r>
  <r>
    <s v="Terrestrial"/>
    <s v="FFd2"/>
    <s v="Leipoldtville Sand Fynbos"/>
    <s v="Northwest Fynbos Bioregion"/>
    <x v="4"/>
    <s v="T3"/>
    <s v="T3.2"/>
    <s v="Western Cape Province: On the coastal plains on either side of the Olifants River to Aurora and extending deep inland to the foot of the Graafwater Mountains and Piketberg. It also occurs in the Olifants River Valley from the Bulshoek Dam to The Baths (Keerom), with a gap between Klawer Vlei and Sandkop. Outliers are found scattered in the Swartveld from Het Kruis to the vicinity of Porterville. "/>
    <s v="Western Cape"/>
    <s v="Endemic to South Africa"/>
    <s v="South Africa"/>
    <s v="Plains, slightly rolling in places"/>
    <s v="Winter-rainfall regime with precipitation peaking from May to August. MAP 130–450 mm (mean: 260 mm). Dense mists are common in winter. Mean daily maximum and minimum temperatures 30.2°C and 6.6°C for February and July, respectively. Frost incidence 3 or 4 days per year. See also climate diagram for FFd 2 Leipoldtville Sand Fynbos (Figure 4.57)."/>
    <s v="Deep, acid, Tertiary sands, generally pale yellow to reddish brown, or grey. Land types mainly Ai, Hb, and Ca."/>
    <x v="155"/>
    <n v="775.97"/>
    <n v="757.06"/>
    <s v="NP"/>
    <x v="3"/>
    <x v="1"/>
    <s v="EN↔EN"/>
    <s v="B1i_rod"/>
    <s v="Unchanged"/>
  </r>
  <r>
    <s v="Terrestrial"/>
    <s v="SVl19"/>
    <s v="Western Maputaland Sandy Bushveld"/>
    <s v="Lowveld Bioregion"/>
    <x v="1"/>
    <s v="T4"/>
    <s v="T4.2"/>
    <s v="KwaZulu-Natal Province: Isolated patches on the coastal plain in the Maputaland region east of the Lebombo Mountains from the Ndumo Game Reserve on the Mozambique border in the north to the Mkhuze Game Reserve (now part of Greater St Lucia Wetland Park) in the south. "/>
    <s v="KwaZulu-Natal"/>
    <s v="Mozambique"/>
    <s v="South Africa"/>
    <s v="mid- and lower midslopes of ancient coastal dune cordons on gently undulating terrain."/>
    <s v="Summer rainfall with dry winters. MAP about 500–700 mm. Mean daily maximum and minimum temperatures for Mkhuze Game Reserve 32.5oC and 11.7oC for January and July, respectively. Mean monthly maximum and minimum temperatures for Ndumo Game Reserve 40.1°C and 6.2°C for January and July, respectively. Mean annual evaporation (A-pan) 2 100 mm for Mkhuze Game Reserve. No incidence of frost. See also climate diagram for SVl 19 Western Maputaland Sandy Bushveld."/>
    <s v="Underlying geology comprises the innermost (most westerly) carbonate-rich sandy dune cordon and siltstones formed in the shallow marine and near-coastal environment of the Cenozoic Maputaland and the Mesozoic Zululand Groups. This cordon is poorly preserved with generally well-developed soil profiles which are commonly red to orange. Soils comprise ferruginous arenosols of the Clovelly and Hutton forms. These are well-drained mesotrophic soils with a low clay content (5–14%). Land types typically Ae and Ah."/>
    <x v="156"/>
    <n v="83.75"/>
    <n v="80.793999999999997"/>
    <s v="MP"/>
    <x v="2"/>
    <x v="2"/>
    <s v="CR↔CR"/>
    <s v="B1i_rod"/>
    <s v="Unchanged"/>
  </r>
  <r>
    <s v="Terrestrial"/>
    <s v="CB4"/>
    <s v="Pondoland-Ugu Sandstone Coastal Sourveld"/>
    <s v="Indian Ocean Coastal Belt"/>
    <x v="7"/>
    <s v="T4"/>
    <s v="T4.2"/>
    <s v="Eastern Cape and KwaZulu-Natal Provinces: Elevated coastal sandstone plateaus from Port St Johns on the Pondoland coast (Eastern Cape) to the vicinity of Port Shepstone (Ugu District, KwaZulu-Natal), incl. the sourveld of the well-known Oribi Gorge. "/>
    <s v="KwaZulu-Natal, Eastern Cape"/>
    <s v="Endemic to South Africa"/>
    <s v="South Africa"/>
    <s v="Coastal peneplains and partly undulating hills with flat table-lands and very steep slopes of river gorges. "/>
    <s v="Summer rainfall with some rain in winter. No or very infrequent incidence of frost. Mean maximum and minimum monthly temperatures at Paddock (near Oribi Gorge in the north) are 32.2°C and 5.8°C (for January and July, respectively). The corresponding values for Cape Hermes Lighthouse (Port St Johns, in the south) are 29.5°C and 9.6°C for the same months. See also climate diagram for CB 4 Pondoland-Ugu Sandstone Coastal Sourveld (Figure 11.2)."/>
    <s v="This unit is strictly delimited by its geology—it is built of hard, white, coarse-grained, siliceous quartz arenites (sandstones) of the Msikaba Formation of the Devonian Period. (Thomas et al. 1992) giving rise to shallow, nutrient-poor (highly leached), skeletal, acidic sandy soils. Almost 80% of the area is classified as Fa land type, followed by Aa land type (10%)."/>
    <x v="157"/>
    <n v="647.97"/>
    <n v="641.178"/>
    <s v="PP"/>
    <x v="1"/>
    <x v="3"/>
    <s v="VU↔VU"/>
    <s v="A3_nat"/>
    <s v="Unchanged"/>
  </r>
  <r>
    <s v="Terrestrial"/>
    <s v="FRs3"/>
    <s v="Roggeveld Shale Renosterveld"/>
    <s v="Karoo Renosterveld Bioregion"/>
    <x v="4"/>
    <s v="T3"/>
    <s v="T3.2"/>
    <s v="Northern and Western Cape Provinces: Major part of the Roggeveld bordered by the edge of the western Great Escarpment mostly above the Tanqua Basin. South of the Hantam Plateau region in the upper parts of the range of the Keiskieberge and isolated high plateaus to the south including plateaus such as Grootberg, Saalfontein se Berg, Sneewkrans and Swaarweerberg encompassing the vicinity of Middelpos and Sutherland, reaching as far east as the higher-lying areas of the Teekloof Pass south of Fraserburg along the northwest summit plateaus of the Nuweveldberge. "/>
    <s v="Northern Cape, Western Cape"/>
    <s v="Endemic to South Africa"/>
    <s v="South Africa"/>
    <s v="Undulating, slightly sloping plateau landscape, with low hills and broad shallow valleys"/>
    <s v="MAP 180–430 mm (mean: 305 mm), even throughout the year, showing a slight peak in March. Mean daily maximum and minimum temperatures 29.3°C and 0.2°C for January and July, respectively. Frost incidence is remarkably high for a renosterveld type (30–70 days per year). See also climate diagram for FRs 3 Roggeveld Shale Renosterveld (Figure 4.101)."/>
    <s v="Mudrocks and sandstones of the Adelaide Subgroup (Beaufort Group of the Karoo Supergroup) dominate the geology. Some intrusions of the Karoo Dolerite Suite are also present. Glenrosa and Mispah forms are prominent. Land types mainly Fc and Da."/>
    <x v="158"/>
    <n v="3152.35"/>
    <n v="3148.2543999999998"/>
    <s v="PP"/>
    <x v="0"/>
    <x v="0"/>
    <s v="LC↔LC"/>
    <m/>
    <s v="Unchanged"/>
  </r>
  <r>
    <s v="Terrestrial"/>
    <s v="Gd3"/>
    <s v="Stormberg Plateau Grassland"/>
    <s v="Drakensberg Grassland Bioregion"/>
    <x v="0"/>
    <s v="T4"/>
    <s v="T4.5"/>
    <s v="Eastern Cape Province: Gently sloping landscapes on the Stormberg Plateau north of Molteno and Dordrecht, east of Burgersdorp and extending northwards not much beyond Jamestown. "/>
    <s v="Eastern Cape"/>
    <s v="Endemic to South Africa"/>
    <s v="South Africa"/>
    <s v="Relatively flat to undulating landscape with hills and mountain peaks jutting above the general landscape."/>
    <s v="Variable. The rainfall pattern shows a spring-autumn bimodality with overall MAP 540 mm. There is an east-west rainfall gradient across this vegetation unit from 450 mm in the west to over 700 mm in the east. Coefficient of variation of MAP 30%, varying only slightly from 26–31% across the unit. MAT of nearly 13°C indicates a cool-temperate regime, with climate becoming extremely cold in places. One of the coldest recorded minimum temperatures in South Africa was –18.9°C at Buffelsfontein in the centre of this unit. Frosts can occur at any time of the year, but with a low probability in summer. Incidence of frost from 30–75 days, increasing with elevation. See also climate diagram for Gd 3 Stormberg Plateau Grassland (Figure 8.11)."/>
    <s v="Generally shallow soils (typical of Fb, Da and Db land types), with variable amounts of soil skeleton and overlying mudstones and sandstones of the Elliot Formation and in some areas also of the Molteno Formation (Stormberg Group, Karoo Supergroup)."/>
    <x v="159"/>
    <n v="2408.59"/>
    <n v="2409.3244"/>
    <s v="NP"/>
    <x v="0"/>
    <x v="0"/>
    <s v="LC↔LC"/>
    <m/>
    <s v="Unchanged"/>
  </r>
  <r>
    <s v="Terrestrial"/>
    <s v="SKv7"/>
    <s v="Robertson Karoo"/>
    <s v="Rainshadow Valley Karoo Bioregion"/>
    <x v="3"/>
    <s v="T5"/>
    <s v="T5.2"/>
    <s v="Western Cape Province: Broad valley of the middle reaches of the Breede River around Worcester, Robertson and Ashton. "/>
    <s v="Western Cape"/>
    <s v="Endemic to South Africa"/>
    <s v="South Africa"/>
    <s v="Undulating flats and adjacent hills (sometimes with very steep flanks) "/>
    <s v="Robertson Karoo is a semi-arid region with a mainly winter-rainfall regime and with maximum precipitation occurring in August (61 mm for Worcester, Smitheman &amp; Perry 1990). Another slight precipitation peak is in June. MAP 125–350 mm; most of the region receiving about 300 mm. The low precipitation of this region surrounded from all sides by various Fynbos Biome vegetation units is ascribed to the rainshadow effect due to the high surrounding mountain ranges. MAT is above 16°C. Summer temperatures are high and in January vary from 30–40°C (an average of 34.5°C in February was recorded for Worcester). Occasional northwestern berg winds may intensify the heat. Winter nights might experience light frost—7 days a year on average. See also climate diagram for SKv 7 Robertson Karoo (Figure 5.65)."/>
    <s v="Shale of the Devonian Ceres and Bidouw Subgroups (Bokkeveld Group, Cape Supergroup) as well as diamictite and shale of the Carboniferous Dwyka and Ecca Groups (Karoo Sequence). Jurassic Enon conglomerates occur as well. The soils are deep, red, apedal and loamy to loamy-sandy with a high clay and sodium content. Fc land type is representative of half of the region, while Fb and Ic are of lesser importance."/>
    <x v="160"/>
    <n v="501.74"/>
    <n v="496.28680000000003"/>
    <s v="PP"/>
    <x v="0"/>
    <x v="0"/>
    <s v="LC↔LC"/>
    <m/>
    <s v="Unchanged"/>
  </r>
  <r>
    <s v="Terrestrial"/>
    <s v="FFg1"/>
    <s v="Kamiesberg Granite Fynbos"/>
    <s v="Namaqualand Cape Shrublands Bioregion"/>
    <x v="4"/>
    <s v="T3"/>
    <s v="T3.2"/>
    <s v="Northern Cape Province: Namaqualand, summits and upper slopes of Rooiberg in the north (1 395 m) on the Farm Pedroskloof, Sneeukop (1 589 m), Kamiesberg (1 527 m), Johannes se Berg (1 550 m), Sittenberg (1 553 m), Eselkop (1 664 m) and Rooiberg (1 705 m) south of Rhebokskloof in the south, in the Kamiesberg Mountains (roughly in the area between Kamieskroon, Leliefontein and Garies). Rather anomalously, the unit is not very strongly correlated with altitude. A"/>
    <s v="Northern Cape"/>
    <s v="Endemic to South Africa"/>
    <s v="South Africa"/>
    <s v="System of round-top mountains and broad-shoulder ridges dominated by granite domes and slabs. "/>
    <s v="Precipitation low, with the lowest average values at the semi-arid limit. MAP 240–450 mm (mean: 355 mm), peaking from May to August. This type is near the lower-rainfall limits for fynbos on granite, and is the driest of the granite types. Mean daily maximum and minimum temperatures 24.9°C and 2.1°C for January and July, respectively. Frost incidence 10–40 days per year. See also climate diagram for FFg 1 Kamiesberg Granite Fynbos (Figure 4.92)."/>
    <s v="Granites and gneisses of the Mokolian Kamieskroon Gneiss and Stalhoek Complex. Soils skeletal, shallow and sandy, typical of Ic land type."/>
    <x v="161"/>
    <n v="64.05"/>
    <n v="64.012799999999999"/>
    <s v="NP"/>
    <x v="0"/>
    <x v="0"/>
    <s v="LC↔LC"/>
    <m/>
    <s v="Unchanged"/>
  </r>
  <r>
    <s v="Terrestrial"/>
    <s v="CB1"/>
    <s v="Maputaland Coastal Belt"/>
    <s v="Indian Ocean Coastal Belt"/>
    <x v="7"/>
    <s v="T4"/>
    <s v="T4.2"/>
    <s v="KwaZulu-Natal Province (and continuing also in southern Mozambique): Up to 35 km broad strip along the coast of the Indian Ocean stretching from the Mozambique border in the north to Mtunzini in the south. "/>
    <s v="KwaZulu-Natal"/>
    <s v="Mozambique"/>
    <s v="South Africa"/>
    <s v="Flat coastal plain"/>
    <s v="Weak rainfall seasonality near the coast tending toward summer rainfall towards the interior. Relatively high precipitation attaining annual values up to 1 200 mm in coastal localities, decreasing rapidly to the interior. High humidity and temperature. Mean maximum and minimum monthly temperature for Lake St Lucia Research Centre are 35.3°C and 5.5°C (for January and June, respectively). No incidence of frost. See also climate diagram for CB 1 Maputaland Coastal Belt (Figure 11.2)."/>
    <s v="Up to about 18 000 yrs old Quaternary sediments of marine origin—mainly yellowish and argillaceous redistributed sands (Berea and Muzi Formations of the Maputaland Group, respectively). Soils nutritionally very poor and well leached, except in the interdune depressions where organic-rich soils are sometimes found. The dominant land types include Hb and Ha, with some contribution of Db land type."/>
    <x v="162"/>
    <n v="863.22"/>
    <n v="832.92719999999997"/>
    <s v="MP"/>
    <x v="3"/>
    <x v="1"/>
    <s v="EN↔EN"/>
    <s v="B1i_rod"/>
    <s v="Unchanged"/>
  </r>
  <r>
    <s v="Terrestrial"/>
    <s v="Gs6"/>
    <s v="KwaZulu-Natal Highland Thornveld"/>
    <s v="Sub-Escarpment Grassland Bioregion"/>
    <x v="0"/>
    <s v="T4"/>
    <s v="T4.5"/>
    <s v="KwaZulu-Natal Province: A series of several patches in the central-northern regions of KwaZulu-Natal, where it occurs on both dry valleys and moist upland. The most extensive area is found in the region from Ladysmith, Winterton, Estcourt and Colenso, between Mooi River and Greytown, between Pomeroy and Babanago, and further north in a triangle between Vryheid, Paulpietersburg and Louwsburg as well as a large patch around Newcastle. "/>
    <s v="KwaZulu-Natal"/>
    <s v="Endemic to South Africa"/>
    <s v="South Africa"/>
    <s v="Hilly, undulating landscapes and broad valleys "/>
    <s v="Summer rainfall. MAP about 750 mm (79 rain days per year; Camp 1999c). The midwinter months of June and July have 2.6 rain days on average. Much of the summer precipitation comes in form of thunderstorms (63 and 56 thunderstorm days per year for Ladysmith and Estcourt, respectively). Mist is uncommon (14 days of mist per year for both Ladysmith and Estcourt). MAT 15.6–19.0°C (overall average 16.5°C). Summers are warm to hot, winters are cool. There are 15 frost days per year. The mean annual evaporation recorded at Estcourt is 1 725 mm, while the range for the entire vegetation unit is 1 706–1 918 mm (Camp 1999c), the overall average 1 830 mm. See also climate diagram for Gs 6 KwaZulu-Natal Highland Thornveld (Figure 8.61)."/>
    <s v="A variety of Karoo Supergroup rocks occur in the area, including the Dwyka, Ecca and Beaufort Groups and marginally also Jurassic dolerite intrusions. Yellow-brown soils over plinthic subsoil and shallow duplex soils are common. Red and black heavy soils are derived from dolerites and show high resistance to erosion. The unit falls within various land types, including Ca, Fb, Fa, Db and Bb."/>
    <x v="163"/>
    <n v="3281.68"/>
    <n v="3303.5868"/>
    <s v="PP"/>
    <x v="0"/>
    <x v="0"/>
    <s v="LC↔LC"/>
    <m/>
    <s v="Unchanged"/>
  </r>
  <r>
    <s v="Terrestrial"/>
    <s v="SKr4"/>
    <s v="Lekkersing Succulent Shrubland"/>
    <s v="Richtersveld Bioregion"/>
    <x v="3"/>
    <s v="T5"/>
    <s v="T5.2"/>
    <s v="Northern Cape Province: Longitudinal band in the southwestern Richtersveld extending north and south of Lekkersing, with an additional extension to the southeast and some scattered patches further north. All these parts are located in the lowlands west and southwest of the central mountain ridge of the Richtersveld. The core area has a north-south extension of some 70 km from near the Goariep Mountain in the north to the vicinity of Oograbies in the south. "/>
    <s v="Northern Cape"/>
    <s v="Endemic to South Africa"/>
    <s v="South Africa"/>
    <s v="Mosaic of hills, flat or slightly rolling plains, with embedded quartz fields and ridges, some sand sheets and dunes, rocky gorges and including some rocky mountains. Quartz and quartzitic rocks are the most important"/>
    <s v="MAP is 60–120 mm. Winter rainfall is clearly predominant. Coastal fog is not as frequent as along the coast, but more important than in the Richtersveld mountains. Frost is very rare. "/>
    <s v="Mainly quartzite, sometimes schist, dolomite of the Precambrian Gariep Complex supporting sandy, skeletal soils. Half of the area is classified as Ag land type, followed by Fc, Ae, Ic."/>
    <x v="164"/>
    <n v="828.05"/>
    <n v="827.19280000000003"/>
    <s v="MP"/>
    <x v="0"/>
    <x v="0"/>
    <s v="LC↔LC"/>
    <m/>
    <s v="Unchanged"/>
  </r>
  <r>
    <s v="Terrestrial"/>
    <s v="SVl18"/>
    <s v="Tembe Sandy Bushveld"/>
    <s v="Lowveld Bioregion"/>
    <x v="1"/>
    <s v="T4"/>
    <s v="T4.2"/>
    <s v="KwaZulu-Natal Province: Part of the Maputaland lowveld, east of the Pongola River. Strip of land between the Mozambique border and the Tembe Elephant Park in the north extending south as far as the surrounds of the confluence of the Mkuze and Msunduzi Rivers. Sandwiched between the SVl 20 Western Maputaland Clay Bushveld in the west and CB 1 Maputaland Coastal Belt in the east. Isolated patch found east of the town of Hluhluwe. "/>
    <s v="KwaZulu-Natal"/>
    <s v="Mozambique"/>
    <s v="South Africa"/>
    <s v="Extensive flat plains to slightly undulating in places"/>
    <s v="Summer rainfall with some rain in winter. MAP about 550–800 mm. Mist of the warm Indian Ocean contributes to precipitation. No incidence of frost. See also climate diagram for SVl 18 Tembe Sandy Bushveld."/>
    <s v="System of old (5–3 million years) and younger (125 000 years) grey regic to reddish redistributed sand dunes of marine origin. Nutritionally the sandy soils are very poor and well leached. In some depressions, duplex soils can be found. Land type mainly Ha, with some Ae, Ah and Hb also occurring."/>
    <x v="165"/>
    <n v="872.99"/>
    <n v="865.32680000000005"/>
    <s v="MP"/>
    <x v="0"/>
    <x v="0"/>
    <s v="LC↔LC"/>
    <m/>
    <s v="Unchanged"/>
  </r>
  <r>
    <s v="Terrestrial"/>
    <s v="FFs13"/>
    <s v="North Sonderend Sandstone Fynbos"/>
    <s v="Southwest Fynbos Bioregion"/>
    <x v="4"/>
    <s v="T3"/>
    <s v="T3.2"/>
    <s v="Western Cape Province: Northern slopes of the Riviersonderend Mountains from Villiersdorp to Bromberg and Luiperdsberg east of Stormsvlei, including Klipberg and Sandberg towards Robertson. "/>
    <s v="Western Cape"/>
    <s v="Endemic to South Africa"/>
    <s v="South Africa"/>
    <s v="Gentle to steep north-facing slopes, highly dissected in a few places, with a midslope sandy plateau and extensive gentle lower slopes"/>
    <s v="MAP 250–1 410 mm (mean: 605 mm), peaking May to August. Mean daily maximum and minimum temperatures 26.2°C and 4.4°C for February and July, respectively. Frost incidence 7–10 days per year. See also climate diagram for FFs 13 North Sonderend Sandstone Fynbos (Figure 4.21)."/>
    <s v="Acidic lithosol soils derived from Ordovician sandstones of the Table Mountain Group (Cape Supergroup). Land types mainly Ic."/>
    <x v="166"/>
    <n v="521.23"/>
    <n v="520.85199999999998"/>
    <s v="WP"/>
    <x v="0"/>
    <x v="0"/>
    <s v="LC↔LC"/>
    <m/>
    <s v="Unchanged"/>
  </r>
  <r>
    <s v="Terrestrial"/>
    <s v="FFd3"/>
    <s v="Hopefield Sand Fynbos"/>
    <s v="Southwest Fynbos Bioregion"/>
    <x v="4"/>
    <s v="T3"/>
    <s v="T3.2"/>
    <s v="Western Cape Province: West Coast lowlands from Aurora to Rondeberg, just south of Yzerfontein, with an outlier in the Strandveld at Kleinberg north of Langebaanweg. "/>
    <s v="Western Cape"/>
    <s v="Endemic to South Africa"/>
    <s v="South Africa"/>
    <s v="Coastal sand plains, flat to undulating, and also including localised inland dune fields"/>
    <s v="MAP 210–430 mm (mean: 325 mm), peaking from May to August. Mists common in winter. Mean daily maximum and minimum temperatures 28.3°C and 7.1°C for February and July, respectively. Frost incidence 3 or 4 days per year. See also climate diagram for FFd 3 Hopefield Sand Fynbos (Figure 4.57)."/>
    <s v="Deep, acid, tertiary sands, generally grey regic sands, sometimes pale yellow to reddish brown. Land types mainly Hb, Ha and Db."/>
    <x v="167"/>
    <n v="644.63"/>
    <n v="638.34839999999997"/>
    <s v="PP"/>
    <x v="0"/>
    <x v="1"/>
    <s v="LC → EN"/>
    <s v="B1iii_sp"/>
    <s v="Uplisted"/>
  </r>
  <r>
    <s v="Terrestrial"/>
    <s v="CB5"/>
    <s v="Transkei Coastal Belt"/>
    <s v="Indian Ocean Coastal Belt"/>
    <x v="7"/>
    <s v="T4"/>
    <s v="T4.2"/>
    <s v="Eastern Cape Province: Narrow coastal strip along the Wild Coast of Transkei and the Indian Ocean seaboards between Port St Johns (Egossa Interval) as far as the vicinity of the Great Kei River in the south. "/>
    <s v="Eastern Cape"/>
    <s v="Endemic to South Africa"/>
    <s v="South Africa"/>
    <s v="The Transkei Coastal Belt is highly dissected, hilly coastal country with alternating steep slopes of low-reach river valleys and coastal ridges, sometimes broad enough to form small plains."/>
    <s v="Summer rainfall with some rain in winter (with up to 36.6% rainfall in winter at Bashee Lighthouse). No incidence of frost. Bashee Lighthouse recording a mean minimum temperature of 7.7°C in July. See also climate diagram for CB 5 Transkei Coastal Belt (Figure 11.2)."/>
    <s v="Most of the area is built of Karoo Supergroup sediments including sandstone and mudstone of the Adelaide Subgroup, shale, mudstone and sandstone of the Ecca Group as well as tillite of the Dwyka group. Intrusions of Jurassic Karoo Dolerite Suite occur in places. The dominating soil forms are Glenrosa and Mispah. Fa land type dominates the area."/>
    <x v="168"/>
    <n v="908.12"/>
    <n v="899.27160000000003"/>
    <s v="PP"/>
    <x v="3"/>
    <x v="1"/>
    <s v="EN↔EN"/>
    <s v="B1i_rod"/>
    <s v="Unchanged"/>
  </r>
  <r>
    <s v="Terrestrial"/>
    <s v="SKr3"/>
    <s v="Goariep Mountain Succulent Shrubland"/>
    <s v="Richtersveld Bioregion"/>
    <x v="3"/>
    <s v="T5"/>
    <s v="T5.2"/>
    <s v="Northern Cape Province: The unit is entirely formed by the Goariep Mountain (Ploegberg)—a large granite inselberg located southwest of the village of Khubus and west of the Vandersterrberg-Stinkfonteinberge mountain range in the northwestern Richtersveld. "/>
    <s v="Northern Cape"/>
    <s v="Endemic to South Africa"/>
    <s v="South Africa"/>
    <s v="The circular geomorphological structure of the Goariep Mountain rises steeply above the surrounding landscape, mostly plains, and culminates in numerous granite domes."/>
    <s v="Winter-rainfall area with MAP about 70 mm, increasing with altitude and controlled by geomorphology, probably reaching as high as 200 mm at higher altitudes. High moisture levels are generated by orogenic uplift of moist air by the slopes of the large granite massif of the Goariep Mountain—the first high mountain in the pathway of the air stream moving in from the ocean from southern, southwestern or western directions. Consequently, rainfall and fog generate high precipitation along the southern and western slopes of the mountain, especially at higher altitudes. Frequency of frost depends on the altitude, reaching up to about 10 days per year in the summit area."/>
    <s v="Built of granite of the Kuboos Pluton (Cambrian). Soils are mostly loamy sands. Ic is almost the exclusive land type."/>
    <x v="169"/>
    <n v="170.77"/>
    <n v="170.738"/>
    <s v="WP"/>
    <x v="0"/>
    <x v="0"/>
    <s v="LC↔LC"/>
    <m/>
    <s v="Unchanged"/>
  </r>
  <r>
    <s v="Terrestrial"/>
    <s v="Gs15"/>
    <s v="Tsomo Grassland"/>
    <s v="Sub-Escarpment Grassland Bioregion"/>
    <x v="0"/>
    <s v="T4"/>
    <s v="T4.5"/>
    <s v="Eastern Cape Province: In the region to the east of the Queenstown Basin. The villages of Tsomo, Cala and Engcobo define the eastern extent of this unit and Cathcart, Queenstown and Sterkstroom the western extent. This vegetation unit occupies the plains in between the mountain peaks and ridges in this region. "/>
    <s v="Eastern Cape"/>
    <s v="Endemic to South Africa"/>
    <s v="South Africa"/>
    <s v="Flat or gently undulating lowland plains intersected by mountains. "/>
    <s v="Late summer rainfall, although some rain may fall at other times of the year. MAP 430–790 mm, increasing from west to east. The coefficient of variation in MAP 25–31% across the unit. Incidence of frost is variable (7–65 days), but is higher in the northwest. See also climate diagram for Gs 15 Tsomo Grassland (Figure 8.61)."/>
    <s v="Mudstones of the Tarkastad Subgroup (Karoo Supergroup) overlain mostly by soils of moderate depth typical of Fb and Db land types."/>
    <x v="170"/>
    <n v="3739.96"/>
    <n v="3707.9951999999998"/>
    <s v="NP"/>
    <x v="0"/>
    <x v="0"/>
    <s v="LC↔LC"/>
    <m/>
    <s v="Unchanged"/>
  </r>
  <r>
    <s v="Terrestrial"/>
    <s v="FS2"/>
    <s v="Saldanha Granite Strandveld"/>
    <s v="West Strandveld Bioregion"/>
    <x v="4"/>
    <s v="T3"/>
    <s v="T3.2"/>
    <s v="Western Cape Province: On the West Coast, granite domes from Vredenburg to St Helena Bay and many points along the coast including Paternoster and Saldanha’s North Head; also around Langebaan town and at Postberg on the Langebaan Peninsula."/>
    <s v="Western Cape"/>
    <s v="Endemic to South Africa"/>
    <s v="South Africa"/>
    <s v="Rounded forms of granite sheets and smooth forms at their feet dominate the landscapes of this vegetation unit"/>
    <s v="Mainly cyclonic annual rainfall varying from approximately 250 mm in the north to 350 mm in the south, almost exclusively in winter. Mean daily maximum and minimum temperatures 25.4°C and 7.9°C for February and July, respectively. Advective sea fog and dew contribute significantly to the moisture in summer and autumn. Frost rare. Winds tend to be strong northwesterly in winter and southerly in summer. See also climate diagram for FS 2 Saldanha Granite Strandveld (Figure 4.128)."/>
    <s v="Deep, coarse sandy to loamy soils derived from the Vredenburg Batholith in the north and the Saldanha Batholith in the south (both of the Cape Granite Suite). Dominant land type Ab, followed by Fc."/>
    <x v="171"/>
    <n v="80.02"/>
    <n v="78.336399999999998"/>
    <s v="PP"/>
    <x v="2"/>
    <x v="2"/>
    <s v="CR↔CR"/>
    <s v="B1i_rod, B1iii_sp"/>
    <s v="Unchanged"/>
  </r>
  <r>
    <s v="Terrestrial"/>
    <s v="FFd7"/>
    <s v="Agulhas Sand Fynbos"/>
    <s v="South Coast Fynbos Bioregion"/>
    <x v="4"/>
    <s v="T3"/>
    <s v="T3.2"/>
    <s v="Western Cape Province: Very fragmented patches on the Agulhas forelands from around the lower Uilkraalsrivier near Gansbaai, Hagelkraal, flats west of the Soetanysberg, small patches east of Elim to the largest patch northwest of Struisbaai, west of Arniston and south of Bredasdorp, with unmapped patches to Hermanus in the west, and De Hoop Vlei in the east. "/>
    <s v="Western Cape"/>
    <s v="Endemic to South Africa"/>
    <s v="South Africa"/>
    <s v="Low-lying coastal plains"/>
    <s v="MAP 380–660 mm (mean: 475 mm), peaking slightly in winter. Mean daily maximum and minimum temperatures 25.6°C and 7.0°C for January and July, respectively. Frost incidence about 3 days per year. See also climate diagram for FFd 7 Agulhas Sand Fynbos (Figure 4.57)."/>
    <s v="Neutral to acid Tertiary sands over various substrates, but most commonly over limestone of the Bredasdorp Formation. Land types mainly Db and Hb."/>
    <x v="172"/>
    <n v="120.71"/>
    <n v="119.584"/>
    <s v="PP"/>
    <x v="2"/>
    <x v="2"/>
    <s v="CR↔CR"/>
    <s v="B1iii_sp"/>
    <s v="Unchanged"/>
  </r>
  <r>
    <s v="Terrestrial"/>
    <s v="SKn5"/>
    <s v="Platbakkies Succulent Shrubland"/>
    <s v="Namaqualand Hardeveld Bioregion"/>
    <x v="3"/>
    <s v="T5"/>
    <s v="T5.2"/>
    <s v="Northern Cape Province: Western piedmonts at boundaries between Namaqualand Hardeveld and Bushmanland between Gamoep in the north and Banke in the south. "/>
    <s v="Northern Cape"/>
    <s v="Endemic to South Africa"/>
    <s v="South Africa"/>
    <s v="Mainly plains, but also low koppies and hills "/>
    <s v="Seasonal winter-rainfall climate with shallow peak from May to August. About a third of the annual rainfall (MAP slightly above 100 mm, range 80–120 mm) arrives as late summer thunderstorms. Overall MAT is about 16°C, mean maximum and minimum monthly temperatures in Platbakkies are 37°C and –3°C for January and July, respectively. Incidence of frost is between 20 and 40 days per year. See also climate diagram for SKn 5 Platbakkies Succulent Shrubland (Figure 5.29)."/>
    <s v="Gneiss of the Little Namaqualand Suite, and Bushmanland Group metasediments and metavolcanics with shallow unstructured soils predominate in the west. In the east the landscape is covered by sandy Bushmanland soils overlying calcrete. A unique feature in this vegetation type is the presence of silcrete caps (Bitterfontein Formation) along the edge of the erosion front between the Bushmanland surface and the underlying metamorphic rocks—these are associated with deeply weathered underlying gneiss giving rise to quartz pebble-covered gravel plains. In the east and north, another type of gravel plain is formed by the presence of palaeo-river terraces characterised by the presence of rounded rocks and boulders and calcrete nodules. Northwest and west of Gamoep, and in the south around Banke, the gravel plains comprise quartz pebble lags over kaolinised gneiss, often associated with eroding silcrete outcrops. The dominant land type is Ag (78%), while the rest of the area is classified as Ae land type."/>
    <x v="173"/>
    <n v="652.04999999999995"/>
    <n v="650.53920000000005"/>
    <s v="NP"/>
    <x v="0"/>
    <x v="0"/>
    <s v="LC↔LC"/>
    <m/>
    <s v="Unchanged"/>
  </r>
  <r>
    <s v="Terrestrial"/>
    <s v="SVl6"/>
    <s v="Gabbro Grassy Bushveld"/>
    <s v="Lowveld Bioregion"/>
    <x v="1"/>
    <s v="T4"/>
    <s v="T4.2"/>
    <s v="Mpumalanga Province: Flats and hills mainly in the Kruger National Park in isolated patches from Orpen Camp in the north, southwards including Rooigras Vlakte (northeast of Skukuza) and some areas stretching from north of Pretoriuskop to around Afsaal in the south. "/>
    <s v="Mpumalanga"/>
    <s v="Endemic to South Africa"/>
    <s v="South Africa"/>
    <s v="Open savanna with a dense grass cover"/>
    <s v="Summer rainfall with dry winters. MAP about 500–650 mm. Generally a frost-free region. See also climate diagram forSVl 6 Gabbro Grassy Bushveld."/>
    <s v="The distribution of this bushveld closely follows the sinuous intrusions of the Timbavati gabbro (Mokolian Erathem). The unit is also mapped on surrounding potassic granite and gneiss of Archaean basement and the gneiss and migmatite of the Nelspruit Suite (also Archaean). Dark vertic clay soils (20–50% clay) often swell and shrink. Loose rock is often present on the surface. Some shallow lithosols occur in places. Where gabbro is in contact with the adjacent granite, a mixed soil sometimes develops with a gabbro-derived A-horizon overlying a granite-derived B-horizon. Land types mainly Fb and Dc."/>
    <x v="174"/>
    <n v="758.02"/>
    <n v="757.69799999999998"/>
    <s v="WP"/>
    <x v="0"/>
    <x v="0"/>
    <s v="LC↔LC"/>
    <m/>
    <s v="Unchanged"/>
  </r>
  <r>
    <s v="Terrestrial"/>
    <s v="Gh12"/>
    <s v="Vaal Reefs Dolomite Sinkhole Woodland"/>
    <s v="Dry Highveld Grassland Bioregion"/>
    <x v="0"/>
    <s v="T4"/>
    <s v="T4.5"/>
    <s v="North-West and Free State Provinces: Small area associated with the dolomite sinkholes in and around Stilfontein and Orkney (Vaal Reefs). The Vaal River forms the southern distribution limit of this vegetation unit. "/>
    <s v="Free State, North West"/>
    <s v="Endemic to South Africa"/>
    <s v="South Africa"/>
    <s v="Slightly undulating landscape dissected by prominent rocky chert ridge"/>
    <s v="Warm-temperate summer-rainfall region, with overall MAP around 560 mm. The summer temperatures are high. Severe frequent frost occurs in winter. See also climate diagram for Gh 12 Vaal Reefs Dolomite Sinkhole Woodland (Figure 8.23)."/>
    <s v="This area occurs almost exclusively on the dolomites of the Malmani Subgroup (Chuniespoort Group, Transvaal Supergroup), where underground dissolution of the rock causes sinkholes. More than 50% of the main soil types are relatively shallow (50–150 mm) and rocky, with the dominant soil forms Mispah, Glenrosa and shallow Hutton. The latter soils are associated with the Fa land type."/>
    <x v="175"/>
    <n v="245.28"/>
    <n v="221.10560000000001"/>
    <s v="NP"/>
    <x v="0"/>
    <x v="0"/>
    <s v="LC↔LC"/>
    <m/>
    <s v="Unchanged"/>
  </r>
  <r>
    <s v="Terrestrial"/>
    <s v="FFs6"/>
    <s v="Piketberg Sandstone Fynbos"/>
    <s v="Northwest Fynbos Bioregion"/>
    <x v="4"/>
    <s v="T3"/>
    <s v="T3.2"/>
    <s v="Western Cape Province: Mainly on the Piketberg Mountains in a triangle formed by Aurora, Het Kruis and the town of Piketberg but also on isolated hills to the north of the mountain including Driefonteinberg, Tiernesberg, Dassieberg and Klein Tafelberg. "/>
    <s v="Western Cape"/>
    <s v="Endemic to South Africa"/>
    <s v="South Africa"/>
    <s v="Large inselberg built of slowly eroding hard rocks towering over the surrounding sandy and shale plains of the West Coast. Mostly steep slopes, with some small plateaus and peaks."/>
    <s v="MAP 320–860 mm (mean: 510 mm), peaking May to August. Mean daily maximum and minimum temperatures 28.1°C and 5.6°C for February and July, respectively. Frost incidence 2–4 days per year. See also climate diagram for FFs 6 Piketberg Sandstone Fynbos (Figure 4.21)."/>
    <s v="Acidic lithosol soils derived from Ordovician sandstones of the Table Mountain Group (Cape Supergroup). Land type mainly Ib."/>
    <x v="176"/>
    <n v="372.1"/>
    <n v="370.67039999999997"/>
    <s v="PP"/>
    <x v="0"/>
    <x v="2"/>
    <s v="LC → CR"/>
    <s v="B1iii_sp"/>
    <s v="Uplisted"/>
  </r>
  <r>
    <s v="Terrestrial"/>
    <s v="FFs24"/>
    <s v="South Swartberg Sandstone Fynbos"/>
    <s v="Western Fynbos-Renosterveld Bioregion"/>
    <x v="4"/>
    <s v="T3"/>
    <s v="T3.2"/>
    <s v="Western and Eastern Cape Provinces: Southern slopes of the Anysberg, Klein and Groot Swartberg to Slypsteenberg and Resbosrand in the east. Also includes the southern slope of the Touwsberg. "/>
    <s v="Eastern Cape, Western Cape"/>
    <s v="Endemic to South Africa"/>
    <s v="South Africa"/>
    <s v="Steep, very steep, and precipitous south-facing slopes, deeply dissected in parts, of rugged mountain ranges. "/>
    <s v=" MAP 170–850 mm (mean: 475 mm), peaking slightly in March, but otherwise even with a low from December to February. Mean daily maximum and minimum temperatures 28.5°C and 2.0°C for January and July, respectively. Frost incidence 10–30 days per year. See also climate diagram for FFs 24 South Swartberg Sandstone Fynbos (Figure 4.21)."/>
    <s v="Acidic lithosol soils derived from Ordovician sandstones of the Table Mountain Group (Cape Supergroup). Land types mainly Ib and Ic."/>
    <x v="177"/>
    <n v="1082.94"/>
    <n v="1082.2344000000001"/>
    <s v="WP"/>
    <x v="0"/>
    <x v="0"/>
    <s v="LC↔LC"/>
    <m/>
    <s v="Unchanged"/>
  </r>
  <r>
    <s v="Terrestrial"/>
    <s v="SVcb15"/>
    <s v="Springbokvlakte Thornveld"/>
    <s v="Central Bushveld Bioregion"/>
    <x v="1"/>
    <s v="T4"/>
    <s v="T4.1"/>
    <s v="Limpopo, Mpumalanga, North-West and Gauteng Provinces: Flats from Zebediela in the northeast to Hammanskraal and Assen in the southwest as well as from Bela-Bela and Mookgophong in the northwest to Marble Hall and Rust de Winter in the southeast. "/>
    <s v="Mpumalanga, Limpopo, Gauteng, North West"/>
    <s v="Endemic to South Africa"/>
    <s v="South Africa"/>
    <s v="flat to slightly undulating plains."/>
    <s v="Summer rainfall with very dry winters. MAP about 500–650 mm. Frost fairly infrequent in winter. Mean monthly maximum and minimum temperatures for Warmbaths–Towoomba are 35.2°C and –2.0°C for October and July, respectively. Corresponding values are 36.8°C and –1.2°C for Marble Hall for January and June, respectively. See also climate diagram for SVcb 15 Springbokvlakte Thornveld."/>
    <s v="Rocks are part of the volcano-sedimentary Karoo Supergroup. Most abundant in the area are the mafic volcanics (tholeitic and olivine basalts and nephelinites) of the Letaba Formation, then the mudstones of the Irrigasie Formation and the shale, with sandstone units, of the Ecca Group. Soils are red-yellow apedal, freely drained with high base status and self-mulching, black, vertic clays. The vertic soils, with a fluctuating water table, experience prolonged periods of swelling and shrinking during wet and dry periods, considerable soil cracking when dry, a loose soil surface, high calcium carbonate content and gilgai micro-relief. Land types mainly Ae and Ea."/>
    <x v="178"/>
    <n v="3996.3"/>
    <n v="2856.3380000000002"/>
    <s v="PP"/>
    <x v="1"/>
    <x v="1"/>
    <s v="VU → EN"/>
    <s v="B1i_rod"/>
    <s v="Uplisted"/>
  </r>
  <r>
    <s v="Terrestrial"/>
    <s v="FFs7"/>
    <s v="North Hex Sandstone Fynbos"/>
    <s v="Northwest Fynbos Bioregion"/>
    <x v="4"/>
    <s v="T3"/>
    <s v="T3.2"/>
    <s v="Western Cape Province: Northern slopes of the Hex River Mountains from Mitchell’s Pass near Ceres to Sonklip Ridge extending along the northern slope of the lower-altitude Witberg Ridge to Grootstraat west of Touws River. "/>
    <s v="Western Cape"/>
    <s v="Endemic to South Africa"/>
    <s v="South Africa"/>
    <s v="North-facing steep and gentle slopes from foothills to high mountain peaks"/>
    <s v="MAP 300–1 800 mm (mean: 750 mm), peaking markedly May to August. Snow regular in winter on higher slopes and may last for a week or more. Mean daily maximum and minimum temperatures 26.0°C and 2.5°C for February and July, respectively. Frost incidence 10–50 days per year. See also climate diagram for FFs 7 North Hex Sandstone Fynbos (Figure 4.21)."/>
    <s v="Acidic lithosol soils derived from Ordovician sandstones of the Table Mountain Group (Cape Supergroup). Land types mainly Ib and Ic."/>
    <x v="179"/>
    <n v="371.54"/>
    <n v="371.13799999999998"/>
    <s v="WP"/>
    <x v="0"/>
    <x v="0"/>
    <s v="LC↔LC"/>
    <m/>
    <s v="Unchanged"/>
  </r>
  <r>
    <s v="Terrestrial"/>
    <s v="FRd2"/>
    <s v="Hantam Plateau Dolerite Renosterveld"/>
    <s v="Karoo Renosterveld Bioregion"/>
    <x v="4"/>
    <s v="T3"/>
    <s v="T3.2"/>
    <s v="Northern Cape Province: Plateau of the Hantamberg in the triangle between Sandkop, Downes and Driekuilspunt north of Calvinia as well as surrounding points such as Toringkop, Blomberg and to the south, Rebunieberg. "/>
    <s v="Northern Cape"/>
    <s v="Endemic to South Africa"/>
    <s v="South Africa"/>
    <s v="Plateau of tafelbergs "/>
    <s v="MAP 160–440 mm (mean: 250 mm), peaking slightly from May to August. Mean daily maximum and minimum temperatures 31.1°C and 1.4°C for February and July, respectively. Frost incidence 10–40 days per year. See also climate diagram for FRd 2 Hantam Plateau Dolerite Renosterveld (Figure 4.117)."/>
    <s v="Heavy, clayey soils and outcrops of intrusive dolerites (Jurassic Karoo Dolerite Suite) as well as (to a small extent) shales of the Ecca Group (Karoo Supergroup). Land type mainly Ib."/>
    <x v="180"/>
    <n v="565.64"/>
    <n v="565.32079999999996"/>
    <s v="NP"/>
    <x v="0"/>
    <x v="0"/>
    <s v="LC↔LC"/>
    <m/>
    <s v="Unchanged"/>
  </r>
  <r>
    <s v="Terrestrial"/>
    <s v="SVcb13"/>
    <s v="Loskop Mountain Bushveld"/>
    <s v="Central Bushveld Bioregion"/>
    <x v="1"/>
    <s v="T4"/>
    <s v="T4.2"/>
    <s v="Mpumalanga, Gauteng and Limpopo Provinces: Occurs on mountains in the vicinity of Loskop Dam extending southwestwards towards Bronkhorstspruit on mountains including the Gouwsberge and westwards to Rust de Winter on mountains including Ditlhabane"/>
    <s v="Mpumalanga, Limpopo, Gauteng"/>
    <s v="Endemic to South Africa"/>
    <s v="South Africa"/>
    <s v="Low mountains and ridges "/>
    <s v="Summer rainfall with very dry winters. Frost fairly infrequent. MAP about 600–750 mm. See also climate diagram for SVcb 13 Loskop Mountain Bushveld."/>
    <s v="Rhyolite of the Selons River Formation (Rooiberg Group, Transvaal Supergroup) and sandstone with subordinate conglomerate and minor shale of the Wilge River Formation (Mokolian Waterberg Group) are most abundant. The Rashoop Granophyre Suite and granite of the Lebowa Granite Suite, (both Bushveld Igneous Complex, Vaalian) are also represented, as are some mudrock, sandstone, conglomerate and volcanic rocks of the Loskop Formation (Vaalian Transvaal Supergroup). Rocky areas with miscellaneous soils ranging from sandy to sandy loams, sandy clays and some clays. Land type is mainly Ib."/>
    <x v="181"/>
    <n v="1929.95"/>
    <n v="1920.4380000000001"/>
    <s v="MP"/>
    <x v="0"/>
    <x v="0"/>
    <s v="LC↔LC"/>
    <m/>
    <s v="Unchanged"/>
  </r>
  <r>
    <s v="Terrestrial"/>
    <s v="SKr19"/>
    <s v="Aggeneys Gravel Vygieveld"/>
    <s v="Richtersveld Bioregion"/>
    <x v="3"/>
    <s v="T5"/>
    <s v="T5.2"/>
    <s v="Northern Cape Province: Plains at foothills or on peneplains of inselbergs in northern Bushmanland scattered between Pofadder and Aggeneys and further westwards to the edges of the Namaqualand granite hill ridges. "/>
    <s v="Northern Cape"/>
    <s v="Endemic to South Africa"/>
    <s v="South Africa"/>
    <s v="Flat or slightly sloping plains (appearing as distinctly white surface quartz layers against the background of red sand or reddish soil)"/>
    <s v="Overall climatic characters are largely identical (or very similar) to those listed for the topographically neighbouring SKr 18 Bushmanland Inselberg Shrubland. See also climate diagram for SKr 19 Aggeneys Gravel Vygieveld (Figure 5.12)."/>
    <s v="Gneiss of the Little Namaqualand and Hoogoor Suites, and quartzite of the Bushmanland and Geelvloer Groups dominate. The occurrence of these two broad geological groups is the primary determinant of the location of the different types of gravel patches usually found at the foothills or on peneplains associated with the base of inselbergs or low ridges amongst the gently undulating plains. In places rare feldspar patches occur, always associated with the pink gneiss of the Hoogoor Suite. Four types of gravel patches are encountered in the area: (1) fine-grained quartz patches with a uniform covering of small diameter (&lt;1 cm) quartz pebbles occur on the summits and foothills of some inselbergs (e.g. Gamsberg and Achab), (2) quartz gravel patches with more variable size-class distribution occurring more widely, but generally associated with the foothills of the quartzite inselbergs of the region, (3) feldspar gravel patches associated with open plains with underlying gneiss geology, and (4) calcrete gravel patches occurring on open plains, where the topsoil and dorbank of the colluvial soils have been eroded, exposing the underlying calcrete layer. The soils are very shallow, skeletal and loamy-sandy. Ag land type covers half of the area, followed by Ic and Af land types."/>
    <x v="182"/>
    <n v="368.5"/>
    <n v="367.79"/>
    <s v="WP"/>
    <x v="0"/>
    <x v="0"/>
    <s v="LC↔LC"/>
    <m/>
    <s v="Unchanged"/>
  </r>
  <r>
    <s v="Terrestrial"/>
    <s v="FRg2"/>
    <s v="Swartland Granite Renosterveld"/>
    <s v="West Coast Renosterveld Bioregion"/>
    <x v="4"/>
    <s v="T3"/>
    <s v="T3.2"/>
    <s v="Western Cape Province: Discrete areas in the Swartland and Boland: largest patch centred on Darling from Ratelberg in the north to Dassenberg near Mamre and Pella; several centred on Malmesbury from Darmstadt in the north to the lower slopes of the Perdeberg (and small patches to the west towards Atlantis); east of Wellington from Micha to Valencia, lower surrounds of Paarl Mountain; Joostenberg, Muldersvlei, Bottelaryberg, Papegaaiberg (Stellenbosch West), to Firgrove and northern Somerset West. "/>
    <s v="Western Cape"/>
    <s v="Endemic to South Africa"/>
    <s v="South Africa"/>
    <s v="Moderate foot slopes and undulating plains"/>
    <s v="MAP 360–790 mm (mean: 520 mm), peaking from May to August. Mists common in winter. This is the wettest renosterveld unit. Mean daily maximum and minimum temperatures 27.7°C and 6.7°C for February and July, respectively. Frost incidence about 3 days per year. See also climate diagram for FRg 2 Swartland Granite Renosterveld (Figure 4.117)."/>
    <s v="Coarse sandy to loamy soils of a variety of forms ranging from Glenrosa and Mispah, to prismacutanic and pedocutanic diagnostic horizons to red-yellow apedal soils—all derived from Cape Granite. The soils can contain a considerable volume of moisture in winter and spring. Land types mainly Fa, Ca, Db and Ac."/>
    <x v="183"/>
    <n v="160.61000000000001"/>
    <n v="153.88839999999999"/>
    <s v="NP"/>
    <x v="3"/>
    <x v="1"/>
    <s v="EN↔EN"/>
    <s v="A3_nat, A3_wc, A2b, B1i_rod, B1iii_sp"/>
    <s v="Unchanged"/>
  </r>
  <r>
    <s v="Terrestrial"/>
    <s v="SKr9"/>
    <s v="Tatasberg Mountain Succulent Shrubland"/>
    <s v="Richtersveld Bioregion"/>
    <x v="3"/>
    <s v="T5"/>
    <s v="T5.2"/>
    <s v="Northern Cape Province: Tatasberg—a prominent granitic inselberg massif north of the Springbokvlakte in the northeastern Richtersveld. The southern slope forms an important part of the vegetation unit. "/>
    <s v="Northern Cape"/>
    <s v="Namibia"/>
    <s v="South Africa"/>
    <s v="Huge granitic domes separated by fields of large boulders. "/>
    <s v="MAP estimated at 50–120 mm and appears to be less in the rainshadow of the Vandersterrberge than on the Rosyntjieberg. Due to the higher altitude, the Tatasberg catches more rainfall and less water evaporates, in strong contrast to the surrounding (mostly desert) areas. Rainfall seasonality has transitional features between winter and summer rainfall, and is poorly predictable. High temperatures in summer are common. Very few frost days per year. Fog does not play an important role."/>
    <s v="Acid and intermediate metavolcanics and metasediments of the Orange River Group (Mokolian) as well as granite and syenite of the Tatasberg Complex (Cambrian Kuboos, Bremen Suite). Soils are very shallow and only very patchy. Deeper and more developed soils are formed in cracks and crevices in places that receive larger amounts of rainfall runoff. Ic land type is dominant."/>
    <x v="184"/>
    <n v="3.27"/>
    <n v="3.2648000000000001"/>
    <s v="WP"/>
    <x v="0"/>
    <x v="0"/>
    <s v="LC↔LC"/>
    <m/>
    <s v="Unchanged"/>
  </r>
  <r>
    <s v="Terrestrial"/>
    <s v="Gd10"/>
    <s v="Drakensberg Afroalpine Heathland"/>
    <s v="Drakensberg Grassland Bioregion"/>
    <x v="0"/>
    <s v="T4"/>
    <s v="T4.5"/>
    <s v="Lesotho and very marginally also in KwaZulu-Natal Province: The highest plateaus and mountain ridges above an altitude of about 2 900 m in northeastern Lesotho. This includes the highest mountain in southern Africa (Thabana-Ntlenyana, 3 482 m). Further away from the edge of the Drakensberg Escarpment it is particularly extensive in the area of the Tlaeen Pass and Pass of Guns (between Mokhotlong and Oxbow) with good examples visible on the Kotisephola Pass (between Sani Pass top and Mokhotlong), Mafika-Lisiu Pass (between Lejone and Pitseng) and Matebeng Pass (between Sehlabathebe and Sehonghong). "/>
    <s v="KwaZulu-Natal"/>
    <s v="Endemic to ZA, Ls, Sz"/>
    <s v="South Africa"/>
    <s v="Rolling plateaus with steep slopes in places"/>
    <s v="Summer rainfall, but subject to some precipitation from cold fronts in winter. MAP has a considerable range, with 1 609 mm at the top of the Organ Pipes Pass on the Escarpment at 2 927 m elevation, and only 634 mm at a point 365 m higher at 3 292 m, but between 15 and 20 km away from the Escarpment edge (Killick 1979). There is thus a rapid decline in MAP from near (2–3 km) the edge of the Escarpment (but further in the Oxbow area) to the interior even at higher elevations (Bawden &amp; Carrol 1968, Chakela 1999). The mean annual temperature of about 4.0°C is lower than that of any of the other vegetation units. Frost occurs probably more than half the year, including occasionally in summer. Letseng-la-Terae, at an altitude of 3 000 m, holds the record for the lowest temperature ever recorded in Lesotho (–20.4°C in June 1967). See also climate diagram for Gd 10 Drakensberg Afroalpine Heathland (Figure 8.11)."/>
    <s v="The area occurs entirely on basalt of the Drakensberg Group (Karoo Supergroup). Soils are Mollisols indicating an Udic moisture regime and frigid temperature regime. Frost action is important in alpine soil formation (Mokuku 1991). The freezing and thawing of the soil heaves the soil material, resulting in gradual removal of finer soil particles downslope, mainly from the existing micro-erosion terraces. Soils derived from the basalt have fairly even proportions of coarse sand, fine sand, silt, clay and, importantly, organic matter (around 20%). In many areas the soil is shallow, with surface rock, including some areas with mostly rock rubble, for example on Thabana-Ntlenyana (Killick 1990)."/>
    <x v="185"/>
    <n v="2752.36"/>
    <n v="2753.5056"/>
    <s v="WP"/>
    <x v="0"/>
    <x v="0"/>
    <s v="LC↔LC"/>
    <m/>
    <s v="Unchanged"/>
  </r>
  <r>
    <s v="Terrestrial"/>
    <s v="FFt1"/>
    <s v="Kango Conglomerate Fynbos"/>
    <s v="Western Fynbos-Renosterveld Bioregion"/>
    <x v="4"/>
    <s v="T3"/>
    <s v="T3.2"/>
    <s v="Western Cape Province: Northern foothills of the Little Karoo basin, south of the Groot Swartberg, from Gamkapoort to Barandas. Usually at higher altitude than the adjacent FRl 1 Kango Limestone Renosterveld such as on the Andriesberg. "/>
    <s v="Western Cape"/>
    <s v="Endemic to South Africa"/>
    <s v="South Africa"/>
    <s v="High foothills, tending to have flat summits, but well dissected."/>
    <s v="MAP 230–730 mm (mean: 455 mm), relatively even, but with a peak in March and a low in December–January. Mean daily maximum and minimum temperatures 30.6°C and 3.1°C for January and July, respectively. Frost incidence 10–20 days per year. See also climate diagram for FFt 1 Kango Conglomerate Fynbos (Figure 4.83)."/>
    <s v="Shallow to deep, often yellow-red apedal soils derived chiefly from Cango sandstones, but also Buffelskloof conglomerate and dolerite intrusions. Land types mainly Ib."/>
    <x v="186"/>
    <n v="396.01"/>
    <n v="395.75080000000003"/>
    <s v="PP"/>
    <x v="0"/>
    <x v="0"/>
    <s v="LC↔LC"/>
    <m/>
    <s v="Unchanged"/>
  </r>
  <r>
    <s v="Terrestrial"/>
    <s v="FFs15"/>
    <s v="North Langeberg Sandstone Fynbos"/>
    <s v="Southern Fynbos Bioregion"/>
    <x v="4"/>
    <s v="T3"/>
    <s v="T3.2"/>
    <s v="Western Cape Province: Northern slopes of the Langeberg from the Keerom Mountains near Worcester in the west to Cloete’s Pass north of Albertinia in the east, and to the interior on the Waboomsberg and Warmwaterberg Mountains north of Montagu and Barrydale, respectively. Also includes Aasvoëlberg hills from Albertinia to Mossel Bay. "/>
    <s v="Western Cape"/>
    <s v="Endemic to South Africa"/>
    <s v="South Africa"/>
    <s v="Gentle to steep, north-facing slopes, not much dissected over much of the range. Surface is gently sloping foothills of Waboomsberg, Warmwaterberg and Aasvoëlberg. The Cedarberg Shale Band is prominent in the west, mainly as a smooth-sided valley, along which most of the hiking trails are orientated."/>
    <s v="MAP 250–1 200 mm (mean: 580 mm), peaking very slightly in winter and with a slight low from December to February. Mean daily maximum and minimum temperatures 26.5°C and 4.1°C for January and July, respectively. Frost incidence 3–20 days per year. See also climate diagram for FFs 15 North Langeberg Sandstone Fynbos (Figure 4.21)."/>
    <s v="Acidic lithosol soils derived from Ordovician sandstones of the Table Mountain Group (Cape Supergroup). Land types mainly Ic, Ib, Db and Fc."/>
    <x v="187"/>
    <n v="909.39"/>
    <n v="906.36440000000005"/>
    <s v="WP"/>
    <x v="0"/>
    <x v="0"/>
    <s v="LC↔LC"/>
    <m/>
    <s v="Unchanged"/>
  </r>
  <r>
    <s v="Terrestrial"/>
    <s v="FFs18"/>
    <s v="North Outeniqua Sandstone Fynbos"/>
    <s v="Eastern Fynbos-Renosterveld Bioregion"/>
    <x v="4"/>
    <s v="T3"/>
    <s v="T3.2"/>
    <s v="Western Cape Province: Northern slopes of the Outeniqua Mountains from the Cloetesberg northeast of Albertinia in the west to Vlug se Berg south of Uniondale in the east, and eastwards along the low range north of the N9 road. "/>
    <s v="Western Cape"/>
    <s v="Endemic to South Africa"/>
    <s v="South Africa"/>
    <s v="Gentle to steep north-facing slopes, with some intramontane valleys over a 135 km long area"/>
    <s v="MAP 240–950 mm (mean: 520 mm), evenly throughout the year. Mean daily maximum and minimum temperatures 29.2°C and 3.9°C for January and July, respectively. Frost incidence varies around 10 days per year. See also climate diagram for FFs 18 North Outeniqua Sandstone Fynbos (Figure 4.21)."/>
    <s v="Acidic lithosol soils (Glenrosa and Mispah forms prominent) derived from Ordovician sandstones of the Table Mountain Group (Cape Supergroup). Land types mainly Ib and Fc."/>
    <x v="188"/>
    <n v="734.52"/>
    <n v="732.37480000000005"/>
    <s v="PP"/>
    <x v="0"/>
    <x v="0"/>
    <s v="LC↔LC"/>
    <m/>
    <s v="Unchanged"/>
  </r>
  <r>
    <s v="Terrestrial"/>
    <s v="Gh4"/>
    <s v="Besemkaree Koppies Shrubland"/>
    <s v="Dry Highveld Grassland Bioregion"/>
    <x v="0"/>
    <s v="T4"/>
    <s v="T4.5"/>
    <s v="Northern Cape, Free State and Eastern Cape Provinces: On plains of Eastern Upper Karoo (between Richmond and Middelburg in the south and the Orange River) and within dry grasslands of the southern and central Free State. Extensive dolerite-dominated landscapes along the upper Orange River belong to this unit as well. Extends northwards to around Fauresmith in the northwest and to the Wepener District in the northeast. "/>
    <s v="Eastern Cape, Northern Cape, Free State"/>
    <s v="Endemic to South Africa"/>
    <s v="South Africa"/>
    <s v="Slopes of koppies, butts and tafelbergs"/>
    <s v="Due to the large extent of the area, the rainfall pattern differs slightly from west to east. Seasonal summer rainfall prevails when the patches are found embedded within other units of the Grassland Biome, but the southern and southwestern regions show hints of bimodal climate patterns typical of the Nama-Karoo. Far more importantly, despite an overall MAP of almost 400 mm, MAP ranges from about 280 mm in the west (De Aar) to more than double, 580 mm, in the east (Edenburg). Much of the rainfall is of convectional origin. MAT 15°C. See also climate diagram for Gh 4 Besemkaree Koppies Shrubland (Figure 8.23)."/>
    <s v="Dolerite koppies and sills embedded within Karoo Supergroup sediments. The dolerite dykes and sills are igneous intrusions that are the result of extensive volcanic activity, which accompanied the break-up of Gondwana in the Jurassic. In places the slopes of mesas and butts carrying this vegetation type have a mixed geology where dolerites occur together with sandstones and mudstones of the Ecca and Beaufort Groups. Fb land type covers almost 60% of the area, followed by Ib."/>
    <x v="189"/>
    <n v="9230.92"/>
    <n v="9249.1435999999994"/>
    <s v="PP"/>
    <x v="0"/>
    <x v="0"/>
    <s v="LC↔LC"/>
    <m/>
    <s v="Unchanged"/>
  </r>
  <r>
    <s v="Terrestrial"/>
    <s v="Dn5"/>
    <s v="Western Gariep Hills Desert"/>
    <s v="Southern Namib Desert Bioregion"/>
    <x v="2"/>
    <s v="T5"/>
    <s v="T5.5"/>
    <s v=" In the triangle between Sendelingsdrif, Kuboes and Sanddrif in the northern Richtersveld. It shares a border on the east with the Central Richtersveld Mountain Shrubland of the Succulent Karoo Biome. "/>
    <s v="Northern Cape"/>
    <s v="Namibia"/>
    <s v="South Africa"/>
    <s v="Very heterogeneous broken landscape, mostly hilly but including some smaller and larger plains. "/>
    <s v="Predominantly winter rainfall with MAP from about 45–60 mm. High summer maximum temperatures up to 50°C. Frost absent. Fog less frequent than at coast but still estimated to be 40–50 fog days per year, becoming less frequent further up the course of the Orange River."/>
    <s v="Metasediments of the Gariep Supergroup dominate this area. They include quartzite, limestone, dolomite, diamictite and schist which occur in a structurally complex succession, making up the Port Nolloth Group (Namibian). Mispah and Glenrosa soils dominate, with lime generally present in the entire landscape. The dominant land type is Fc."/>
    <x v="190"/>
    <n v="385.88"/>
    <n v="384.428"/>
    <s v="PP"/>
    <x v="0"/>
    <x v="0"/>
    <s v="LC↔LC"/>
    <m/>
    <s v="Unchanged"/>
  </r>
  <r>
    <s v="Terrestrial"/>
    <s v="Gs7"/>
    <s v="Income Sandy Grassland"/>
    <s v="Sub-Escarpment Grassland Bioregion"/>
    <x v="0"/>
    <s v="T4"/>
    <s v="T4.5"/>
    <s v="KwaZulu-Natal Province: In a large triangle between Newcastle, Vryheid and Dundee and larger polygon in the Wasbank area in northern KwaZulu-Natal. "/>
    <s v="KwaZulu-Natal"/>
    <s v="Endemic to South Africa"/>
    <s v="South Africa"/>
    <s v="Very flat extensive areas with generally shallow, poorly drained, sandy soils"/>
    <s v="Region of summer rainfall, with most precipitation occurring between October and March (overall MAP 750 mm; range 650–800 mm), much of which falls as thundershowers often accompanied by hail. MAT is just below 17°C, and mean annual evaporation 1 845 mm. Frost moderate (Camp 1999c). See also climate diagram for Gs 7 Income Sandy Grassland (Figure 8.61)."/>
    <s v="Sandstones and shale of the Madzaringwe Formation (Ecca Group of Karoo Supergroup) supporting poorly drained sandy soils, mostly of the Glenrosa form. Most important land types Ca, Bb and Fb."/>
    <x v="191"/>
    <n v="2287.1999999999998"/>
    <n v="2366.6648"/>
    <s v="NP"/>
    <x v="3"/>
    <x v="1"/>
    <s v="EN↔EN"/>
    <s v="B1i_rod"/>
    <s v="Unchanged"/>
  </r>
  <r>
    <s v="Terrestrial"/>
    <s v="Dn3"/>
    <s v="Western Gariep Plains Desert"/>
    <s v="Southern Namib Desert Bioregion"/>
    <x v="2"/>
    <s v="T5"/>
    <s v="T5.5"/>
    <s v="On the plains from east of Alexander Bay and south of Grootderm, extending about 15 km to the east and south. The unit borders on Succulent Karoo to the south. "/>
    <s v="Northern Cape"/>
    <s v="Namibia"/>
    <s v="South Africa"/>
    <s v="The landscape is dominated by plains, although slightly undulating hills and rocky outcrops do occur in places."/>
    <s v="MAP 45–55 mm and rainfall erratic, but predominantly in winter. High frequency of fog. Extreme wind speeds and sand-blasting from a southern direction and high frequency of sand storms which usually peak in the afternoon. No occurrence of frost. See other similar climate features under Dn 1 Alexander Bay Coastal Duneveld as well as Figure 6.2."/>
    <s v="Underlying rocks are mainly metasediments and metavolcanics of the Gariep Supergroup (Late Proterozoicum). Quartz-feldspar gneiss, schist, subordinate amphibolite and minor ultramafic rocks are all largely covered by young superficial deposits. Quaternary sediments have developed gypscretes in places, often with high salinity. Generally shallow wind-swept soils with desert pavement are caused by very strong movements of wind-blown sand over the soil surface. Land types Ai and Ia."/>
    <x v="192"/>
    <n v="123.99"/>
    <n v="122.6204"/>
    <s v="PP"/>
    <x v="0"/>
    <x v="0"/>
    <s v="LC↔LC"/>
    <m/>
    <s v="Unchanged"/>
  </r>
  <r>
    <s v="Terrestrial"/>
    <s v="FFq2"/>
    <s v="Swartruggens Quartzite Fynbos"/>
    <s v="Northwest Fynbos Bioregion"/>
    <x v="4"/>
    <s v="T3"/>
    <s v="T3.2"/>
    <s v="Western and Northern Cape Provinces: West of the Cederberg from the Tra-Traberge north of Wuppertal, interrupted by the Tra-Tra River Valley, continuing on the high plateau including the Vaalheuningberge, Matjiesrivier, Klipbokberg, Rietriviersberg, eastern Blinkberg, continuing on the Swartruggens Plateau, Vleieberg, Watervalsberg, Baviaansberg and Kwarrieberg at Karoopoort in the south. "/>
    <s v="Northern Cape, Western Cape"/>
    <s v="Endemic to South Africa"/>
    <s v="South Africa"/>
    <s v="Mountains alternating with broad ridges and plains"/>
    <s v="Subarid, winter-rainfall regime with MAP 200–620 mm (mean: 330 mm), peaking from May to August. Mean daily maximum and minimum temperatures 27.9°C and 2.7°C for February and July, respectively. Frost incidence 10–20 days per year. See also climate diagram for FFq 2 Swartruggens Quartzite Fynbos (Figure 4.51)."/>
    <s v="Sandy and skeletal soils (usually of Glenrosa or Mispah forms) derived from Witteberg Group quartzite. Land types mainly Ib and Fa."/>
    <x v="193"/>
    <n v="1618.55"/>
    <n v="1617.4264000000001"/>
    <s v="MP"/>
    <x v="0"/>
    <x v="0"/>
    <s v="LC↔LC"/>
    <m/>
    <s v="Unchanged"/>
  </r>
  <r>
    <s v="Terrestrial"/>
    <s v="SVmp2"/>
    <s v="Limpopo Ridge Bushveld"/>
    <s v="Mopane Bioregion"/>
    <x v="1"/>
    <s v="T4"/>
    <s v="T4.2"/>
    <s v="Limpopo Province: On hills and ridges, such as Madiapala in the lower Mogalakwena River basin in the west through a cluster of hills in the Pontdrif area including Poortjieberg and Tsolwe, eastwards including Mapungubwe Mountain in the Mapungubwe National Park through to the hills and ridges in the vicinity of the Limpopo River further downstream (for example Ha-Tshansi at Musina, Ha-Dowe and Maremani). Also including hills and ridges well away from the river north of the Soutpansberg and generally east of the Sand River (e.g. Tshitangai, Bloukop and Ha-Manenzhe) through to some rugged areas in the far northern Kruger National Park. "/>
    <s v="Limpopo"/>
    <s v="Botswana, Zimbabwe, Mozambique"/>
    <s v="South Africa"/>
    <s v="Extremely irregular plains with ridges and hills. "/>
    <s v="Summer rainfall with very dry winters including the shoulder months of May and September. MAP about 300–400 mm. Generally a frost-free area. See also climate diagram for SVmp 2 Limpopo Ridge Bushveld."/>
    <s v="Mostly rocks of the Beit Bridge Complex (Swazian Erathem) as well as sediments (including sandstones of the Clarens Formation) and basalt (particularly in the east) of the Karoo Supergroup. Shallow gravel and sand (Glenrosa and Mispah soil forms) to calcareous clayey soil. Land types mainly Fc, Fb and Ib."/>
    <x v="194"/>
    <n v="2696.4"/>
    <n v="2718.2096000000001"/>
    <s v="WP"/>
    <x v="0"/>
    <x v="0"/>
    <s v="LC↔LC"/>
    <m/>
    <s v="Unchanged"/>
  </r>
  <r>
    <s v="Terrestrial"/>
    <s v="SKs7"/>
    <s v="Namaqualand Strandveld"/>
    <s v="Namaqualand Sandveld Bioregion"/>
    <x v="3"/>
    <s v="MT2"/>
    <s v="MT2.1"/>
    <s v="Northern and Western Cape Provinces: Namaqualand Sandveld—from Gemboksvlei (at southern foothills of the Vyftienmyl se Berge in southern Richtersveld as far south as Donkins Bay (south of Doringbaai). Especially in the northern region (plains north and south of Buffels River) this unit penetrates deeply inland (40 km in places). Most of the area is situated deep inland (isolated from the coast by a belt of SKs 8 Namaqualand Coastal Duneveld) and approaching the coast only near the river mouths of the Buffels River, Swartlintjies River, Spoeg River, Bitter River and Groen River. South of Abraham Villiersbaai (south of Groen River mouth) Namaqualand Strandveld descends to the coast and continues as an unequally broad band as far south as Donkins Bay (north of Lamberts Bay). In the south it also reaches deeply inland along the Groen and Swartdoorn Rivers as well as along the lower stretches of the Olifants River. "/>
    <s v="Northern Cape, Western Cape"/>
    <s v="Endemic to South Africa"/>
    <s v="South Africa"/>
    <s v="Flat to slightly undulating landscape of coastal peneplain. "/>
    <s v="Arid, winter-rainfall area with MAP of 112 mm. Almost all the rainfall occurs from May to August and almost always no rainfall in December and February. Frost is a rare event. Lowest temperatures in winter are 8–10ºC and the highest temperatures in the summer just below 30ºC. See also climate diagram for SKs 7 Namaqualand Strandveld (Figure 5.39)."/>
    <s v="Quaternary stabilised aeolian, deep, red or yellowish red, stable dunes and deep sand overlying marine sediments and granite gneisses. Sometimes weakly defined scattered heuweltjies are found further away from the sea. Unstable white sand dune plumes originate from the river mouths and extend north- and northeastwards up to 25 km inland. Dunes become slightly more stable north of Kleinzee. The area is a combination of Ah, Ae, Af, Ai and Ag land types."/>
    <x v="195"/>
    <n v="2550.85"/>
    <n v="2540.1404000000002"/>
    <s v="PP"/>
    <x v="0"/>
    <x v="0"/>
    <s v="LC↔LC"/>
    <m/>
    <s v="Unchanged"/>
  </r>
  <r>
    <s v="Terrestrial"/>
    <s v="FFb1"/>
    <s v="Northern Inland Shale Band Vegetation"/>
    <s v="Northwest Fynbos Bioregion"/>
    <x v="4"/>
    <s v="T3"/>
    <s v="T3.2"/>
    <s v="Western Cape Province: Narrow shale band from Mount Synnott near the Pakhuis Pass in the Cederberg, to the Skurweberg, Koue Bokkeveld, Groot Winterhoek, Hex River and Keeroms Mountains. Small portions of this shale band unit are found at Piketberg and Breëvlei north of Het Kruis.  See also Figure 4.78 featuring the simplified distribution of this unit."/>
    <s v="Western Cape"/>
    <s v="Endemic to South Africa"/>
    <s v="South Africa"/>
    <s v="A narrow 80–200 m linear feature, smooth and flat in profile compared to surrounding areas and thus favoured for paths and roads. The dominant landscape of the Cederberg (the long, linear plateaus) is often associated with the shale bands."/>
    <s v="MAP 250–1 360 mm (mean: 590 mm), peaking from May to August. Mean daily maximum and minimum temperatures 27.2°C and 3.4°C for February and July, respectively. Frost incidence 10–30 days per year. See also climate diagram for FFb 1 Northern Inland Shale Band Vegetation (Figure 4.77)."/>
    <s v="Clays derived from shales of the Cedarberg Formation. Land types mainly Ic and Ib."/>
    <x v="196"/>
    <n v="258.95"/>
    <n v="258.22160000000002"/>
    <s v="WP"/>
    <x v="0"/>
    <x v="0"/>
    <s v="LC↔LC"/>
    <m/>
    <s v="Unchanged"/>
  </r>
  <r>
    <s v="Terrestrial"/>
    <s v="AZi8"/>
    <s v="Muscadel Riviere"/>
    <s v="Inland Saline Vegetation"/>
    <x v="5"/>
    <s v="T5"/>
    <s v="T5.2"/>
    <s v="Western Cape Province: River alluvia of the lower Breede River (between Worcester and Bonnievale) as well as those embedded within the western Little Karoo (Montagu area) and eastern Little Karoo (the rivers draining the basin around Oudtshoorn). "/>
    <s v="Western Cape"/>
    <s v="Endemic to South Africa"/>
    <s v="South Africa"/>
    <s v="Flat, in places very broad alluvia"/>
    <s v="The regional climate diagram for this unit suggests almost evenly spread precipitation. However, winter rainfall prevails in the western part of the region and becomes nonseasonal towards the eastern limits of the distribution of this vegetation type (eastern Little Karoo). MAP is low (210 mm; range 220 mm in the rainshadow of the Langeberg to 368 mm in the Breede River Valley) due to the rainshadow effect from the surrounding mountain ranges of the Cape Fold Belt. The region is characterised by relatively high MAT (17.9°C; range 16.0°C in Breede River Valley to 17.2°C near Willowmore) and particularly hot summers (with temperatures reaching above 40°C (especially in Worcester). See also climate diagram for AZi 8 Muscadel Riviere (Figure 13.2)."/>
    <s v="Recent sandy and clayey alluvial (riverine) sediments mostly derived from the clastic sediments of the Jurassic-Cretaceous Uitenhage Group supporting soils typical of Ia land type. These alluvial habitats frequently suffer from devastating floods occurring especially with the first cold western frontal systems bringing torrential rain to the Cape (such as recently in 1981, 2002, 2004 and 2005)."/>
    <x v="197"/>
    <n v="149.18"/>
    <n v="143.7456"/>
    <s v="NP"/>
    <x v="3"/>
    <x v="1"/>
    <s v="EN↔EN"/>
    <s v="B1i_rod"/>
    <s v="Unchanged"/>
  </r>
  <r>
    <s v="Terrestrial"/>
    <s v="NKb6"/>
    <s v="Bushmanland Basin Shrubland"/>
    <s v="Bushmanland Bioregion"/>
    <x v="6"/>
    <s v="T5"/>
    <s v="T5.1"/>
    <s v="Northern Cape Province: Large Bushmanland Basin centred on Brandvlei and Van Wyksvlei area, spanning Granaatboskolk in the west to Copperton in the east, and Kenhardt vicinity in the north to Williston vicinity in the south. "/>
    <s v="Northern Cape"/>
    <s v="Endemic to South Africa"/>
    <s v="South Africa"/>
    <s v="Slightly irregular plains "/>
    <s v="Rainfall occurs in late summer and early autumn. MAP ranges from about 100–200 mm. Mean maximum and minimum monthly temperatures in Brandvlei are 39.6°C and –2.2°C for January and July, respectively. Corresponding values for Van Wyksvlei are 39.5°C and –4.6°C. See also climate diagram for NKb 6 Bushmanland Basin Shrubland (Figure 7.2)."/>
    <s v="Mudstones and shales of Ecca Group (Prince Albert and Volksrust Formations) and Dwyka tillites, both of early Karoo age, dominate. About 20% of rock outcrop is formed by Jurassic intrusive dolerite sheets and dykes. Soils are shallow Glenrosa and Mispah forms, with lime generally present in the entire landscape (Fc land type) and, to a lesser extent, red-yellow apedal, freely drained soils with a high base status and usually &lt;15% clay (Ah and Ai land types) are also found. The salt content in these soils is very high."/>
    <x v="198"/>
    <n v="41006.53"/>
    <n v="40910.031999999999"/>
    <s v="PP"/>
    <x v="0"/>
    <x v="0"/>
    <s v="LC↔LC"/>
    <m/>
    <s v="Unchanged"/>
  </r>
  <r>
    <s v="Terrestrial"/>
    <s v="FFd9"/>
    <s v="Albertinia Sand Fynbos"/>
    <s v="South Coast Fynbos Bioregion"/>
    <x v="4"/>
    <s v="T3"/>
    <s v="T3.2"/>
    <s v="Western Cape Province: Generally longitudinally east-west-trending patches on the coastal plain from Potberg in the west to the Gouritz River in the east. Also found from Kleinberg to west of Mossel Bay, with isolated unmapped outliers near Groot Brak River and between Potberg and De Hoop Vlei. The patches of this vegetation unit almost always border a limestone fynbos type. When enclosed by limestone, it is often found in depressions which can be extensive, for example the Wankoe south of Riversdale and Canca se Leegte south of Albertinia. "/>
    <s v="Western Cape"/>
    <s v="Endemic to South Africa"/>
    <s v="South Africa"/>
    <s v="Plains and undulating hills with numerous dune slacks—forming the most extensive area of sand fynbos within the limestone fynbos area and occupying most of the depressions, valleys and lower slopes."/>
    <s v="MAP 230–620 mm (mean: 430 mm), with no clear peak and a slight low in December–January. Mean daily maximum and minimum temperatures 25.5°C and 6.4°C for January–February and July, respectively. Frost incidence about 3 days per year. See also climate diagram for FFd 9 Albertinia Sand Fynbos (Figure 4.57)."/>
    <s v="Deep neutral to acid, usually red, Tertiary sands associated with limestone of Bredasdorp Formation, but also acid sands derived from alluvial deposits from the Gouritz River. Acid Tertiary sands, usually grey, from Potberg and Aasvogelberg are locally prominent. Land types mainly Fc, Hb and Db."/>
    <x v="199"/>
    <n v="266.77"/>
    <n v="264.29599999999999"/>
    <s v="PP"/>
    <x v="3"/>
    <x v="1"/>
    <s v="EN↔EN"/>
    <s v="B1iii_sp"/>
    <s v="Unchanged"/>
  </r>
  <r>
    <s v="Terrestrial"/>
    <s v="FFs12"/>
    <s v="Overberg Sandstone Fynbos"/>
    <s v="Southwest Fynbos Bioregion"/>
    <x v="4"/>
    <s v="T3"/>
    <s v="T3.2"/>
    <s v="Western Cape Province: Spread irregularly from Bot River and Hawston in the northwest to the Soetanysberg and Bredasdorp in the southeast, including the Caledon Swartberg, Babilonstoring, Kleinrivier and Bredasdorp Mountains and Agulhas hills such as Franskraal se Berge and Buffeljachtsberg. "/>
    <s v="Western Cape"/>
    <s v="Endemic to South Africa"/>
    <s v="South Africa"/>
    <s v="Low mountains, undulating hills and moderately undulating plains "/>
    <s v="MAP 450–830 mm (mean: 585 mm), peaking May to August. Southeasterly cloud brings mist precipitation to eastern and southern slopes at higher altitudes in summer. Mean daily maximum and minimum temperatures 25.6°C and 6.3°C for January and July, respectively. Frost incidence 2 or 3 days per year. See also climate diagram for FFs 12 Overberg Sandstone Fynbos (Figure 4.21)."/>
    <s v="Acidic lithosol soils derived from Ordovician sandstones of the Table Mountain Group (Cape Supergroup), Houwhoek, Glenrosa and Mispah forms prominent. Land types mainly Ib and Gb."/>
    <x v="200"/>
    <n v="1054.17"/>
    <n v="1049.8504"/>
    <s v="PP"/>
    <x v="3"/>
    <x v="1"/>
    <s v="EN↔EN"/>
    <s v="B1iii_sp"/>
    <s v="Unchanged"/>
  </r>
  <r>
    <s v="Terrestrial"/>
    <s v="Dg7"/>
    <s v="Northern Nababiepsberge Mountain Desert"/>
    <s v="Gariep Desert Bioregion"/>
    <x v="2"/>
    <s v="T5"/>
    <s v="T5.5"/>
    <s v="A large plateau of black limestone, south of the Orange River, west of Vioolsdrif, east of Helskloof with a southern boundary 15–20 km south of the river. "/>
    <s v="Northern Cape"/>
    <s v="Namibia"/>
    <s v="South Africa"/>
    <s v="Very rocky plateau interrupted by deep gorges"/>
    <s v="MAP about 45–70 mm with rainfall peak in late summer and early autumn. High summer maximum temperatures often higher than 40°C, occasionally reaching 50°C. Frost is very rare, but occurs at high altitudes. See also Figure 6.2."/>
    <s v="Mainly shale, quartzite and limestone of the Schwarzrand Subgroup with a small area underlain by the quartzite of the Kuibis Subgroup (both Nama Group, Namibian Erathem). Very rocky with no soils to little and extremely shallow soils. Land type Ic."/>
    <x v="201"/>
    <n v="244.53"/>
    <n v="244.05680000000001"/>
    <s v="NP"/>
    <x v="0"/>
    <x v="0"/>
    <s v="LC↔LC"/>
    <m/>
    <s v="Unchanged"/>
  </r>
  <r>
    <s v="Terrestrial"/>
    <s v="FFd11"/>
    <s v="Southern Cape Dune Fynbos"/>
    <s v="South Strandveld Bioregion"/>
    <x v="4"/>
    <s v="T3"/>
    <s v="T3.2"/>
    <s v="Western and Eastern Cape Provinces: Two large mapped patches on the Indian Ocean Coast span the Wilderness Estuary and Buffels Bay near Knysna (Western Cape), and Tsitsikamma River mouth to Oyster Bay (Eastern Cape). Smaller cordons occur further east between Oyster and St Francis Bays. A series of smaller unmapped patches occur as far west as Mossel Bay and eastwards to near East London. "/>
    <s v="Eastern Cape, Western Cape"/>
    <s v="Endemic to South Africa"/>
    <s v="South Africa"/>
    <s v="Coastal dune cordons (those towering above the Groenvlei near Sedgefield considered the tallest vegetated dunes in southern Africa) often with steep slopes. "/>
    <s v="MAP 600–900 mm (mean: 757 mm), with a slight peak in autumn and spring. Mean daily maximum and minimum temperatures 25.3°C and 8.0°C for February and July, respectively. Frost is a rare phenomenon due to the strong marine influence of the ocean. See also climate diagram for FFd 11 Southern Cape Dune Fynbos (Figure 4.57)."/>
    <s v="Stabilised old calcareous or neutral dunes (some as old as 120 000 years) outside the influence of salt spray built of deep sands, moving in places. Soils of Lamotte form, main land types Hb and Ga."/>
    <x v="202"/>
    <n v="64.959999999999994"/>
    <n v="60.029200000000003"/>
    <s v="PP"/>
    <x v="0"/>
    <x v="2"/>
    <s v="LC → CR"/>
    <s v="B1i_inv"/>
    <s v="Uplisted"/>
  </r>
  <r>
    <s v="Terrestrial"/>
    <s v="SKv4"/>
    <s v="Tanqua Escarpment Shrubland"/>
    <s v="Rainshadow Valley Karoo Bioregion"/>
    <x v="3"/>
    <s v="T5"/>
    <s v="T5.2"/>
    <s v="Western Cape Province: Narrow belt on northwest-facing slopes of the Klein-Roggeveldberge and on southwest-facing and west-facing slopes of the Roggeveld Escarpment as far north as (and west of) Bloukrans Pass (south of Calvinia). "/>
    <s v="Western Cape"/>
    <s v="Endemic to South Africa"/>
    <s v="South Africa"/>
    <s v="Steep flanks below an escarpment overlooking a basin, generally facing southwest"/>
    <s v="Less pronounced winter-rainfall regime with most of the rainfall spread between March and August (peaking from June to August). MAT is almost 16°C and the incidence of frost is relatively high (30 days). See also climate diagram for SKv 4 Tanqua Escarpment Shrubland (Figure 5.65)."/>
    <s v="Mudrocks of the Adelaide Subgroup (Beaufort Group) and Permian Volksrust Formation (Ecca Group) as well as brown to grey shale, siltstone and sandstone of the Permian Waterford Formation (also Ecca Group), broken by network of intrusive Jurassic Karoo dolerites. The shallow soils form the basis for the classification of most of the area into Ib land type (with Dc land type being of lesser importance)."/>
    <x v="203"/>
    <n v="1314.58"/>
    <n v="1313.5608"/>
    <s v="MP"/>
    <x v="0"/>
    <x v="0"/>
    <s v="LC↔LC"/>
    <m/>
    <s v="Unchanged"/>
  </r>
  <r>
    <s v="Terrestrial"/>
    <s v="SKv5"/>
    <s v="Tanqua Karoo"/>
    <s v="Rainshadow Valley Karoo Bioregion"/>
    <x v="3"/>
    <s v="T5"/>
    <s v="T5.2"/>
    <s v="Western and Northern Cape Provinces: Basin encompassing valleys of Tanqua and Doring Rivers located between Cederberg (Swartruggens) in the west, the Roggeveld Escarpment in the east and Klein Roggeveld Mountains in the southeast; towards the north this unit borders on higher elevated plains of the Hantam Karoo. "/>
    <s v="Northern Cape, Western Cape"/>
    <s v="Endemic to South Africa"/>
    <s v="South Africa"/>
    <s v="Slightly undulating intra-mountain basin sheltered by steep slopes of mountain ranges. The plain is interrupted by a series of solitary dolerite butts and elevated ridges, extensive, flat sheet-washes and deeper incised channels of intermittent rivers "/>
    <s v="Winter-rainfall regime: most of the precipitation falls between May and August, while December and January are virtually precipitation-free. The region has high spatial variability of precipitation, with some rainshadows experiencing as little as 40 mm of rainfall per year (in extremely dry years). MAP varies from a low of 72 mm in the central part of the unit (Elandsvlei on the Tanqua River, 41 years of records) to 112 mm in the north of the unit (Reenen on the Wolf River, 79 years) and to 111 mm in the south of the unit (Spes Bona on the Doring River, 29 years). MAT is slightly above 17°C, but in winter the temperature can often fall below the frost mark (15 days in a year). Mean maximum and minimum monthly temperatures of 35.9°C and 5.64°C occur in January and July, respectively. See also climate diagram for SKv 5 Tanqua Karoo (Figure 5.65)."/>
    <s v="Permian Volksrust Formation mudrocks of the Ecca Group, Carboniferous Dwyka Group diamictites and Ceres Subgroup sandstones (Bokkeveld Group) predominate. Intrusive Jurassic Karoo dolerite dykes occur in the northwest. Sandy-loamy soils of various depths. Quartz patches are a rare phenomenon concentrated in the southern portions of the Tanqua Basin. Fc is the dominant land type, with Ag land type playing subordinate role."/>
    <x v="204"/>
    <n v="6935.52"/>
    <n v="6923.9264000000003"/>
    <s v="MP"/>
    <x v="0"/>
    <x v="0"/>
    <s v="LC↔LC"/>
    <m/>
    <s v="Unchanged"/>
  </r>
  <r>
    <s v="Terrestrial"/>
    <s v="SKn1"/>
    <s v="Namaqualand Klipkoppe Shrubland"/>
    <s v="Namaqualand Hardeveld Bioregion"/>
    <x v="3"/>
    <s v="T5"/>
    <s v="T5.2"/>
    <s v="Northern and Western Cape Provinces: Central and north-central regions of Namaqualand spanning Steinkopf in the north and Nuwerus in the south."/>
    <s v="Northern Cape, Western Cape"/>
    <s v="Endemic to South Africa"/>
    <s v="South Africa"/>
    <s v="Dramatic landscape of huge granite and gneiss domes, smooth glacis and disintegrating boulder koppies"/>
    <s v="Seasonal winter rainfall (May to September). MAP about 160 mm, with epizodic drought periods (well below 100 mm per year) of one or two years in succession. Dew is present throughout the winter. MAT 16.6°C. Hot summers, with mean maximum and minimum daily temperatures 30°C and 5°C for January and July, respectively. Frost occurs about 8 days per year, but can vary widely from year to year. See also climate diagram for SKn 1 Namaqualand Klipkoppe Shrubland (Figure 5.29)."/>
    <s v="A number of Mokolian granites and gneisses (most widespread is the Kamieskroon Gneiss) form gentle to moderate rocky slopes, rock sizes varying from medium to large with flat to gentle rock sheets as well as rock domes, yellow-brown to brown loamy sand, 0.15–0.6 m deep. Ag and Ib land types (35% each), followed by Fb and Fc (10% each)."/>
    <x v="205"/>
    <n v="7350.08"/>
    <n v="7342.0847999999996"/>
    <s v="PP"/>
    <x v="0"/>
    <x v="0"/>
    <s v="LC↔LC"/>
    <m/>
    <s v="Unchanged"/>
  </r>
  <r>
    <s v="Terrestrial"/>
    <s v="SVcb25"/>
    <s v="Poung Dolomite Mountain Bushveld"/>
    <s v="Central Bushveld Bioregion"/>
    <x v="1"/>
    <s v="T4"/>
    <s v="T4.2"/>
    <s v="Limpopo and Mpumalanga Provinces: Mountain slopes from the area of the Abel Erasmus Pass in the south, more or less continuously northwards along the western rainshadow side of the escarpment, including Poung Mountain near Penge becoming discontinuous towards the Wolkberg and westwards along the Strydpoort Mountains to Chuniespoort and Mokopane. "/>
    <s v="Mpumalanga, Limpopo"/>
    <s v="Endemic to South Africa"/>
    <s v="South Africa"/>
    <s v="Low to high mountain slopes. Various slope angles, aspects and altitude, especially along the western extension."/>
    <s v="Summer rainfall with dry winters. MAP about 500–900 mm, lowest in the escarpment rainshadow and peaking near the border, with grassland at higher altitudes on the escarpment, lower on the Strydpoort Mountain part of this unit than on the escarpment. Mist absent and frost infrequent. See also climate diagram for SVcb 25 Poung Dolomite Mountain Bushveld."/>
    <s v="Geology almost entirely Malmani Formation dolomite of the Transvaal Supergroup with chert always interlayered. Soils with high pH, rich in calcium and magnesium, and with low levels of phosphorus. Soils are usually shallow (Mispah soil form) and occasionally deep (Hutton and Griffin soil forms). Land types mainly Ib and Fa."/>
    <x v="206"/>
    <n v="828.92"/>
    <n v="823.99199999999996"/>
    <s v="MP"/>
    <x v="0"/>
    <x v="0"/>
    <s v="LC↔LC"/>
    <m/>
    <s v="Unchanged"/>
  </r>
  <r>
    <s v="Terrestrial"/>
    <s v="FOz6"/>
    <s v="Southern Coastal Forest"/>
    <s v="Zonal &amp; Intrazonal Forests"/>
    <x v="8"/>
    <s v="T1"/>
    <s v="T1.2"/>
    <s v="Eastern Cape and Western Cape Provinces: Coastal plains between Alexandria and Van Stadens River canyon (west of Port Elizabeth) and on coastal dunes of the Eastern Cape. Also found at low altitudes (close to the sea) in deeply incised river valleys in the Albany District surrounded by subtropical succulent thickets. The westernmost forest type of this group is the Western Cape Milkwood Forest found as an interrupted belt of patches stretching along the southern seaboard between Nature’s Valley (Plettenberg Bay) and Llandudno (Cape Town). "/>
    <s v="Eastern Cape, Western Cape"/>
    <s v="Endemic to South Africa"/>
    <s v="South Africa"/>
    <m/>
    <s v=""/>
    <s v="Well-drained sandy soils of coastal (dune) origin over sedimentary rocks of Alexandria and Nanaga Formations of the Algoa Group. Loamy skeletal soils are supported by the Bokkeveld Group sediments, while deep, nutrient-rich sandy soils over aeolinite or limestone of Bredasdorp Group. The patches situated deeper inland (such as those in Albany region) are found at colluvial valley-bottom sediments derived from Karoo Supergroup shales."/>
    <x v="207"/>
    <n v="151.22999999999999"/>
    <n v="150.86879999999999"/>
    <s v="WP"/>
    <x v="0"/>
    <x v="0"/>
    <s v="LC↔LC"/>
    <m/>
    <s v="Unchanged"/>
  </r>
  <r>
    <s v="Terrestrial"/>
    <s v="FOz1"/>
    <s v="Southern Afrotemperate Forest"/>
    <s v="Zonal &amp; Intrazonal Forests"/>
    <x v="8"/>
    <s v="T2"/>
    <s v="T2.4"/>
    <s v="Western Cape, Eastern Cape and also (only few patches) in Northern Cape Provinces: The largest complex is found in the southern Cape along the narrow coastal strip (250 km long) between Humansdorp in the east and Mossel Bay (Knysna-Tsitsikamma forest region)—here occurring on sheltered seaward slopes, plateaux and coastal scarps. The easternmost outlier forest patches occur near Port Elizabeth, while westwards ?oristically impoverished forms of these forests occur along the feet of south- and east-facing slopes and in deep kloofs and ravines of the Cape Fold Belt mountains as far as the Cape Peninsula in the west. The northernmost localities are near Vanrhynsdorp Pass and in the Matsikamma Mountains. "/>
    <s v="Eastern Cape, Northern Cape, Western Cape"/>
    <s v="Endemic to South Africa"/>
    <s v="South Africa"/>
    <s v="forests "/>
    <s v=""/>
    <s v="Soils varying from shallow (and skeletal) Mispah, Glenrosa and Houwhoek forms to sandy humic Fernwood form, derived from Table Mountain Group sandstones and shales of the Cape Supergroup and partly also from Cape Granite."/>
    <x v="208"/>
    <n v="619.88"/>
    <n v="632.26120000000003"/>
    <s v="WP"/>
    <x v="0"/>
    <x v="0"/>
    <s v="LC↔LC"/>
    <m/>
    <s v="Unchanged"/>
  </r>
  <r>
    <s v="Terrestrial"/>
    <s v="SVcb2"/>
    <s v="Madikwe Dolomite Bushveld"/>
    <s v="Central Bushveld Bioregion"/>
    <x v="1"/>
    <s v="T4"/>
    <s v="T4.1"/>
    <s v="North-West and Limpopo Provinces: Extends along the low ridge from the international border at Ramotswa in the west via the Rand Van Tweede Poort, Tlhapitse and Maakane to Modimong in the east. It is also found on dolomite hills between Assen and Northam. "/>
    <s v="Limpopo, North West"/>
    <s v="Botswana"/>
    <s v="South Africa"/>
    <s v="Gentle ridges and low hills up to about 100–150 m above the surrounding plains."/>
    <s v="Summer rainfall with very dry winters. MAP from about 520 mm in the west to 650 mm in the east. Frost fairly frequent in winter. See also climate diagram for SVcb 2 Madikwe Dolomite Bushveld."/>
    <s v="Stony, shallow soils of the Glenrosa and Mispah forms underlain mainly by dolomite, subordinate chert, minor carbonaceous shale, limestone and quartzite of the Malmani Subgroup (Chuniespoort Group, Transvaal Supergroup, Vaalian Erathem). Land type is mainly Fa."/>
    <x v="209"/>
    <n v="949.58"/>
    <n v="1075.8563999999999"/>
    <s v="WP"/>
    <x v="0"/>
    <x v="0"/>
    <s v="LC↔LC"/>
    <m/>
    <s v="Unchanged"/>
  </r>
  <r>
    <s v="Terrestrial"/>
    <s v="SVl16"/>
    <s v="Southern Lebombo Bushveld"/>
    <s v="Lowveld Bioregion"/>
    <x v="1"/>
    <s v="T4"/>
    <s v="T4.2"/>
    <s v="Mpumalanga and KwaZulu-Natal Provinces and Swaziland: From Komatipoort, widening southwards into Swaziland, including the Mbuluzi River Gorge, through Siteki and across the Isuthu River Gorge into KwaZulu-Natal, extending east of Mkuze and terminating about 10 km north of Hluhluwe in the south. The high-altitude sourvelds are excluded and are SVl 17 Lebombo Summit Sourveld. Relatively small parts of this unit extend into Mozambique, mainly at the northern end. "/>
    <s v="KwaZulu-Natal, Mpumalanga"/>
    <s v="Mozambique"/>
    <s v="South Africa"/>
    <s v="On very shallow soils (e.g. slopes of deep gorges or exposed ridges) "/>
    <s v="Summer rainfall with very little rain in winter. MAP about 550–1 000 mm. Frost very infrequent. See also climate diagram for SVl 16 Southern Lebombo Bushveld."/>
    <s v="Shallow lithosols developing over rhyolites of the Jozini Formation, Lebombo Group (Karoo). Soils shallow Glenrosa and Mispah forms. Land types are unclassified in Swaziland and in South Africa the dominant land type is Fb."/>
    <x v="210"/>
    <n v="2256.14"/>
    <n v="2251.6008000000002"/>
    <s v="MP"/>
    <x v="0"/>
    <x v="0"/>
    <s v="LC↔LC"/>
    <m/>
    <s v="Unchanged"/>
  </r>
  <r>
    <s v="Terrestrial"/>
    <s v="FS6"/>
    <s v="Cape Flats Dune Strandveld"/>
    <s v="West Strandveld Bioregion"/>
    <x v="4"/>
    <s v="T3"/>
    <s v="T3.2"/>
    <s v="Western Cape Province: This unit occurs as four discontinuous regions—the largest patch spans the south coast of False Bay (between Gordon’s Bay and Muizenberg) and penetrates deep into the Cape Flats as a broad wedge as far north as Bellville, the other patch spans Silverstroomstrand and Table Bay (Cape Town) and includes the Atlantis dune plume, the third region is a series of small patches covering coastal dune pockets on the Cape Peninsula, while the last patch is situated on Robben Island. "/>
    <s v="Western Cape"/>
    <s v="Endemic to South Africa"/>
    <s v="South Africa"/>
    <s v="Flat to slightly undulating (dune fields) landscape"/>
    <s v="Exclusive winter-rainfall regime with mean annual rainfall varying from approximately 350 mm in the north to 560 mm in the south. The winter rains are accompanied by strong northwesterly winds and cooler temperatures. Mean daily maximum and minimum temperatures 26.7°C and 7.5°C for February and July, respectively. Mean monthly maximum and minimum temperatures for Cape Town International Airport 34.3°C and 1.1°C for February and July, respectively. Winds are southerly or southeasterly in summer. Frost very infrequent. See also climate diagram for FS 6 Cape Flats Dune Strandveld (Figure 4.128)."/>
    <s v="Built mainly of Tertiary to Recent calcareous sand of marine origin and overlying metasediments of the Tygerberg Formation (Malmesbury Group, Namibian Erathem). Outcrops of Sandveld Group limestone (hardpan) are found on the False Bay coast (Cape Peninsula and especially the Wolvengat area). Dominant land type Ha (about 50%), with Hb and Ga playing subordinate roles."/>
    <x v="211"/>
    <n v="197.97"/>
    <n v="184.42359999999999"/>
    <s v="MP"/>
    <x v="3"/>
    <x v="1"/>
    <s v="EN↔EN"/>
    <s v="B1i_rod, B1i_inv, B1iii_sp, B2i_rod, B2i_inv, B2iii_sp"/>
    <s v="Unchanged"/>
  </r>
  <r>
    <s v="Terrestrial"/>
    <s v="Gm4"/>
    <s v="Eastern Free State Sandy Grassland"/>
    <s v="Mesic Highveld Grassland Bioregion"/>
    <x v="0"/>
    <s v="T4"/>
    <s v="T4.5"/>
    <s v="Free State Province, Lesotho and marginally into KwaZulu-Natal Province: Ladybrand (west) to the base of foothills of the Drakensberg (Maloti) and the Escarpment in the vicinity of Harrismith (east) and Mafeteng (south). The towns of Marquard, Paul Roux, Bethlehem, Memel and Vrede bound this unit on its northern border. "/>
    <s v="KwaZulu-Natal, Free State"/>
    <s v="Endemic to ZA, Ls, Sz"/>
    <s v="South Africa"/>
    <s v="Flat to slightly undulating and undulating terrain with streams and rivers that drain the foothills of the Drakensberg."/>
    <s v="Summer-rainfall region, with MAP around 700 mm. Much of the precipitation falls in form of thunderstorms between November and March. Great differences between the average temperatures in winter and summer as well as very frequent occurrence of frost confirm a continental climate. See also description of climate for Gm 3 Eastern Free State Clay Grassland and climate diagram for Gm 4 Eastern Free State Sandy Grassland (Figure 8.36)."/>
    <s v="Mudstones, sandstones and shale of the Beaufort Group (Tarkastad Formation in the south and Adelaide Formation in the north). Glenrosa, Bonheim, Avalon and Mayo soil forms dominate the outcrops and slightly elevated areas while Sepane, Arcadia and Rensburg soil forms are typical for moist bottomlands. Major land types Bb, Bd and Ca."/>
    <x v="212"/>
    <n v="7511.39"/>
    <n v="7447.9579999999996"/>
    <s v="PP"/>
    <x v="0"/>
    <x v="0"/>
    <s v="LC↔LC"/>
    <m/>
    <s v="Unchanged"/>
  </r>
  <r>
    <s v="Terrestrial"/>
    <s v="SKt3"/>
    <s v="Roggeveld Karoo"/>
    <s v="Trans-Escarpment Succulent Karoo Bioregion"/>
    <x v="3"/>
    <s v="T5"/>
    <s v="T5.2"/>
    <s v="Northern (and to a very small extent also Western) Cape Province: Keiskiesberg and Kapgat se Berge southeast of Calvinia, surrounds of Sutherland and Hondefontein as far west as Teekloof Pass in the Nuweveld Mountains southeast of Fraserburg: the area constitutes a gradually sloping plateau situated inland of the Roggeveld Escarpment towards the Bushmanland Basin. Only negligible patches of this vegetation type move into Western Cape Province in the Besemgoedberge area (Nuweveld Mountains region). "/>
    <s v="Northern Cape, Western Cape"/>
    <s v="Endemic to South Africa"/>
    <s v="South Africa"/>
    <s v="Diverse landscape including vast stretches of slightly undulating hills, steeper mountain slopes as well as extensive slightly sloping plateaus. "/>
    <s v="Roggeveld is climatically one of the most peculiar regions of southern Africa due to the unusual combination of high altitude, a land-locked continental position and a transitional position between two major climatic systems responsible for winter- and summer-rainfall regimes. It is a semidesert region under slight influence of a rainshadow (the area slopes landwards, away from the elevated Escarpment), with MAP reaching around 230 mm. Pronounced precipitation peaks are in March and June, and the overall precipitation in December to January is markedly lower than during the rest of the year. MAT 14–15°C, but the high frequency of low temperatures in autumn and winter resulting in an average of 56 frost days per year, has won the region (the town of Sutherland in particular) the reputation as the coldest place in South Africa. Clear skies (low cloudiness due to overall dry climate and high altitude as well as remoteness from major settlements and especially sources of air pollution) put Sutherland on the world map of astronomy through its famous telescope centre built near the town. See also climate diagram for SKt 3 Roggeveld Karoo (Figure 5.60)."/>
    <s v="The area is dominated by Adelaide Subgroup mudrock and subordinate sandstone (Beaufort Group, Karoo Sequence), with Ecca Group shale and sandstone found in the northeast (Waterford and Volksrust Formations). Karoo dolerites are found throughout the area. Fc land type dominates the region, while Da land type is also present."/>
    <x v="213"/>
    <n v="5238.01"/>
    <n v="5222.7291999999998"/>
    <s v="NP"/>
    <x v="0"/>
    <x v="0"/>
    <s v="LC↔LC"/>
    <m/>
    <s v="Unchanged"/>
  </r>
  <r>
    <s v="Terrestrial"/>
    <s v="FRs13"/>
    <s v="Eastern Ruens Shale Renosterveld"/>
    <s v="East Coast Renosterveld Bioregion"/>
    <x v="4"/>
    <s v="T3"/>
    <s v="T3.2"/>
    <s v="Western Cape Province: Eastern Rûens (Overberg) from Bredasdorp (Patryskraal) and the area of the Breede River near Swellendam, between the coastal limestone (and sandstone) belt in the south and vegetation types of the southern foothills of the Langeberg, encompassing the areas in the vicinity of Malgas and Heidelberg, to the Goukou River at Riversdale. "/>
    <s v="Western Cape"/>
    <s v="Endemic to South Africa"/>
    <s v="South Africa"/>
    <s v="Moderately undulating hills and plains"/>
    <s v="MAP 270–540 mm (mean: 385 mm), with an even distribution and a slight low from December to February. Mean daily maximum and minimum temperatures 26.9°C and 5.9°C for January and July, respectively. Frost incidence about 3 days per year. See also climate diagram for FRs 13 Eastern Rûens Shale Renosterveld (Figure 4.101)."/>
    <s v="Clays and loams derived from Bokkeveld Group shales with some contribution from Mesozoic Uitenhage Group sediments in the northeast; Glenrosa and Mispah forms dominant. Land types mainly Fb, Fc and Db."/>
    <x v="214"/>
    <n v="409.46"/>
    <n v="397.79199999999997"/>
    <s v="NP"/>
    <x v="3"/>
    <x v="1"/>
    <s v="EN↔EN"/>
    <s v="A3_nat, A3_wc, A2b, B1i_rod, B1iii_sp"/>
    <s v="Unchanged"/>
  </r>
  <r>
    <s v="Terrestrial"/>
    <s v="FRs19"/>
    <s v="Humansdorp Shale Renosterveld"/>
    <s v="Eastern Fynbos-Renosterveld Bioregion"/>
    <x v="4"/>
    <s v="T3"/>
    <s v="T3.2"/>
    <s v="Eastern Cape Province: Three swathes: from Jeffreys Bay and Marina Glades near the coast inland past Humansdorp to the lower reaches of the Dieprivier near Two Streams; the Mondplaas/Mondhoek area near the mouth of the Gamtoos River stretching inland in a series of patches south of the Gamtoos River to west of Patensie; between thicket and fynbos types from Burghley Hills to Rocklands and the Dell to Nooitgedacht southwest of Uitenhage. Coastal forelands from Humansdorp to Port Elizabeth. "/>
    <s v="Eastern Cape"/>
    <s v="Endemic to South Africa"/>
    <s v="South Africa"/>
    <s v="Moderately undulating plains and undulating hills "/>
    <s v="MAP 500–850 mm (mean: 630 mm), peaking slightly in March, but otherwise even. Mean daily maximum and minimum temperatures 25.1°C and 7.5°C for February and July, respectively. Frost incidence about 3 days per year. See also climate diagram for FRs 19 Humansdorp Shale Renosterveld (Figure 4.101)."/>
    <s v="Clays and loams derived from the Ceres Subgroup of the Bokkeveld Group shales. Plinthic catenas prominent. Land types mainly Ca and Bb."/>
    <x v="215"/>
    <n v="158.52000000000001"/>
    <n v="156.00919999999999"/>
    <s v="NP"/>
    <x v="3"/>
    <x v="1"/>
    <s v="EN↔EN"/>
    <s v="B1i_rod, B2i_rod"/>
    <s v="Unchanged"/>
  </r>
  <r>
    <s v="Terrestrial"/>
    <s v="SKv10"/>
    <s v="Little Karoo Quartz Vygieveld"/>
    <s v="Rainshadow Valley Karoo Bioregion"/>
    <x v="3"/>
    <s v="T5"/>
    <s v="T5.2"/>
    <s v="Western Cape Province: Especially in the western regions of the Little Karoo, bordered by the Witteberg and Swartberg Mountains from the north and the Riviersonderend, Langeberg and Outeniqua Mountains from the south, between the Koegaberge in the west and Oudtshoorn in the east. The largest patches are found at the northern foothills of the Langeberg Mountains, between Barrydale and Muiskraal. "/>
    <s v="Western Cape"/>
    <s v="Endemic to South Africa"/>
    <s v="South Africa"/>
    <s v="Flat and slightly undulating plains"/>
    <s v="MAP of 220 mm is multimodal and distributed in similar fashion as in SKv 8 Western Little Karoo and SKv 9 Western Gwarrieveld. A tendency towards winter-rainfall regime can be detected in the western part of the distribution area of the quartz fields, while the influence of summer rainfall increases in an eastwards direction. MAT 16.5°C, high temperatures can be reached in summer (well above 30°C). Winters are mild, with occurrence of occasional light night frost (7 days a year). See also climate diagram for SKv 10 Little Karoo Quartz Vygieveld (Figure 5.65)."/>
    <s v="Loamy-sandy, shallow to moderately deep, slightly alkaline soils, mainly derived from micaceous sandy shales and mudstones of the Devonian Ceres and Bidouw Subgroups (both belonging to Bokkeveld Group, Cape Supergroup) as well as (to lesser extent) sandstones of the Silurian Nardouw Subgroup (member of the Table Mountain Group, Cape Supergroup). The soil surface is densely covered with characteristic quartz gravel and rubble (derived from weathered quartz veins accompanying the shales). Fc is the overwhelmingly dominant land type."/>
    <x v="216"/>
    <n v="227.68"/>
    <n v="226.25360000000001"/>
    <s v="PP"/>
    <x v="0"/>
    <x v="0"/>
    <s v="LC↔LC"/>
    <m/>
    <s v="Unchanged"/>
  </r>
  <r>
    <s v="Terrestrial"/>
    <s v="FFa3"/>
    <s v="Swartland Alluvium Fynbos"/>
    <s v="Southwest Fynbos Bioregion"/>
    <x v="4"/>
    <s v="T3"/>
    <s v="T3.2"/>
    <s v="Western Cape Province: Swartland lowlands at west-facing piedmonts of the Groot Winterhoekberge near Porterville, Saronberg, Elandskloofberge to the Limietberge near Wellington; broad valley bottoms of the Paarl, Drakenstein, Franschhoek and Banhoek Valleys, with some extensions west of Paarl Mountain and to Klapmuts. "/>
    <s v="Western Cape"/>
    <s v="Endemic to South Africa"/>
    <s v="South Africa"/>
    <s v="Moderately undulating plains, adjacent mountains and in river basins"/>
    <s v="Seasonal, winter-rainfall regime, peaking from May to August. MAP (mean: 655 mm) varies broadly from 320–980 mm (close to foot of mountains). Mean daily maximum and minimum temperatures 29.5°C and 6.0°C for February and July, respectively. Frost an infrequent phenomenon. This is the wettest and hottest alluvium fynbos type. See also climate diagram for FFa 3 Swartland Alluvium Fynbos (Figure 4.88)."/>
    <s v="Alluvial gravel and cobble fields typically resting over Malmesbury Group schists and phyllites (in the northern part of the area) as well as over Cape Suite granites (in Drakenstein Valley from Wellington to Franschhoek) and on Malmesbury Group sandstones from Simondium to Klipheuwel. Dominant land types Db (soils with prismacutanic and pedocutanic horizons) and Ga (soils with ferrihumic horizon)."/>
    <x v="217"/>
    <n v="143.29"/>
    <n v="137.14400000000001"/>
    <s v="PP"/>
    <x v="3"/>
    <x v="1"/>
    <s v="EN↔EN"/>
    <s v="A3_nat, B1i_rod, B1iii_sp"/>
    <s v="Unchanged"/>
  </r>
  <r>
    <s v="Terrestrial"/>
    <s v="Gh8"/>
    <s v="Bloemfontein Karroid Shrubland"/>
    <s v="Dry Highveld Grassland Bioregion"/>
    <x v="0"/>
    <s v="T4"/>
    <s v="T4.5"/>
    <s v="Free State and Mpumalanga (only in the southwest) Provinces: An archipelago of isolated patches found on koppies, butts and ridges embedded mainly within dry highveld grasslands in the region extending over large distances between Bloemfontein in the southwest, Verkeerdevlei and Lindley in the southeast, Standerton in the northeast as well as Heilbron and Bultfontein in the northwest. "/>
    <s v="Mpumalanga, Free State"/>
    <s v="Endemic to South Africa"/>
    <s v="South Africa"/>
    <s v="Plateaus or slightly sloping flanks of dolerite outcrops"/>
    <s v="Summer-rainfall area, with MAP close to 570 mm and from 550 mm (Bloemfontein) to 650 mm (Standerton). Much of the rainfall is of convectional origin. MAT 15°C, indicating a warm-temperate climatic regime. Winters can be very cold and frost incidence is high (40 days). See also climate diagram for Gh 8 Bloemfontein Karroid Shrubland (Figure 8.23)."/>
    <s v="Restricted to Jurassic dolerite intrusions (sills) embedded within sediments of the Adelaide Subgroup (Beaufort Group, Karoo Supergroup). Typical feature of this habitat is a shallow (only 1–5 cm thick) layer of sand of aeolian origin that overlies sheets of dolerite. Dominant land type is Ea, followed by Dc and Fa (the last-named on the Karoo Supergroup sediments)."/>
    <x v="218"/>
    <n v="66.760000000000005"/>
    <n v="66.127200000000002"/>
    <s v="MP"/>
    <x v="0"/>
    <x v="0"/>
    <s v="LC↔LC"/>
    <m/>
    <s v="Unchanged"/>
  </r>
  <r>
    <s v="Terrestrial"/>
    <s v="FFd6"/>
    <s v="Hangklip Sand Fynbos"/>
    <s v="Southwest Fynbos Bioregion"/>
    <x v="4"/>
    <s v="T3"/>
    <s v="T3.2"/>
    <s v=" Western Cape Province: Cape Peninsula on old dune fields at Hout Bay, in the Fish Hoek gap (between Fish Hoek and Noordhoek) and on Smith’s Farm (Cape Point Nature Reserve). Further on it occurs on the coastal flats from Rooiels and Cape Hangklip to Hermanus and it is well developed at the Bot River estuary. "/>
    <s v="Western Cape"/>
    <s v="Endemic to South Africa"/>
    <s v="South Africa"/>
    <s v="Sand dunes and sandy bottomlands "/>
    <s v="MAP 520–1 170 mm (mean: 750 mm), peaking from May to August. By far this is the wettest of all the sandstone fynbos types. Mean daily maximum and minimum temperatures 25.9°C and 7.5°C for January–February and July, respectively. Frost incidence about 3 days per year. See also climate diagram for FFd 6 Hangklip Sand Fynbos (Figure 4.57)."/>
    <s v="Leached, acid Tertiary sand in coastal areas, derived mostly from dunes. Soils generally of Lamotte or Houwhoek forms or grey, regic sands. Land types mainly Ga, Hb and Gb."/>
    <x v="219"/>
    <n v="53.08"/>
    <n v="51.470399999999998"/>
    <s v="MP"/>
    <x v="2"/>
    <x v="2"/>
    <s v="CR↔CR"/>
    <s v="B1i_rod, B1iii_sp"/>
    <s v="Unchanged"/>
  </r>
  <r>
    <s v="Terrestrial"/>
    <s v="Gs17"/>
    <s v="Tarkastad Montane Shrubland"/>
    <s v="Sub-Escarpment Grassland Bioregion"/>
    <x v="0"/>
    <s v="T4"/>
    <s v="T4.5"/>
    <s v="Eastern Cape and marginally into Northern Cape Province: Noupoort, Middelburg and a point west of Cradock define the western extent of this unit and Cathcart, Queenstown and Sterkstroom the eastern extent. The unit falls within the area between the Great Escarpment in the north, marked by the Bamboesberg and Stormberg Mountains, and the minor escarpment, marked by the Winterberg and Amathole Mountains in the south. "/>
    <s v="Eastern Cape, Northern Cape"/>
    <s v="Endemic to South Africa"/>
    <s v="South Africa"/>
    <s v="Ridges, hills and isolated mountain slopes, characterised by high surface rock cover, this often consisting of large, round boulders. "/>
    <s v="Rainfall in late summer to autumn (peak in February–March). MAP 280–720 mm (overall MAP 470 mm), increasing from west to east. Coefficient of variation of MAP from 22–35% across the unit (31% overall APCV), decreasing with distance eastwards. Incidence of frost 7–68 days (average: 39 days), increasing with proximity to the Escarpment. See also climate diagram for Gs 17 Tarkastad Montane Shrubland (Figure 8.61)."/>
    <s v="Sedimentary rocks of the Tarkastad Subgroup (Beaufort Group, Karoo Supergroup), widely affected by intrusions of Jurassic dolerites forming numerous dykes and sills. Soils typical of land types Ib, Fb and Fc."/>
    <x v="220"/>
    <n v="4174.24"/>
    <n v="4170.8015999999998"/>
    <s v="PP"/>
    <x v="0"/>
    <x v="0"/>
    <s v="LC↔LC"/>
    <m/>
    <s v="Unchanged"/>
  </r>
  <r>
    <s v="Terrestrial"/>
    <s v="FS7"/>
    <s v="Overberg Dune Strandveld"/>
    <s v="South Strandveld Bioregion"/>
    <x v="4"/>
    <s v="T3"/>
    <s v="T3.2"/>
    <s v="Western Cape Province: Scattered patches from Rooiels (Cape Hangklip area) as far east as Cape Infanta at the mouth of the Breede River, with the largest one surrounding the Agulhas Peninsula—as a rule bordering on coastal limestone formations. "/>
    <s v="Western Cape"/>
    <s v="Endemic to South Africa"/>
    <s v="South Africa"/>
    <s v="Flat or slightly undulating dune fields of Die Plaat near Stanford and those of De Hoop"/>
    <s v="Mainly cyclonic rainfall varying from approximately 400 mm in the east to 600 mm in the west, mainly in winter, but still with considerable summer rainfall in the eastern regions of the unit. The winter rains are accompanied by strong northwesterly winds and cooler temperatures. The winds tend to be strong southwesterly (trade winds with average velocity of 35 km per hour) in summer. Mean daily maximum and minimum temperatures 25.1°C and 7.0°C for January and July, respectively. Mean monthly maximum and minimum temperatures for Cape Agulhas 27.1°C and 7.3°C for January and June, respectively. No incidences of snowfalls have been recorded; frost is infrequent and hail occurs occasionally. Dense mist banks regularly occur through the Overberg region in autumn and winter. See also climate diagram for FS 7 Overberg Dune Strandveld (Figure 4.128)."/>
    <s v="Deep, Recent marine-derived calcareous sands forming dunes that line the coast (Quaternary Strandveld Formation of the Bredasdorp Group), to shelly, shallow-marine sandstones and limestones of the Bredasdorp Group deposited on underlying Table Mountain Group sandstone. The most important land types include Hb (37%), Ha (31%) and Fc (18%)."/>
    <x v="221"/>
    <n v="324.33999999999997"/>
    <n v="37.480800000000002"/>
    <s v="MP"/>
    <x v="3"/>
    <x v="1"/>
    <s v="EN↔EN"/>
    <s v="B1i_inv, B1iii_sp, B2i_inv, B2iii_sp"/>
    <s v="Unchanged"/>
  </r>
  <r>
    <s v="Terrestrial"/>
    <s v="SVl24"/>
    <s v="Zululand Coastal Thornveld"/>
    <s v="Lowveld Bioregion"/>
    <x v="1"/>
    <s v="T4"/>
    <s v="T4.2"/>
    <s v="KwaZulu-Natal Province: Immediately west of Mtubatuba (in the north) and Empangeni (in the south) bisected by the iMfolozi River, extending westwards for 10–20 km. "/>
    <s v="KwaZulu-Natal"/>
    <s v="Endemic to South Africa"/>
    <s v="South Africa"/>
    <s v="Gently rolling landscapes "/>
    <s v="Summer rainfall but also some in winter (each winter month receiving about 20 mm, which is greater than that of any of the other savanna vegetation units for this period). MAP about 800–1 050 mm, generally higher towards the coast. Frost very infrequent. See also climate diagram for SVl 24 Zululand Coastal Thornveld."/>
    <s v="The area is situated almost entirely on Letaba Formation basalts of the Karoo Supergroup. Soils are mainly black with a high (35–55%) clay content and depth in the range 200–300 mm. Land types mainly Ea with some Fb and Dc."/>
    <x v="222"/>
    <n v="185.46"/>
    <n v="182.1952"/>
    <s v="NP"/>
    <x v="2"/>
    <x v="2"/>
    <s v="CR↔CR"/>
    <s v="B1i_rod"/>
    <s v="Unchanged"/>
  </r>
  <r>
    <s v="Terrestrial"/>
    <s v="Gm13"/>
    <s v="Amersfoort Highveld Clay Grassland"/>
    <s v="Mesic Highveld Grassland Bioregion"/>
    <x v="0"/>
    <s v="T4"/>
    <s v="T4.5"/>
    <s v="Mpumalanga and KwaZulu-Natal Provinces: This unit extends in a north-south band from just south of Ermelo, down through Amersfoort to the Memel area in south. "/>
    <s v="KwaZulu-Natal, Mpumalanga"/>
    <s v="Endemic to South Africa"/>
    <s v="South Africa"/>
    <s v="Comprised of undulating grassland plains, with small scattered patches of dolerite outcrops in areas."/>
    <s v="Rainfall mainly in early summer, from 620 mm in the west to 830 mm in the east (MAP 694 mm). MAT 14ºC, with temperatures higher in the west than the east. Winters are cold and summers are mild. Incidence of frost very high. Also see climate diagram for Gm 13 Amersfoort Highveld Clay Grassland (Figure 8.36)."/>
    <s v="Restricted to vertic clay soils derived from dolerite that is intrusive in the Karoo sediments of the Madzaringwe Formation in the north and the Volksrust Formation and the Adelaide Subgroup in the south. Dominant land type Ca, while Ea land type is of subordinate importance."/>
    <x v="223"/>
    <n v="2154.81"/>
    <n v="2126.2539999999999"/>
    <s v="PP"/>
    <x v="0"/>
    <x v="0"/>
    <s v="LC↔LC"/>
    <m/>
    <s v="Unchanged"/>
  </r>
  <r>
    <s v="Terrestrial"/>
    <s v="FRs14"/>
    <s v="Mossel Bay Shale Renosterveld"/>
    <s v="East Coast Renosterveld Bioregion"/>
    <x v="4"/>
    <s v="T3"/>
    <s v="T3.2"/>
    <s v="Western Cape Province: Coastal plains and valleys from the Kruisrivier near Riversdale to Botterberg, west of the Robinson Pass, centred on the Gouritz River and bordered by mountains (Langeberg, Outeniqua) to the north and the N2 road to the south, except for a few small patches further south (south of Cooper). "/>
    <s v="Western Cape"/>
    <s v="Endemic to South Africa"/>
    <s v="South Africa"/>
    <s v="Undulating hills and tablelands, steeply dissected by rivers."/>
    <s v="MAP 270–620 mm (mean: 425 mm), even throughout the year with a slight low in December. Mean daily maximum and minimum temperatures 27.6°C and 6.1°C for January–February and July, respectively. Frost incidence about 3 days per year. See also climate diagram for FRs 14 Mossel Bay Shale Renosterveld (Figure 4.101)."/>
    <s v="Clays and loams mostly derived from Bokkeveld Group shales as well as Uitenhage Group clastics in the west and east. Prismacutanic or pedocutanic diagnostic horizons occur in soils. Glenrosa and Mispah forms dominant. Land types mainly Db, Ea and Fc."/>
    <x v="224"/>
    <n v="330.75"/>
    <n v="326.34960000000001"/>
    <s v="NP"/>
    <x v="2"/>
    <x v="2"/>
    <s v="CR↔CR"/>
    <s v="B1i_rod"/>
    <s v="Unchanged"/>
  </r>
  <r>
    <s v="Terrestrial"/>
    <s v="NKu2"/>
    <s v="Upper Karoo Hardeveld"/>
    <s v="Upper Karoo Bioregion"/>
    <x v="6"/>
    <s v="T5"/>
    <s v="T5.1"/>
    <s v="Northern, Western and Eastern Cape Provinces: Discrete areas of slopes and ridges including dolerite dykes and sills in the region spanning Middelpos in the west and Strydenburg, Richmond and Nieu-Bethesda in the east. Most crest areas and steep slopes of the Great Escarpment facing south between Teekloofpas (connecting Leeu-Gamka and Fraserburg) and eastwards to Graaff-Reinet. "/>
    <s v="Eastern Cape, Northern Cape, Western Cape"/>
    <s v="Endemic to South Africa"/>
    <s v="South Africa"/>
    <s v="Steep slopes of koppies, butts, mesas and parts of the Great Escarpment covered with large boulders and stones"/>
    <s v="In the western part of its area this unit experiences the same climate as the Western Upper Karoo. In the eastern part the climate is very close to that of Karoo Escarpment. The MAP ranges from about 150 mm in the northwest to 350 mm along some grassland margins on the Great Escarpment and in the east. Water concentrates between rocks as a result of rainfall runoff. Incidence of frost is relatively high, but ranging widely from &lt;30 days per year at lower altitudes to &gt;80 days at highest altitudes. See also climate diagram for NKu 2 Upper Karoo Hardeveld (Figure 7.2)."/>
    <s v="Primitive, skeletal soils in rocky areas developing over sedimentary rocks such as mudstones and arenites of the Adelaide Subgroup of the Karoo Supergroup and to a lesser extent also the Ecca Group (Waterford and Volksrust Formations) as well as Jurassic dolerite sills and dykes and subsummit positions of mesas and butts with dolerite boulder slopes. Almost entirely Ib land type."/>
    <x v="225"/>
    <n v="11709.85"/>
    <n v="11706.417600000001"/>
    <s v="MP"/>
    <x v="0"/>
    <x v="0"/>
    <s v="LC↔LC"/>
    <m/>
    <s v="Unchanged"/>
  </r>
  <r>
    <s v="Terrestrial"/>
    <s v="SVk12"/>
    <s v="Kathu Bushveld"/>
    <s v="Eastern Kalahari Bushveld Bioregion"/>
    <x v="1"/>
    <s v="T4"/>
    <s v="T4.2"/>
    <s v="Northern Cape Province: Plains from Kathu and Dibeng in the south, through Hotazel, vicinity of Frylinckspan to the Botswana border roughly between Van Zylsrus and McCarthysrus. "/>
    <s v="Northern Cape"/>
    <s v="Botswana"/>
    <s v="South Africa"/>
    <m/>
    <s v="Summer and autumn rainfall with very dry winters. MAP about 220–380 mm. Frost frequent in winter. Mean monthly maximum and minimum temperatures for Sishen 37.0°C and –2.2°C for December and July, respectively. See also climate diagram for SVk 12 Kathu Bushveld."/>
    <s v="Aeolian red sand and surface calcrete, deep (&gt;1.2 m) sandy soils of Hutton and Clovelly soil forms. Land types mainly Ah and Ae, with some Ag."/>
    <x v="226"/>
    <n v="7290.4"/>
    <n v="7252.6728000000003"/>
    <s v="PP"/>
    <x v="0"/>
    <x v="0"/>
    <s v="LC↔LC"/>
    <m/>
    <s v="Unchanged"/>
  </r>
  <r>
    <s v="Terrestrial"/>
    <s v="Gh6"/>
    <s v="Central Free State Grassland"/>
    <s v="Dry Highveld Grassland Bioregion"/>
    <x v="0"/>
    <s v="T4"/>
    <s v="T4.5"/>
    <s v="Free State Province and marginally into Gauteng Province: A broad zone from around Sasolburg in the north to Dewetsdorp in the south. Other major settlements located within this unit include Kroonstad, Ventersburg, Steynsrus, Winburg, Lindley and Edenville. "/>
    <s v="Gauteng, Free State"/>
    <s v="Endemic to South Africa"/>
    <s v="South Africa"/>
    <s v="Undulating plains"/>
    <s v="Summer-rainfall seasonal precipitation region, with MAP 560 mm. Much of the rainfall is of convectional origin and peaks in December to January. The overall MAT around 15°C. Incidence of frost relatively high (43 days on average). See also climate diagram for Gh 6 Central Free State Grassland (Figure 8.23)."/>
    <s v="Sedimentary mudstones and sandstone mainly of the Adelaide Subgroup (Beaufort Group, Karoo Supergroup) as well as those of the Ecca Group (Karoo Supergroup) found in the extreme northern section of this grassland, giving rise to vertic, melanic and red soils (typical forms are Arcadia, Bonheim, Kroonstad, Valsrivier and Rensburg)—typical of Dc land type (dominating the landscape). The less common intrusive dolerites of the Jurassic Karoo Dolerite Suite support dry clayey soils typical of the Ea land type."/>
    <x v="227"/>
    <n v="10586.33"/>
    <n v="10488.224399999999"/>
    <s v="PP"/>
    <x v="0"/>
    <x v="0"/>
    <s v="LC↔LC"/>
    <m/>
    <s v="Unchanged"/>
  </r>
  <r>
    <s v="Terrestrial"/>
    <s v="SVl22"/>
    <s v="Northern Zululand Sourveld"/>
    <s v="Lowveld Bioregion"/>
    <x v="1"/>
    <s v="T4"/>
    <s v="T4.2"/>
    <s v="KwaZulu-Natal Province and Swaziland: From the Lusthof area in Swaziland southwards with scattered patches in northern Zululand in the surrounds of Hlomohlomo, east of Louwsburg, Nongoma and the vicinity of Ulundi including Nkandla. In the Hluhluwe-iMfolozi Park it occurs at highest altitudes in the park. "/>
    <s v="KwaZulu-Natal"/>
    <s v="Endemic to ZA, Ls, Sz"/>
    <s v="South Africa"/>
    <s v="Terrain is mainly low, undulating mountains, sometimes highly dissected, and also some moderately undulating plains and hills."/>
    <s v="Summer rainfall with a little rain in winter. MAP about 600–1 050 mm reaching a maximum, for example, in the region northwest of Nongoma, towards the mistbelt Ngome Forest. Frost very infrequent to occasional. See also climate diagram for SVl 22 Northern Zululand Sourveld."/>
    <s v="Well-drained and shallow soil forms (Glenrosa and Mispah forms) derived from various lithologies; predominantly, Dwyka Group diamictites, but also shale, siltstone and sandstone from the Madzaringwe and Pietermaritzburg Formations, all of the Karoo Supergroup. Archaean granite and gneiss are also significant. Land types mainly Fb and Fa, with some Ac."/>
    <x v="228"/>
    <n v="3689.23"/>
    <n v="3681.5372000000002"/>
    <s v="MP"/>
    <x v="0"/>
    <x v="0"/>
    <s v="LC↔LC"/>
    <m/>
    <s v="Unchanged"/>
  </r>
  <r>
    <s v="Terrestrial"/>
    <s v="Gd1"/>
    <s v="Amathole Montane Grassland"/>
    <s v="Drakensberg Grassland Bioregion"/>
    <x v="0"/>
    <s v="T4"/>
    <s v="T4.5"/>
    <s v="Eastern Cape Province: The main grassland unit of the Amathole, Winterberg and Kologha Mountains as well as the mountains just north of Somerset East (Bosberg and other outlying peaks). Also found on broken veld between Stutterheim and Komga. "/>
    <s v="Eastern Cape"/>
    <s v="Endemic to South Africa"/>
    <s v="South Africa"/>
    <s v="Low mountain ranges and moderately undulating landscapes"/>
    <s v="Bimodal rainfall pattern with spring and late summer peaks. MAP around 670 mm (range 500–740 mm, up to 1 000 mm in isolated places). Rainfall the highest in high-altitude areas due to orographic factors and becoming lower with reduction in elevation and with distance westwards. Coefficient of variation in rainfall decreases with elevation, and ranges from 15–31% across the unit. Overall MAP close to 15°C. Winter frost is not common in the southeastern part of this unit, but it is more frequent (up to 80 days per year) in the western and northwestern regions. See also climate diagram for Gd 1 Amathole Montane Grassland (Figure 8.11)."/>
    <s v="On sedimentary rocks of the Beaufort Group (Karoo Supergroup) overlaid by deep, freely drained, highly weathered soils (Hartmann 1988). Weakly developed lithosols are also found in places. Most common land types Fb, Fa and Fc."/>
    <x v="229"/>
    <n v="4246.42"/>
    <n v="4202.8275999999996"/>
    <s v="PP"/>
    <x v="0"/>
    <x v="0"/>
    <s v="LC↔LC"/>
    <m/>
    <s v="Unchanged"/>
  </r>
  <r>
    <s v="Terrestrial"/>
    <s v="Dg6"/>
    <s v="Helskloof Canyon Desert"/>
    <s v="Gariep Desert Bioregion"/>
    <x v="2"/>
    <s v="T5"/>
    <s v="T5.5"/>
    <s v="A small area of canyon landscape in the eastern Richtersveld, between the Nababiepsberge in the east and the Rooiberge in the west, south of Modderdrif on the Orange River and encompassing the lower reaches of the Groen River. "/>
    <s v="Northern Cape"/>
    <s v="Namibia"/>
    <s v="South Africa"/>
    <s v="The unit superficially represents the South African equivalent of the Namibian Fish River Canyon. It comprises the canyon floor and initial slopes of the north-south trending canyon, approximately 1 km wide and almost 10 km long. The canyon walls tower 250–350 m above the floor and are more precipitous on the eastern side. "/>
    <s v="MAP roughly 40–60 mm per year tending to peak in late summer, but very variable. Some localised winter water input through drainage from the winter-rainfall area to the south. High summer maximum temperatures often reach 40°C and occasionally 50°C. The bottom of the canyon is one of the hottest environments in the Richtersveld. No incidence of frost."/>
    <s v="Mainly quartzite of the Kuibis Subgroup, Nama Group (Namibian Erathem), with fringes of the area occurring on the metavolcanics and metasediments of the De Hoop Subgroup (Orange River Group, Mokolian Erathem) and also the shale, quartzite and limestone of the Schwarzrand Subgroup (Nama Group, Namibian Erathem). Soil is alluvial sediment with colluvial material in places. Land types Ag and Ae."/>
    <x v="230"/>
    <n v="8.23"/>
    <n v="8.1"/>
    <s v="WP"/>
    <x v="0"/>
    <x v="0"/>
    <s v="LC↔LC"/>
    <m/>
    <s v="Unchanged"/>
  </r>
  <r>
    <s v="Terrestrial"/>
    <s v="FRs9"/>
    <s v="Swartland Shale Renosterveld"/>
    <s v="West Coast Renosterveld Bioregion"/>
    <x v="4"/>
    <s v="T3"/>
    <s v="T3.2"/>
    <s v="Western Cape Province: Large, generally continuous areas of the Swartland and the Boland on the West Coast lowlands, from Het Kruis in the north, southwards between the Piketberg and Olifantsrivierberge, widening appreciably in the region around Moorreesburg between Gouda and Hopefield, and encompassing Riebeek-Kasteel, Klipheuwel, Philadelphia, Durbanville, Stellenbosch to the south and Sir Lowry’s Pass Village near Gordon’s Bay."/>
    <s v="Western Cape"/>
    <s v="Endemic to South Africa"/>
    <s v="South Africa"/>
    <s v="Moderately undulating plains and valleys "/>
    <s v="Winter-rainfall regime, with MAP 270–670 mm (mean: 430 mm), peaking from May to August. Mean daily maximum and minimum temperatures 29.6°C and 6.3°C for February and July, respectively. Frost incidence 3 or 4 days per year. Mists are common in winter. See also climate diagram for FRs 9 Swartland Shale Renosterveld (Figure 4.101)."/>
    <s v="Clay soils derived from Malmesbury Group shales (specifically the Porterville Formation in the north and east and the Moorreesburg Formation in the west). The soils contain prismacutanic and pedocutanic diagnostic horizons and Glenrosa and Mispah forms are predominant. Land types mainly Db, Fb and Da."/>
    <x v="231"/>
    <n v="509.29"/>
    <n v="486.57679999999999"/>
    <s v="NP"/>
    <x v="2"/>
    <x v="2"/>
    <s v="CR↔CR"/>
    <s v="A3_nat"/>
    <s v="Unchanged"/>
  </r>
  <r>
    <s v="Terrestrial"/>
    <s v="SKn2"/>
    <s v="Namaqualand Shale Shrubland"/>
    <s v="Namaqualand Hardeveld Bioregion"/>
    <x v="3"/>
    <s v="T5"/>
    <s v="T5.2"/>
    <s v="Northern Cape Province: Area some 10 km to the north and to the southwest of Steinkopf in southeastern Richtersveld. Reaching as far south as Spektakelberg west of Springbok. "/>
    <s v="Northern Cape"/>
    <s v="Endemic to South Africa"/>
    <s v="South Africa"/>
    <s v="Smooth hilly country "/>
    <s v="Seasonal, frontal winter rainfall peaking between May and August. Occasional late summer thunderstorms occur between February and April. MAP ranges from about 120 mm at low elevations to about 200 mm at higher elevations (overall MAP 155 mm). It is possible that areas along the edge of the escarpment such as Naries and Nigramoep would receive as much as 350 mm due to a regional precipitation effect. Mean maximum and minimum monthly temperatures in Nigramoep are 32°C and –5°C for February and July, respectively. The overall MAT lies between 16°C and 17°C. Incidence of frost averages 10 days per year, ranging from fewer than 5 days to more than 30 days per year. See also climate diagram for SKn 2 Namaqualand Shale Shrubland (Figure 5.29)."/>
    <s v="Shales of Schwarzrand Subgroup accompanied by quartzites of the Kuibis Subgroup and of the Cambrian Nama Group supporting shallow soils over quartzite and deep-profile soils over shales. Almost 90% of the area falls within Fb land type, while the rest is largely classified as Ib land type."/>
    <x v="232"/>
    <n v="534.91"/>
    <n v="534.22839999999997"/>
    <s v="NP"/>
    <x v="0"/>
    <x v="0"/>
    <s v="LC↔LC"/>
    <m/>
    <s v="Unchanged"/>
  </r>
  <r>
    <s v="Terrestrial"/>
    <s v="Gs13"/>
    <s v="Mabela Sandy Grassland"/>
    <s v="Sub-Escarpment Grassland Bioregion"/>
    <x v="0"/>
    <s v="T4"/>
    <s v="T4.5"/>
    <s v="KwaZulu-Natal and Eastern Cape Provinces: Cedarville Flats (basin draining into Umzimvubu River) in the region of Cedarville-Matatiele (southwestern KwaZulu-Natal) as well as a small area in a basin of Simi and Ramohlakoana in the Kinira River Valley in Transkei (west of Matatiele). Altitude 1 440–1 500 m, but up to 1 550 m in a few places."/>
    <s v="KwaZulu-Natal, Eastern Cape"/>
    <s v="Endemic to South Africa"/>
    <s v="South Africa"/>
    <s v="Flat valley basins with a relatively high proportion of poorly drained soils with a generally low nutrient status"/>
    <s v="Summer rainfall, with MAP of around 710 mm and mean evaporation up to 1 700 mm. MAT 14.4°C. Frost very frequent (40 days per year). See also the climate diagram Gs 13 Mabela Sandy Grassland (Figure 8.61)."/>
    <s v="Tarkastad Subgroup mudstones and sandstones underlie this area to the east as do the Molteno and Elliot Formation sandstones and minor mudstones in the west (all of the Karoo Supergroup). The dominant soils are poorly drained, with a depth of 200–300 mm and a clay content of less than 15%. They are classified into soil forms of Katspruit and Longlands and Oatsdale, Vimy and Clovelly (in well-drained habitats). Most common land types Ia and Ca."/>
    <x v="233"/>
    <n v="155.31"/>
    <n v="148.2508"/>
    <s v="PP"/>
    <x v="2"/>
    <x v="2"/>
    <s v="CR↔CR"/>
    <s v="B1i_rod"/>
    <s v="Unchanged"/>
  </r>
  <r>
    <s v="Terrestrial"/>
    <s v="SVcb26"/>
    <s v="Ohrigstad Mountain Bushveld"/>
    <s v="Central Bushveld Bioregion"/>
    <x v="1"/>
    <s v="T4"/>
    <s v="T4.2"/>
    <s v="Limpopo and Mpumalanga Provinces: Mountain slopes and steep valleys from the Blyde River Canyon, Ohrigstad and Burgersfort in the south continuing in the vicinity of the western side of the escarpment northwards to the Mohlapitse Valley and eastwards along the Strydpoort Mountains as far as Chuniespoort. "/>
    <s v="Mpumalanga, Limpopo"/>
    <s v="Endemic to South Africa"/>
    <s v="South Africa"/>
    <s v="Moderate to steep slopes on mountainsides and sometimes deeply incised valleys; also fairly flat terrain in a few places."/>
    <s v="Summer rainfall with very dry winters. MAP about 500–800 mm. Frost infrequent. See also climate diagram for SVcb 26 Ohrigstad Mountain Bushveld."/>
    <s v="Primarily on quartzite and shale (Timeball Hill and Silverton Formations of the Pretoria Group), with some chemical sediments of the Chuniespoort Group, weathering to shallow rocky soils of either Glenrosa or Mispah soil forms. Land types mainly Ib, Ae and Fa."/>
    <x v="234"/>
    <n v="1760.24"/>
    <n v="1747.9495999999999"/>
    <s v="MP"/>
    <x v="0"/>
    <x v="0"/>
    <s v="LC↔LC"/>
    <m/>
    <s v="Unchanged"/>
  </r>
  <r>
    <s v="Terrestrial"/>
    <s v="SVl23"/>
    <s v="Zululand Lowveld"/>
    <s v="Lowveld Bioregion"/>
    <x v="1"/>
    <s v="T4"/>
    <s v="T4.2"/>
    <s v="KwaZulu-Natal Province, Swaziland and Mpumalanga Province: Main extent from around Big Bend south to Mkuze, Hluhluwe, Ulundi to just north of the Ongoye Forest. An isolated patch is found on the Swaziland–Mpumalanga border. "/>
    <s v="KwaZulu-Natal, Mpumalanga"/>
    <s v="Endemic to ZA, Ls, Sz"/>
    <s v="South Africa"/>
    <s v="Extensive flat or only slightly undulating landscapes"/>
    <s v="Summer rainfall with some rain in winter. MAP about 500–900 mm (highest in the southeast). Generally a frost-free area. Mean monthly maximum and minimum temperatures for Mpila Camp (Hluhluwe-iMfolozi Park) 38.5°C and 7.8°C for February and June, respectively. See also climate diagram for SVl 23 Zululand Lowveld."/>
    <s v="Black-clay soils and duplex soils derived from a distinct variety of clastic sediments of the Dwyka, Ecca, Beaufort and igneous rocks of the Lebombo Groups (all of the Karoo Supergroup). Also well-drained soil forms occur especially on stony slopes. Land types Fb and Ea, with some Db and Dc."/>
    <x v="235"/>
    <n v="5744.11"/>
    <n v="5704.48"/>
    <s v="WP"/>
    <x v="0"/>
    <x v="0"/>
    <s v="LC↔LC"/>
    <m/>
    <s v="Unchanged"/>
  </r>
  <r>
    <s v="Terrestrial"/>
    <s v="SVk10"/>
    <s v="Kuruman Mountain Bushveld"/>
    <s v="Eastern Kalahari Bushveld Bioregion"/>
    <x v="1"/>
    <s v="T4"/>
    <s v="T4.1"/>
    <s v="Northern Cape and North-West Provinces: From the Asbestos Mountains southwest and northwest of Griekwastad, along the Kuruman Hills north of Danielskuil, passing west of Kuruman town and re-emerging as isolated hills, i.e. Makhubung and the hills around Pomfret in the north. "/>
    <s v="Northern Cape, North West"/>
    <s v="Endemic to South Africa"/>
    <s v="South Africa"/>
    <s v="Rolling hills with generally gentle to moderate slopes and hill pediment areas"/>
    <s v="Summer and autumn rainfall with very dry winters. MAP about 250–500 mm. Frost frequent in winter. The unit corresponds in part to cluster 17 of the 27 in the physio-climatic classification of South Africa’s woodland areas with summer rainfall (Fairbanks 2000). See also climate diagram for SVk 10 Kuruman Mountain Bushveld."/>
    <s v="The Kuruman and Asbestos Hills consist of banded iron formation, with jaspilite, chert and riebeckite-asbestos of the Asbestos Hills Subgroup of the Griqualand West Supergroup (Vaalian). Most common land type Ib, followed by Ae, Ic and Ag. Soils are shallow sandy soils, of the Hutton form."/>
    <x v="236"/>
    <n v="4279.6000000000004"/>
    <n v="5539.6776"/>
    <s v="NP"/>
    <x v="0"/>
    <x v="0"/>
    <s v="LC↔LC"/>
    <m/>
    <s v="Unchanged"/>
  </r>
  <r>
    <s v="Terrestrial"/>
    <s v="FFg2"/>
    <s v="Boland Granite Fynbos"/>
    <s v="Southwest Fynbos Bioregion"/>
    <x v="4"/>
    <s v="T3"/>
    <s v="T3.2"/>
    <s v="Western Cape Province: Upper slopes and summits of Paardeberg and Paarl Mountain as well as the lower slopes of mountains spanning the Groenberg and Hawequasberge (western foothills near Wellington), Pniel (Simonsberg and Groot Drakenstein Mountains and Klapmutskop), Franschhoek (Middelberg, Dassenberg, Skerpheuwel, Middagkransberg), Stellenbosch (Jonkershoek Valley and northern side of the Helderberg) and Helderberg Municipality (including lower south- and west-facing slopes of Haelkop and the Hottentots Holland Mountains and also the free-standing Skapenberg). It also occurs in the Du Toitskloof and Wemmershoek Valleys, Kaaimansgat and lower Stettynskloof, with outcrops on the Bottelary Hills and Kanonkop (near Pella). "/>
    <s v="Western Cape"/>
    <s v="Endemic to South Africa"/>
    <s v="South Africa"/>
    <s v="Moderately undulating plains and hills, varying from extensive deep soils, to localised deep soils between large granite domes and sheets."/>
    <s v="MAP 610–2 220 mm (mean: 985 mm), peaking from May to August. Mean daily maximum and minimum temperatures 26.6°C and 5.9°C for February and July, respectively. Frost incidence 2 or 3 days per year. The mean rainfall for this type is well below the 1 400 mm limit suggested by Campbell (1985) for fynbos on granite. Mists are common in winter. See also climate diagram for FFg 2 Boland Granite Fynbos (Figure 4.92)."/>
    <s v="Cape Granite Suite rocks (Paardeberg, Paarl, Stellenbosch and Wellington Plutons). Soils usually of Glenrosa, Mispah forms, or red-yellow apedal. Freely draining soils are dominant, with exposed dome rock and large boulders. Land types mainly Fa, Ic and Ac."/>
    <x v="237"/>
    <n v="283.89"/>
    <n v="279.65199999999999"/>
    <s v="MP"/>
    <x v="3"/>
    <x v="1"/>
    <s v="EN↔EN"/>
    <s v="B1i_rod, B1iii_sp"/>
    <s v="Unchanged"/>
  </r>
  <r>
    <s v="Terrestrial"/>
    <s v="AZa5"/>
    <s v="Highveld Alluvial Vegetation"/>
    <s v="Alluvial Vegetation"/>
    <x v="5"/>
    <s v="T4"/>
    <s v="T4.5"/>
    <s v="Free State, North-West, Mpumalanga and Gauteng Provinces as well as in Lesotho and Swaziland: Alluvial drainage lines and floodplains along rivers embedded within the Grassland Biome and marginal (eastern) units of the Kalahari (Savanna Biome), such as along upper Riet, Harts, upper Modder, upper Caledon, Vet, Sand, Vals, Wilge, Mooi, middle and upper Vaal Rivers etc. and their numerous tributaries. "/>
    <s v="Mpumalanga, Gauteng, Free State, North West"/>
    <s v="Endemic to South Africa"/>
    <s v="South Africa"/>
    <s v="Flat topography "/>
    <s v="Seasonal, mainly summer rainfall. Precipitation in the western part of the highveld is erratic (MAP 300–400 mm), increasing sharply towards the east and north (up to 600 mm in places). The overall MAP is almost 500 mm (range 373 mm at the western distribution limit and 593 mm at the northern distribution limit near Carletonville). Typical continental thermal regime, showing subtropical features is typical of the summer season (daily temperature often surpassing 35°C), while cold-temperate features (such as frequent frost) prevail in winter. See also climate diagram for AZa 5 Highveld Alluvial Vegetation (Figure 13.2)."/>
    <s v="Deep sandy to clayey (but mostly coarse sand) alluvial soils developed over Quaternary alluvial (fluviatile) sediments. Oakleaf, Dundee, Shortlands, Glenrosa and Mispah soil forms were identified in the Vaal River floodplain (Bezuidenhout 1994). The rivers are perennial, often in flood in summer. Erosion of banks and deposition of new fine soil on alluvium can be of considerable extent. Some smaller anastomosing channels of major rivers can dry out in winter."/>
    <x v="238"/>
    <n v="3092.09"/>
    <n v="2106.7503999999999"/>
    <s v="PP"/>
    <x v="0"/>
    <x v="0"/>
    <s v="LC↔LC"/>
    <m/>
    <s v="Unchanged"/>
  </r>
  <r>
    <s v="Terrestrial"/>
    <s v="FFh6"/>
    <s v="Elgin Shale Fynbos"/>
    <s v="Southwest Fynbos Bioregion"/>
    <x v="4"/>
    <s v="T3"/>
    <s v="T3.2"/>
    <s v="Western Cape Province: Elgin Basin east of Grabouw and Villiersdorp Basin around Vyeboom, with pockets to the north at the uppermost part of Stettynskloof, Kaaimansgat and Rooihoogte Pass, and at the Steenbras Dam to the west. "/>
    <s v="Western Cape"/>
    <s v="Endemic to South Africa"/>
    <s v="South Africa"/>
    <s v="Undulating hills and moderately undulating plains and steep slopes of adjacent mountains"/>
    <s v=" Winter-rainfall regime, with MAP 560–1 300 mm (overall mean: 830 mm), peaking from May to August. Mean daily maximum and minimum temperatures 26.2°C and 6.2°C for February and July, respectively. Frost incidence 2 or 3 days per year. See also climate diagram for FFh 6 Elgin Shale Fynbos (Figure 4.68)."/>
    <s v="Acidic, moist clay-loam, Glenrosa or Mispah forms derived from Bokkeveld Group shales. Land types mainly Fa."/>
    <x v="239"/>
    <n v="70.510000000000005"/>
    <n v="67.120800000000003"/>
    <s v="PP"/>
    <x v="2"/>
    <x v="2"/>
    <s v="CR↔CR"/>
    <s v="B1i_rod, B1iii_sp"/>
    <s v="Unchanged"/>
  </r>
  <r>
    <s v="Terrestrial"/>
    <s v="Gh14"/>
    <s v="Western Highveld Sandy Grassland"/>
    <s v="Dry Highveld Grassland Bioregion"/>
    <x v="0"/>
    <s v="T4"/>
    <s v="T4.5"/>
    <s v="North-West Province: From Mafikeng to Schweizer-Reneke in the south and from Broedersput and Kameel in the west to Lichtenburg and Ottosdal in the east. "/>
    <s v="North West"/>
    <s v="Endemic to South Africa"/>
    <s v="South Africa"/>
    <s v="Flat to gently undulating plains "/>
    <s v="Warm-temperate, summer-rainfall region, with overall MAP of 520 mm. Summer temperatures are high. Severe frequent frost occurs in winter. See also climate diagram for Gh 14 Western Highveld Sandy Grassland (Figure 8.23)."/>
    <s v="Basaltic lavas of the Klipriviersberg Group and andesitic lavas of the Allanridge Formation (both Ventersdorp Supergroup) covered by aeolian sand (western part of the area) or calcrete, with the eutrophic plinthic soils, which are mainly yellow apedals (Avalon and Pinedene) and rarely red apedals (Hutton) or Clovelly in bottomlands. Bd land type dominant."/>
    <x v="240"/>
    <n v="1522.67"/>
    <n v="3675.6060000000002"/>
    <s v="NP"/>
    <x v="3"/>
    <x v="1"/>
    <s v="EN↔EN"/>
    <s v="B1i_rod"/>
    <s v="Unchanged"/>
  </r>
  <r>
    <s v="Terrestrial"/>
    <s v="FOa1"/>
    <s v="Lowveld Riverine Forest"/>
    <s v="Azonal Forests"/>
    <x v="8"/>
    <s v="T1"/>
    <s v="T1.2"/>
    <s v="KwaZulu-Natal, Mpumalanga and Limpopo Provinces (as well as in Swaziland and other countries neighbouring on South Africa): Broad river alluvia of Zululand (Hluhluwe, middle reaches of Phongolo), Maputaland (Mkuze, lower reaches of Phongolo, Usutu) and numerous rivers draining the northern provinces of South Africa (Limpopo, Luvuvhu, Phongolo, Shingwedzi, Letaba, Olifants, Timbavati, Sabie, Crocodile). "/>
    <s v="KwaZulu-Natal, Mpumalanga, Limpopo"/>
    <s v="Zimbabwe, Mozambique"/>
    <s v="South Africa"/>
    <s v="Tall forests fringing larger rivers (gallery forests) and water pans"/>
    <s v="0"/>
    <s v="Recent alluvial deposits with deep, fine-textured soils (e.g. Dundee soil form). Subject to frequent flooding and occasionally to very heavy flood spells."/>
    <x v="241"/>
    <n v="133.97999999999999"/>
    <n v="133.42599999999999"/>
    <s v="WP"/>
    <x v="1"/>
    <x v="3"/>
    <s v="VU↔VU"/>
    <s v="B2i_rod"/>
    <s v="Unchanged"/>
  </r>
  <r>
    <s v="Terrestrial"/>
    <s v="FRs8"/>
    <s v="Breede Shale Renosterveld"/>
    <s v="East Coast Renosterveld Bioregion"/>
    <x v="4"/>
    <s v="T3"/>
    <s v="T3.2"/>
    <s v="Western Cape Province: Patches in the Breede River Valley from Tulbagh to Swellendam; more specifically, most of the valley floor between Tulbagh and Wolseley, isolated small patches to the vicinity of Worcester, diverse patches between Stettyn and McGregor south of the Breede River, a near continuous but irregular band on the southern foothills of the Langeberg from Philipsdale near Worcester to Ashton. The most extensive area occurs near Ashton. McGregor and the confluence of the Riviersonderend and Breede Rivers west of Swellendam. "/>
    <s v="Western Cape"/>
    <s v="Endemic to South Africa"/>
    <s v="South Africa"/>
    <s v="Low hills, slightly undulating to undulating plains and lower mountain slopes."/>
    <s v="MAP 210–610 mm (mean: 370 mm), peaking from May to August. Mean daily maximum and minimum temperatures 29.3°C and 4.8°C for February and July, respectively. Frost incidence 3–8 days per year. See also climate diagram for FRs 8 Breede Shale Renosterveld (Figure 4.101)."/>
    <s v="Clays and loams mostly derived from Bokkeveld and some Witteberg Group shales as well as Porterville Formation phyllite shale of the Malmesbury Group (Namibian Erathem) in the northwest. Glenrosa and Mispah forms are dominant. Land types mainly Fb, Fa and Ic. "/>
    <x v="242"/>
    <n v="621.80999999999995"/>
    <n v="616.41359999999997"/>
    <s v="PP"/>
    <x v="3"/>
    <x v="1"/>
    <s v="EN↔EN"/>
    <s v="B1iii_sp"/>
    <s v="Unchanged"/>
  </r>
  <r>
    <s v="Terrestrial"/>
    <s v="FFs10"/>
    <s v="Hawequas Sandstone Fynbos"/>
    <s v="Southwest Fynbos Bioregion"/>
    <x v="4"/>
    <s v="T3"/>
    <s v="T3.2"/>
    <s v="Western Cape Province: Between the Nuwekloof Pass near Gouda in the north to Franschhoek Pass near Franschhoek including the Elandskloof, Hawequas, Slanghoek, Klein-Drakenstein, Wemmershoek, Du Toitskloof and Stettyns Mountains. "/>
    <s v="Western Cape"/>
    <s v="Endemic to South Africa"/>
    <s v="South Africa"/>
    <s v="Mountains with slopes of various steepness, flanks of intermontane valleys and upland plateaus"/>
    <s v="MAP 530–2 140 mm (mean: 1 200 mm), peaking markedly May to August. Mean daily maximum and minimum temperatures 25.4°C and 4.4°C for February and July, respectively. Frost incidence 3–20 days per year. Southeasterly cloud brings heavy mist precipitation to southern and eastern slopes at higher altitudes in summer. See also climate diagram for FFs 10 Hawequas Sandstone Fynbos (Figure 4.21)."/>
    <s v="Acidic lithosol soils derived from Ordovician sandstones of the Table Mountain Group (Cape Supergroup). Land types mainly Ic and Ib."/>
    <x v="243"/>
    <n v="1010.3"/>
    <n v="1008.4552"/>
    <s v="WP"/>
    <x v="0"/>
    <x v="0"/>
    <s v="LC↔LC"/>
    <m/>
    <s v="Unchanged"/>
  </r>
  <r>
    <s v="Terrestrial"/>
    <s v="Gm22"/>
    <s v="Northern Escarpment Dolomite Grassland"/>
    <s v="Mesic Highveld Grassland Bioregion"/>
    <x v="0"/>
    <s v="T4"/>
    <s v="T4.5"/>
    <s v="Mpumalanga Province: From the high-lying dolomite grasslands of the Abel Erasmus Pass and Motlatse (Blyde) River (Vaalhoek) areas in the north, it extends southwards in a broad dolomite band along the Northern Escarpment, to as far south as the vicinity of Kaapsehoop. "/>
    <s v="Mpumalanga"/>
    <s v="Endemic to South Africa"/>
    <s v="South Africa"/>
    <s v=" Escarpment dolomite belt. "/>
    <s v="Summer rainfall, varying from 700 mm in the north, increasing southwards to 1 420 mm (MAP 1 034 mm). Most of this unit occurs in the mistbelt, with increased precipitation. Warm-temperate climate, with low frequency of frost. Temperature increases northwards, ranging from MAT of 15ºC in the south to 17ºC in the northern regions of the unit. See also climate diagram for Gm 22 Northern Escarpment Dolomite Grassland (Figure 8.36)."/>
    <s v="Malmani dolomites of the Chuniespoort Group (Transvaal Supergroup) which overlies the Black Reef Quartzite Formation. Soils usually have a high pH, are rich in calcium and magnesium, and with low phosphorus status. Deep Hutton and Griffin soil forms are common. Land types Fa, Ab and Ac."/>
    <x v="244"/>
    <n v="354.7"/>
    <n v="352.04160000000002"/>
    <s v="PP"/>
    <x v="3"/>
    <x v="1"/>
    <s v="EN↔EN"/>
    <s v="B1i_rod"/>
    <s v="Unchanged"/>
  </r>
  <r>
    <s v="Terrestrial"/>
    <s v="FFb6"/>
    <s v="Eastern Coastal Shale Band Vegetation"/>
    <s v="Eastern Fynbos-Renosterveld Bioregion"/>
    <x v="4"/>
    <s v="T3"/>
    <s v="T3.2"/>
    <s v="Western and Eastern Cape Provinces: Shale bands in the eastern Outeniqua (often also bearing forest patches), Langkloof, Tsitsikamma and Kareedouw Mountains and along the southern Cape coastal plains to around Oyster Bay with the most seaward belt reaching the coast at, for example, Clinton’s Bank south of Bloukrans Pass. See also Figure 4.78 featuring the simplified distribution of this unit."/>
    <s v="Eastern Cape, Western Cape"/>
    <s v="Endemic to South Africa"/>
    <s v="South Africa"/>
    <s v="Shale bands form narrow 80–200 m, linear, smooth and flat landscape features"/>
    <s v="Summer rainfall with very dry winters. MAP from about 550 mm in the southwest to about 750 mm in the northeast. Frequent frost in winter, but less on the ridges and hills. See also climate diagram for SVcb 11 Andesite Mountain Bushveld."/>
    <s v="Clays derived from shale of the Cedarberg Formation. Land types mainly Db, Ca, Bb, and Ib."/>
    <x v="245"/>
    <n v="30.02"/>
    <n v="29.270399999999999"/>
    <s v="PP"/>
    <x v="3"/>
    <x v="1"/>
    <s v="EN↔EN"/>
    <s v="B1i_rod, B2i_rod"/>
    <s v="Unchanged"/>
  </r>
  <r>
    <s v="Terrestrial"/>
    <s v="SKs3"/>
    <s v="Southern Richtersveld Yellow Duneveld"/>
    <s v="Namaqualand Sandveld Bioregion"/>
    <x v="3"/>
    <s v="T5"/>
    <s v="T5.2"/>
    <s v="Northern Cape Province: Richtersveld—a strip running parallel to, and roughly 5–12 km from, the coastline from the Holgat River in the north to almost level with Port Nolloth in the south. A small isolated patch also found east of Vyftienmyl se Berge. "/>
    <s v="Northern Cape"/>
    <s v="Endemic to South Africa"/>
    <s v="South Africa"/>
    <s v="Flat to undulating sand shields, in places also with dunes forming flat whale-backs. "/>
    <s v="MAP is 55–80 mm of winter rainfall. Low to medium average maximum temperatures. Wind and sand blasting from the south. Coastal fog also occurs. No incidence of frost."/>
    <s v="Yellow wind-blown sands, mainly of marine origin. Soils vary as to the soil depth covering various duricrusts, mainly calcrete. Ah is the dominant land type, while Ha land type is also present."/>
    <x v="246"/>
    <n v="303.86"/>
    <n v="302.77839999999998"/>
    <s v="NP"/>
    <x v="0"/>
    <x v="0"/>
    <s v="LC↔LC"/>
    <m/>
    <s v="Unchanged"/>
  </r>
  <r>
    <s v="Terrestrial"/>
    <s v="Gm21"/>
    <s v="Lydenburg Thornveld"/>
    <s v="Mesic Highveld Grassland Bioregion"/>
    <x v="0"/>
    <s v="T4"/>
    <s v="T4.5"/>
    <s v="Mpumalanga Province: Situated in a broad band between the high-lying mountains from just north of Ohrigstad, tapering southwards through Lydenburg to as far south as the area in the vicinity of the Kwena Dam. "/>
    <s v="Mpumalanga"/>
    <s v="Endemic to South Africa"/>
    <s v="South Africa"/>
    <s v="This unit occurs at lower levels at the foot of the mountains and on undulating plains."/>
    <s v="This unit occurs in the rainshadow of the Escarpment, where the climate is much drier and the winters are very cold (MAT 16°C). The rainfall is generally lower than in surrounding areas since it falls within a rainshadow. Rainfall 580–810 mm (MAP 707 mm). Most of this unit experiences fairly infrequent frost. See climate diagram for Gm 21 Lydenburg Thornveld (Figure 8.36)."/>
    <s v="Red clay soils mostly derived from shales of the Pretoria Group (including the Silverton and Timeball Hill Formations). Shales occasionally intersected with bands of quartzite or andesite. Land types Ba, Fa, Ib and Ae, with predominantly Mispah, Glenrosa or Hutton soil forms."/>
    <x v="247"/>
    <n v="1202.8800000000001"/>
    <n v="1192.7208000000001"/>
    <s v="PP"/>
    <x v="0"/>
    <x v="0"/>
    <s v="LC↔LC"/>
    <m/>
    <s v="Unchanged"/>
  </r>
  <r>
    <s v="Terrestrial"/>
    <s v="SKv1"/>
    <s v="Doringrivier Quartzite Karoo"/>
    <s v="Rainshadow Valley Karoo Bioregion"/>
    <x v="3"/>
    <s v="T5"/>
    <s v="T5.2"/>
    <s v="Western Cape Province: Valley of the Doring River (from Doringbos and the bottom of the Botterkloof) to the confluence of the Doring and Olifants Rivers. It also includes the broader surrounds of Knolvlei (north of Pakhuis Pass, north of Clanwilliam) and a small patch of the Karoo east of Trawal and southwest of Klawer. "/>
    <s v="Western Cape"/>
    <s v="Endemic to South Africa"/>
    <s v="South Africa"/>
    <s v="Slopes of low mountains and of deep river canyons as well as table lands "/>
    <s v="Semidesert region (obviously accentuated by the rainshadow of deeply incised valleys) with MAP reaching almost 200 mm and MAPE exceeding 2 500 mm. Pronounced concentration of precipitation in winter (June, July, August). December to February have very low (and erratic) rainfall. Incidence of frost is very low. See also climate diagram for SKv 1 Doringrivier Quartzite Karoo (Figure 5.65)."/>
    <s v="Here the Doring River cuts mostly through Table Mountain Group quartzites as well as some Bokkeveld Group (Nardouw Subgroup) sandstone and shale (both of Cape Supergroup). Ia , Ic and Ah land types are equally important."/>
    <x v="248"/>
    <n v="451.98"/>
    <n v="448.01119999999997"/>
    <s v="NP"/>
    <x v="0"/>
    <x v="0"/>
    <s v="LC↔LC"/>
    <m/>
    <s v="Unchanged"/>
  </r>
  <r>
    <s v="Terrestrial"/>
    <s v="FS1"/>
    <s v="Lamberts Bay Strandveld"/>
    <s v="West Strandveld Bioregion"/>
    <x v="4"/>
    <s v="T3"/>
    <s v="T3.2"/>
    <s v="Western Cape Province: Broad coastal strip between Donkin Bay (north of Lambert’s Bay) and Elands Bay (Verlorenvlei), penetrating deeply inland north of and along the Jakkals and Langvlei Rivers. "/>
    <s v="Western Cape"/>
    <s v="Endemic to South Africa"/>
    <s v="South Africa"/>
    <s v="Series of old dunes and slightly undulating, consolidated sand-dune fields"/>
    <s v="Mainly cyclonic annual rainfall varying from approximately 125 mm in the north to 200 mm in the south (overall MAP: 175 mm), occurring on average over six days in winter. Fog and dew contribute to the moisture in summer and autumn. Mean daily maximum and minimum temperatures 29.1°C and 7.0°C for February and July, respectively. Frost and hail are rare phenomena. The winds tend to be strong southerly in summer and northerly in winter. Hot, dry, desiccating offshore winds occur in both winter and summer. Salt-laden on-shore winds stunt shrubs along the coast. See also climate diagram for FS 1 Lambert’s Bay Strandveld (Figure 4.128)."/>
    <s v="Table Mountain Group sandstones form a rocky coastline and occur as sporadic outcrops throughout the area. The substrate is mainly deep, Tertiary to Quaternary, white to pale red, calcareous, aeolian, sandy to sandy loam soil of the hillocky veld. Local white sand of Pleistocene origin forms unstable blow-out dunes north of the mouths of the Verlorenvlei River at Elands Bay and the Jakkals River at Lambert’s Bay. Recent calcareous sands of marine origin also line the coastal strip. Dominant land types Hb and Ha."/>
    <x v="249"/>
    <n v="238.54"/>
    <n v="235.70480000000001"/>
    <s v="PP"/>
    <x v="2"/>
    <x v="2"/>
    <s v="CR↔CR"/>
    <s v="B1i_rod"/>
    <s v="Unchanged"/>
  </r>
  <r>
    <s v="Terrestrial"/>
    <s v="FFs11"/>
    <s v="Kogelberg Sandstone Fynbos"/>
    <s v="Southwest Fynbos Bioregion"/>
    <x v="4"/>
    <s v="T3"/>
    <s v="T3.2"/>
    <s v="Western Cape Province: From Franschhoek, Groot-Drakensteinberge and Simonsberg (near Stellenbosch) in the north passing southwards between Gordon’s Bay and Bot River to Cape Hangklip and Kleinmond in the south including the Jonkershoek, Stellenbosch, Franschhoek, Groenland, Hottentots Holland, Kogelberg and Palmietberge Mountains."/>
    <s v="Western Cape"/>
    <s v="Endemic to South Africa"/>
    <s v="South Africa"/>
    <s v="High mountains with steep to gentle slopes, and undulating plains and hills of varied aspect"/>
    <s v="MAP 670–3 000 mm (mean: 1 330 mm), peaking markedly May to August. This region has the highest recorded rainfall in the Cape (see Section 2.4.2 of this chapter). Mean daily maximum and minimum temperatures 24.0°C and 6.1°C for February and July, respectively. Frost incidence 2 or 3 days per year. The summit cloud (the ‘Hottentot’s Blanket’) is a regular feature in summer when the Southeaster (part of the global system of trade-winds) brings heavy mist precipitation to the summits and adjacent south-facing and east-facing slopes. See also climate diagram for FFs 11 Kogelberg Sandstone Fynbos (Figure 4.21)."/>
    <s v="Acidic lithosol soils derived from Ordovician sandstones of the Table Mountain Group (Cape Supergroup). Deep sandy blankets (whitish, nutrient-poor acidic sand) develop in depressions and on slopes resisting erosion. Land types mainly Ic, Ib and Gb."/>
    <x v="250"/>
    <n v="766.16"/>
    <n v="763.45399999999995"/>
    <s v="WP"/>
    <x v="2"/>
    <x v="2"/>
    <s v="CR↔CR"/>
    <s v="B1iii_sp"/>
    <s v="Unchanged"/>
  </r>
  <r>
    <s v="Terrestrial"/>
    <s v="SVl14"/>
    <s v="Swaziland Sour Bushveld"/>
    <s v="Lowveld Bioregion"/>
    <x v="1"/>
    <s v="T4"/>
    <s v="T4.2"/>
    <s v="Mpumalanga Province, Swaziland and marginally into KwaZulu-Natal: From Badplaas, Tjakastad east to Piggs Peak area in the north, southwards through valleys around Manzini and slopes around the Grand Valley, and some isolated mountain outcrops in the lowveld plains, for example the Nkambeni Hills and Bulungu Mountains. "/>
    <s v="KwaZulu-Natal, Mpumalanga"/>
    <s v="Endemic to ZA, Ls, Sz"/>
    <s v="South Africa"/>
    <s v="Very hilly with moderate to steep slopes, positioned at higher altitudes than the adjacent SVl 3 Granite Lowveld to the east."/>
    <s v="Summer rainfall with dry winters. MAP about 700–1 350 mm. Frost infrequent to occasional at higher altitudes. See also climate diagram for SVl 14 Swaziland Sour Bushveld."/>
    <s v="Grey soils derived mostly from Randian granites (Mpuluzi and Mswati) and Swazian granites and gneisses (Usutu Suite and Ngwane gneiss). The area reaches to the Onverwacht Group of the Barberton Greenstone Belt in the far north. Soils are dark, very clayey, of the Sterkspruit, Valsrivier, Swartland soil forms. Land types were unclassified in Swaziland, but elsewhere they are mainly Fa, Fb and Ae."/>
    <x v="251"/>
    <n v="3426.72"/>
    <n v="3420.6568000000002"/>
    <s v="WP"/>
    <x v="0"/>
    <x v="0"/>
    <s v="LC↔LC"/>
    <m/>
    <s v="Unchanged"/>
  </r>
  <r>
    <s v="Terrestrial"/>
    <s v="FOz2"/>
    <s v="Northern Afrotemperate Forest"/>
    <s v="Zonal &amp; Intrazonal Forests"/>
    <x v="8"/>
    <s v="T2"/>
    <s v="T2.4"/>
    <s v="Free State, KwaZulu-Natal, Mpumalanga, North-West, Gauteng and Limpopo Provinces (as well as Lesotho): Restricted to mountain kloofs and low ridges (Strydpoortberg, Waterberg, Pilanesberg, Witwatersrand, Magaliesberg, Suikerbosrand, Sekhukhuneland) interrupting the relatively ?at northern highveld. This group also comprises forests found in kloofs along the northern and eastern ?anks of the Drakensberg and those found on the slopes and scarps of the Low Escarpment between Van Reenen’s Pass and Pongola Bush near Piet Retief. The westernmost localities of these forests are found in the Koranaberg (close to Thaba ‘Nchu). The remnants of forests rich in afrotemperate elements in Lesotho might also be classi?ed within this vegetation unit. "/>
    <s v="KwaZulu-Natal, Mpumalanga, Limpopo, Gauteng, Free State, North West"/>
    <s v="Endemic to South Africa"/>
    <s v="South Africa"/>
    <s v="Low (in the Low Escarpment region with canopy reaching up to 20 m)"/>
    <s v="0"/>
    <s v="Shallow acidic soils over sandstones of the Karoo Supergroup, quartzites and rarely also volcanic rocks of Ventersdorp Supergroup and intrusive diabases of Pretoria Igneous Complex."/>
    <x v="252"/>
    <n v="162.82"/>
    <n v="182.4496"/>
    <s v="WP"/>
    <x v="0"/>
    <x v="0"/>
    <s v="LC↔LC"/>
    <m/>
    <s v="Unchanged"/>
  </r>
  <r>
    <s v="Terrestrial"/>
    <s v="Dg9"/>
    <s v="Eastern Gariep Plains Desert"/>
    <s v="Gariep Desert Bioregion"/>
    <x v="2"/>
    <s v="T5"/>
    <s v="T5.5"/>
    <s v="Comprises the sheet wash plains east of the Richtersveld, which lead down to the Orange River at Henkries, Goodhouse, Kabis, Klein Pella/Kambreek and the vicinity of Onseepkans. Also mapped on plains west of Pella to south of Vuurdoodberg Mountain (and Goodhouse) in the west, forming a broad east-west passage between the mountains to the north that fringe or are close to the Orange River and the more broken east-west line of hills and mountains to the south (for example Annakoppies, Grootberg, Witberg, Haramoebberge, Bantamberg and Amankop). Also found at lower reaches of the Kaboep River in the east. This unit also occurs north of the Orange River in Namibia. "/>
    <s v="Northern Cape"/>
    <s v="Namibia"/>
    <s v="South Africa"/>
    <s v="Often sloping plains, sharply contrasting with the surrounding rocky hills and mountains. "/>
    <s v="MAP about 45–80 mm, with rainfall peak in late summer and early autumn, becoming more pronounced eastwards. Summer maximum temperatures are often higher than 40°C, and occasionally reaching 50°C at low altitudes. Frost very rare. Mean monthly maxima and minima for Goodhouse are 44.9°C and 1.9°C for January and July, respectively. See also Figure 6.2."/>
    <s v="Quaternary sheet-wash alluvial deposits, sands, deep in places; in south, red-yellow apedal, freely drained soils with a high base status. Land types Ag and Ae."/>
    <x v="253"/>
    <n v="1201.3699999999999"/>
    <n v="1198.2212"/>
    <s v="PP"/>
    <x v="0"/>
    <x v="0"/>
    <s v="LC↔LC"/>
    <m/>
    <s v="Unchanged"/>
  </r>
  <r>
    <s v="Terrestrial"/>
    <s v="SVk8"/>
    <s v="Kuruman Vaalbosveld"/>
    <s v="Eastern Kalahari Bushveld Bioregion"/>
    <x v="1"/>
    <s v="T4"/>
    <s v="T4.1"/>
    <s v="North-West and Northern Cape Provinces: East of Kuruman to Lykso, south of Bendell towards Good Hope. "/>
    <s v="Northern Cape, North West"/>
    <s v="Endemic to South Africa"/>
    <s v="South Africa"/>
    <s v="much bare soil in places"/>
    <s v="Summer and autumn rainfall with very dry winters. MAP about 350–450 mm. Frost very frequent in winter. See also climate diagram for SVk 8 Kuruman Vaalbosveld."/>
    <s v="Carbonates and chert of the Vaalian Griqualand West Supergroup and Kalahari sediments form flat, rocky, sandy plains with shallow (0.1–0.6 m) red aeolian sands, stony and underlain by rock. Dominant land types Ae and Fc, with Hutton, Clovelly and Mispah soil forms common."/>
    <x v="254"/>
    <n v="3754.61"/>
    <n v="3235.8231999999998"/>
    <s v="NP"/>
    <x v="0"/>
    <x v="0"/>
    <s v="LC↔LC"/>
    <m/>
    <s v="Unchanged"/>
  </r>
  <r>
    <s v="Terrestrial"/>
    <s v="SKs6"/>
    <s v="Oograbies Plains Sandy Grassland"/>
    <s v="Namaqualand Sandveld Bioregion"/>
    <x v="3"/>
    <s v="T4"/>
    <s v="T4.5"/>
    <s v="Northern Cape Province: Richtersveld—central and lower portion of the large plains east of Vyftienmyl se Berge, starting at about ca. 25 km east of Port Nolloth and continuing northeastwards for another 25 km. "/>
    <s v="Northern Cape"/>
    <s v="Endemic to South Africa"/>
    <s v="South Africa"/>
    <s v="Flat or slightly undulating landscape with some dune ridges. Main habitats are dune formations and flat sand sheets"/>
    <s v="MAP estimated to range from 80–120 mm, with winter rainfall clearly dominant. Frequent fog occurrence. Incidence of frost is very rare. See also climate diagram for SKs 6 Oograbies Plains Sandy Grassland (Figure 5.39)."/>
    <s v="Stabilised, deep, red, aeolian sands forming fossil dunes and overlying gneiss of the Namaqualand Metamorphic Complex forming active dunes in places. Ai is the dominant land type, with Ae land type playing a minor role."/>
    <x v="255"/>
    <n v="123.07"/>
    <n v="122.7932"/>
    <s v="NP"/>
    <x v="0"/>
    <x v="0"/>
    <s v="LC↔LC"/>
    <m/>
    <s v="Unchanged"/>
  </r>
  <r>
    <s v="Terrestrial"/>
    <s v="SVmp5"/>
    <s v="Tsende Mopaneveld"/>
    <s v="Mopane Bioregion"/>
    <x v="1"/>
    <s v="T4"/>
    <s v="T4.1"/>
    <s v="Limpopo Province: The main block occurs on undulating terrain west of the basalt plains from the Mphongolo River and Sirheni Bushveld Camp area in the north, southwards across the Shingwedzi River and extending slightly outside the Kruger National Park to include areas near to Malamulele and Mahlathi, through the upper Tsende River catchment area to around Mopani Camp in the south. Another belt occurs further south from the area around the Hans Merensky Nature Reserve in the west to the vicinity of Letaba Rest Camp in the east. It is also mapped as a narrow irregular strip immediately to the east of the basalt plains as far south as the Shingwedzi River area. "/>
    <s v="Limpopo"/>
    <s v="Mozambique"/>
    <s v="South Africa"/>
    <s v="Slightly undulating plains"/>
    <s v="Summer rainfall with very dry winters. MAP about 450–650 mm. Generally a frost-free area. See also climate diagram for SVmp 5 Tsende Mopaneveld."/>
    <s v="Three quarters of the area is underlain by potassium-poor, quartz-feldspar rocks of the Goudplaats Gneiss Basement. The northeastern part of the area lies on Letaba basalts of the Karoo Supergroup. Typically clayey soils occur, but with less than 15% clay in the A-horizon on the upland positions. Generally deeper clayey soils are found on the flats; the northeastern outlier area has more sandy soils—weathered products of basalt and Quaternary sand and gravel."/>
    <x v="256"/>
    <n v="4729.43"/>
    <n v="4722.1211999999996"/>
    <s v="WP"/>
    <x v="0"/>
    <x v="0"/>
    <s v="LC↔LC"/>
    <m/>
    <s v="Unchanged"/>
  </r>
  <r>
    <s v="Terrestrial"/>
    <s v="SKk2"/>
    <s v="Central Knersvlakte Vygieveld"/>
    <s v="Knersvlakte Bioregion"/>
    <x v="3"/>
    <s v="T5"/>
    <s v="T5.2"/>
    <s v="Western Cape Province: Knersvlakte (southern part of Namaqualand), along the upper courses of the Salt River and the Groot-Graafwater River north of Vanrhynsdorp. "/>
    <s v="Western Cape"/>
    <s v="Endemic to South Africa"/>
    <s v="South Africa"/>
    <s v="Slightly undulating landscape"/>
    <s v="Winter-rainfall climate with dry, hot summers and mild, rainy winters. MAP of 110 mm, fog and dew occasionally supplementing the water supply. Lowest temperatures in winter 5–10°C. The highest temperatures in summer 30–35°C. Winters are mild, with rare occurrence of frost (on average 3 days per year). See also climate diagram for SKk 2 Central Knersvlakte Vygieveld (Figure 5.53)."/>
    <s v="Underlain by the clastic sediments of the Vanrhynsdorp Group (particularly by the Knersvlakte Subgroup, Namibian Erathem) and partly covered by Cenozoic superficial deposits and some Gariep Supergroup schists. Soils are shallow to moderately deep, with low salinity and sometimes deep, coarse and unstructured red, aeolian, sandy soils with very low skeletal content. Half of the area is classified as Fc land type, while Ia and Ah land types cover about one quarter of the area each."/>
    <x v="257"/>
    <n v="129.35"/>
    <n v="129.13919999999999"/>
    <s v="WP"/>
    <x v="0"/>
    <x v="0"/>
    <s v="LC↔LC"/>
    <m/>
    <s v="Unchanged"/>
  </r>
  <r>
    <s v="Terrestrial"/>
    <s v="FOz7"/>
    <s v="Northern Coastal Forest"/>
    <s v="Zonal &amp; Intrazonal Forests"/>
    <x v="8"/>
    <s v="T1"/>
    <s v="T1.2"/>
    <s v="KwaZulu-Natal and (to a very small extent) Eastern Cape Province: Especially along the seaboards of Indian Ocean of KwaZulu-Natal Province and particularly well-developed in Maputaland. Few patches of the dune forest also occur on the Wild Coast of Transkei (Eastern Cape Province). Beyond South Africa these forests occur throughout the Mozambican seaboard as far as southern Tanzania. "/>
    <s v="KwaZulu-Natal, Eastern Cape"/>
    <s v="Mozambique"/>
    <s v="South Africa"/>
    <m/>
    <s v="0"/>
    <s v="Well-developed sandy-loamy soils on sedimentary rocks of the Karoo Supergroup and Jurassic intrusive dolerites (in places) as well as on Holocene marine sediments. Forming stabilised sandy dune systems, mostly younger than 10 000 years and still in the process of sedimentation."/>
    <x v="258"/>
    <n v="516.38"/>
    <n v="515.33360000000005"/>
    <s v="WP"/>
    <x v="0"/>
    <x v="0"/>
    <s v="LC↔LC"/>
    <m/>
    <s v="Unchanged"/>
  </r>
  <r>
    <s v="Terrestrial"/>
    <s v="FFq6"/>
    <s v="Suurberg Quartzite Fynbos"/>
    <s v="Eastern Fynbos-Renosterveld Bioregion"/>
    <x v="4"/>
    <s v="T3"/>
    <s v="T3.2"/>
    <s v="Eastern Cape Province: From Baroe in the west along the Kleinwinterhoekberge, the Suurberge north of Kirkwood, multiple ridges in the vicinity of Somerset East and Alicedale, immediately south of Grahamstown some slopes and hills, e.g. Signal Hill to the Kaprivierberge east of Grahamstown. "/>
    <s v="Eastern Cape"/>
    <s v="Endemic to South Africa"/>
    <s v="South Africa"/>
    <s v="Low rounded hills and mountains supporting low to medium high"/>
    <s v="MAP 220–820 mm (mean: 545 mm), peaking bimodally from October–November and February–March. Mean daily maximum and minimum temperatures 27.7°C and 4.7°C for February and July, respectively. Frost incidence 2–10 days per year. See also climate diagram for FFq 6 Suurberg Quartzite Fynbos (Figure 4.51)."/>
    <s v="Sandy soils, predominantly Glenrosa and Mispah forms, derived from Witteberg Group quartzite. Land types mainly Fa, Fb and Ib."/>
    <x v="259"/>
    <n v="670.25"/>
    <n v="668.60239999999999"/>
    <s v="MP"/>
    <x v="0"/>
    <x v="0"/>
    <s v="LC↔LC"/>
    <m/>
    <s v="Unchanged"/>
  </r>
  <r>
    <s v="Terrestrial"/>
    <s v="SKn4"/>
    <s v="Namaqualand Heuweltjieveld"/>
    <s v="Namaqualand Hardeveld Bioregion"/>
    <x v="3"/>
    <s v="T5"/>
    <s v="T5.2"/>
    <s v="Northern Cape Province: At the western foothills of the Namaqualand Escarpment from west of Steinkopf southwards to Soebatsfontein and to Kotzesrust. "/>
    <s v="Northern Cape"/>
    <s v="Endemic to South Africa"/>
    <s v="South Africa"/>
    <s v="Undulating plains leading up to the Escarpment with a mosaic of communities on heuweltjies (slightly raised, rounded termite mounds up to 10 m in diameter) and in between the heuweltjies."/>
    <s v="Winter-rainfall climate with irregular rain events occurring mostly from May to August and almost always no rain between November and February. MAP of 115 mm. Dew is experienced throughout the winter. MAT is quite high (17.8ºC) and frosts hardly occur. In the coldest months of the year (May to August) temperatures below 10ºC are often recorded. The highest temperatures are reached from December to January (may well exceed 30ºC). See also climate diagram for SKn 4 Namaqualand Heuweltjieveld (Figure 5.29)."/>
    <s v="Deep red loamy soils on granites and gneisses of Mokolian age (most significantly the Kamieskroon Gneiss and Gladkop Suite). Ag land type dominates the area (58%), while Ae land type makes up most of the remainder of the area."/>
    <x v="260"/>
    <n v="4594.46"/>
    <n v="4581.3527999999997"/>
    <s v="PP"/>
    <x v="0"/>
    <x v="0"/>
    <s v="LC↔LC"/>
    <m/>
    <s v="Unchanged"/>
  </r>
  <r>
    <s v="Terrestrial"/>
    <s v="SKt2"/>
    <s v="Hantam Karoo"/>
    <s v="Trans-Escarpment Succulent Karoo Bioregion"/>
    <x v="3"/>
    <s v="T5"/>
    <s v="T5.2"/>
    <s v="Northern (and to a smaller extent also Western) Cape Province: Greater part of the Onder-Bokkeveld and Hantam region between Nieuwoudtville and Calvinia. The unit also encompasses the lower slopes of the Hantamsberg (but not the mountain itself). A small patch of the unit is found north of the Langberg (west of Loeriesfontein)—where, in places, it also moves into the Western Cape Province. "/>
    <s v="Northern Cape, Western Cape"/>
    <s v="Endemic to South Africa"/>
    <s v="South Africa"/>
    <m/>
    <s v="Arid area (MAP around 190 mm and MAPE more than 2 550 mm), with clear peak in June to July and hardly any notable precipitation in December and January—characters typical of winter-rainfall regime. MAT 16–17°C and incidence of frost high (for the same reasons as with SKt 1 Western Bushmanland Klipveld). See also climate diagram for SKt 2 Hantam Karoo (Figure 5.60)."/>
    <s v="Sediments of the Karoo Sequence (predominantly Ecca Group shales and Dwyka tillites), both significantly intruded by dykes and sills of the Jurassic Karoo Dolerite Suite. About half of the region is classified as Fc land type, followed by Fb, Ag and Da."/>
    <x v="261"/>
    <n v="7331.9"/>
    <n v="7313.1343999999999"/>
    <s v="NP"/>
    <x v="0"/>
    <x v="0"/>
    <s v="LC↔LC"/>
    <m/>
    <s v="Unchanged"/>
  </r>
  <r>
    <s v="Terrestrial"/>
    <s v="FFs5"/>
    <s v="Winterhoek Sandstone Fynbos"/>
    <s v="Northwest Fynbos Bioregion"/>
    <x v="4"/>
    <s v="T3"/>
    <s v="T3.2"/>
    <s v="Western Cape Province: Groot Winterhoek Mountains from Dasklip Pass in the north to Saronsberg and Nuwekloof Pass, including the Witsenberg and Skurweberge (west of Gydo Pass) (which encircle a large patch of FFh 1 Kouebokkeveld Shale Fynbos in the Agter-Witsenberg) to the vicinity of Ceres and including the Gydo, Waboom, Vaalkloof and Houdenbek Mountains in the east. "/>
    <s v="Western Cape"/>
    <s v="Endemic to South Africa"/>
    <s v="South Africa"/>
    <s v="Moderately undulating high plain in the west, with rugged high peaks in the south and southeast, and two linear parallel north-south high mountains in the east, dissected by the Olifants River Valley. The eastern blocks are relatively flat, south- and north-sloping, dissected tablelands"/>
    <s v="MAP 370–1 350 mm (mean: 790 mm), peaking markedly May to August. Southeasterly cloud occasionally brings heavy mist precipitation at higher altitudes in summer. This is the wettest of the northern Sandstone Fynbos types. Mean daily maximum and minimum temperatures 26.7°C and 3.1°C for February and July, respectively. Frost incidence 10–30 days per year. See also climate diagram for FFs 5 Winterhoek Sandstone Fynbos (Figure 4.21)."/>
    <s v="Acidic lithosol soils derived from Ordovician sandstones of the Table Mountain Group (Cape Supergroup). Land types mainly Ic, Fa and Ib."/>
    <x v="262"/>
    <n v="1052.74"/>
    <n v="1050.8676"/>
    <s v="WP"/>
    <x v="0"/>
    <x v="0"/>
    <s v="LC↔LC"/>
    <m/>
    <s v="Unchanged"/>
  </r>
  <r>
    <s v="Terrestrial"/>
    <s v="Gm9"/>
    <s v="Tsakane Clay Grassland"/>
    <s v="Mesic Highveld Grassland Bioregion"/>
    <x v="0"/>
    <s v="T4"/>
    <s v="T4.5"/>
    <s v="Gauteng and Mpumalanga Provinces: In patches extending in a narrow band from Soweto to Springs, broadening southwards to Nigel and from there towards Vereeniging, as well as north of the Vaal Dam and between Balfour and Standerton (including Willemsdal)."/>
    <s v="Mpumalanga, Gauteng"/>
    <s v="Endemic to South Africa"/>
    <s v="South Africa"/>
    <s v="Flat to slightly undulating plains and low hills."/>
    <s v="Strongly seasonal summer rainfall, with very dry winters. MAP 630–720 mm. The overall MAT of 15°C indicates a transition between a cool-temperate and warm-temperate climate. The incidence of frost frequent, increasing towards the southeast. See also climate diagram for Gm 9 Tsakane Clay Grassland (Figure 8.36)."/>
    <s v="The most significant rock is the basaltic lava of the Klipriviersberg Group (Ventersdorp Supergroup), together with the sedimentary rocks of the Madzaringwe Formation of the Karoo Supergroup. Soils typical of Ba and Bb land types."/>
    <x v="263"/>
    <n v="451.76"/>
    <n v="435.85840000000002"/>
    <s v="PP"/>
    <x v="3"/>
    <x v="1"/>
    <s v="EN↔EN"/>
    <s v="B1i_rod"/>
    <s v="Unchanged"/>
  </r>
  <r>
    <s v="Terrestrial"/>
    <s v="SVl3"/>
    <s v="Granite Lowveld"/>
    <s v="Lowveld Bioregion"/>
    <x v="1"/>
    <s v="T4"/>
    <s v="T4.2"/>
    <s v="Limpopo and Mpumalanga Provinces, Swaziland and marginally also KwaZulu-Natal: A north-south belt on the plains east of the escarpment from Thohoyandou in the north, interrupted in the Bolobedu area, continued in the Bitavi area, with an eastward extension on the plains around the Murchison Range and southwards to Abel Erasmus Pass, Mica and Hoedspruit areas to the area east of Bushbuckridge. Substantial parts are found in the Kruger National Park spanning areas east of Orpen Camp southwards through Skukuza and Mkuhlu, including undulating terrain west of Skukuza to the basin of the Mbyamiti River. It continues further southward to the Hectorspruit area with a narrow westward extension up the Crocodile River Valley past Malelane, Kaapmuiden and the Kaap River Valley, entering Swaziland between Jeppe’s Reef in the west and the Komati River in the east, through to the area between Manzini and Siphofaneni, including the Grand Valley, narrowing irregularly and marginally entering KwaZulu-Natal near Pongola. "/>
    <s v="KwaZulu-Natal, Mpumalanga, Limpopo"/>
    <s v="Endemic to ZA, Ls, Sz"/>
    <s v="South Africa"/>
    <m/>
    <s v="Summer rainfall with dry winters. MAP from about 450 mm on the eastern flats to about 900 mm near the escarpment in the west. In a north-south direction, MAP of the unit appears to peak in Swaziland. Generally a frost-free region. Mean monthly maximum and minimum temperatures for Skukuza 39.5°C and –0.1°C for January and June, respectively. Corresponding values for Hoedspruit 38.0°C and 3.7°C for January and July, respectively. See also climate diagram for SVl 3 Granite Lowveld."/>
    <s v="From north to south, the Swazian Goudplaats Gneiss, Makhutswi Gneiss and Nelspruit Suite (granite gneiss and migmatite), and further south still, the younger Mpuluzi Granite (Randian) form the major basement geology of the area. Archaean granite and gneiss weather into sandy soils in the uplands and clayey soils with high sodium content in the lowlands."/>
    <x v="264"/>
    <n v="15035.65"/>
    <n v="14882.379199999999"/>
    <s v="WP"/>
    <x v="0"/>
    <x v="0"/>
    <s v="LC↔LC"/>
    <m/>
    <s v="Unchanged"/>
  </r>
  <r>
    <s v="Terrestrial"/>
    <s v="SVmp3"/>
    <s v="Cathedral Mopane Bushveld"/>
    <s v="Mopane Bioregion"/>
    <x v="1"/>
    <s v="T4"/>
    <s v="T4.1"/>
    <s v="Limpopo Province: Mapped as a limited area in the Kruger National Park on the flats east of Punda Maria Gate from around Dzundwini Mountain to Gumbandebvu Hills. Also extends northwards in the upper Madzaringwe River Valley and in the Shilahlandonga River Valley to the east. "/>
    <s v="Limpopo"/>
    <s v="Mozambique"/>
    <s v="South Africa"/>
    <s v="flats and gentle slopes"/>
    <s v="Summer rainfall with very dry winters. MAP about 400–500 mm. Generally a frost-free area. See also climate diagram for SVmp 3 Cathedral Mopane Bushveld."/>
    <s v="Sandstone and shale of the Karoo Supergroup are most important, with sandstone, basalt and tuff of the Soutpansberg Group (Mokolian Erathem) also significant. Soils are often deep, with high sodium content. Prismacutanic and/or pedocutanic diagnostic horizons are often dominant. Land types mainly Dc, Fc and Ca."/>
    <x v="265"/>
    <n v="276.92"/>
    <n v="276.88799999999998"/>
    <s v="WP"/>
    <x v="0"/>
    <x v="0"/>
    <s v="LC↔LC"/>
    <m/>
    <s v="Unchanged"/>
  </r>
  <r>
    <s v="Terrestrial"/>
    <s v="SVmp4"/>
    <s v="Mopane Basalt Shrubland"/>
    <s v="Mopane Bioregion"/>
    <x v="1"/>
    <s v="T4"/>
    <s v="T4.1"/>
    <s v="Limpopo and Mpumalanga Provinces: Mainly occurs in a large belt on the plains in the Kruger National Park from around Klopperfontein in the north, southwards and east of the Lebombo Mountain range through the Shingwedzi and Letaba Rest Camp areas to the vicinity of Olifants and Roodewal Rest Camps in the south. "/>
    <s v="Mpumalanga, Limpopo"/>
    <s v="Zimbabwe"/>
    <s v="South Africa"/>
    <s v="Mainly plains and slightly undulating plains "/>
    <s v="Summer rainfall with very dry winters. MAP about 400–600 mm. Generally a frost-free area. Mean monthly maximum and minimum temperatures for Shingwedzi 40.8°C and 2.4°C for November and June, respectively. See also climate diagram for SVmp 4 Mopane Basalt Shrubland."/>
    <s v="The area is built almost entirely by basalts (tholeitic and picritic) of the Letaba Formation (Lebombo Group, Karoo Supergroup). Soils are often deep and have a high clay content with a dark colour in the lower positions, becoming red on the higher middle slopes. Land types mainly Ea, with some Ia and Fb."/>
    <x v="266"/>
    <n v="2800.11"/>
    <n v="2800.2656000000002"/>
    <s v="WP"/>
    <x v="0"/>
    <x v="0"/>
    <s v="LC↔LC"/>
    <m/>
    <s v="Unchanged"/>
  </r>
  <r>
    <s v="Terrestrial"/>
    <s v="Dn1"/>
    <s v="Alexander Bay Coastal Duneveld"/>
    <s v="Southern Namib Desert Bioregion"/>
    <x v="2"/>
    <s v="MT2"/>
    <s v="MT2.1"/>
    <s v="Sandy coastal forelands between the mouth of the Orange and Cape Voltas south of Alexander Bay. The unit borders on the Richtersveld Coastal Duneveld of the Succulent Karoo Biome to the south. "/>
    <s v="Northern Cape"/>
    <s v="Namibia"/>
    <s v="South Africa"/>
    <s v="Mainly flats with few hills"/>
    <s v="Winter rainfall with MAP 45–50 mm, but rainfall highly variable between years. At Alexander Bay WO (Figure 6.2) rainfall has been recorded from 17 mm in the driest year to 90 mm in the wettest. Mean monthly maximum and minimum temperatures at this weather station are 35.7°C and 4.4°C for April and July, respectively. Temperature is moderated by the cold Atlantic Ocean, except on infrequent occasions when easterly winds occur and temperatures can exceed 40°C. Frost not recorded. Annual daily cloud cover averages about 50% at 08:00 and about 25% at 14:00. Heavy dew and fog occur frequently. Very strong southerly winds dominate throughout the year and are the primary determinant of the distribution of sand substrate types."/>
    <s v="White to beige, semimobile aeolian sands (Quaternary) over dorbank, gypsum deposits or metavolcanic bedrock (schist, chlorite, subordinate amphibolite) of the Grootderm Formation (Gariep Supergroup, Namibian Erathem)."/>
    <x v="267"/>
    <n v="1.4"/>
    <n v="1.3512"/>
    <s v="NP"/>
    <x v="2"/>
    <x v="2"/>
    <s v="CR↔CR"/>
    <s v="A3_nat, B1i_rod, B2i_rod"/>
    <s v="Unchanged"/>
  </r>
  <r>
    <s v="Terrestrial"/>
    <s v="FFs16"/>
    <s v="South Langeberg Sandstone Fynbos"/>
    <s v="Southern Fynbos Bioregion"/>
    <x v="4"/>
    <s v="T3"/>
    <s v="T3.2"/>
    <s v="Western Cape Province: Southern slopes of the Langeberg from the Keerom Mountains near Worcester to Cloete’s Pass north of Albertinia, Waboomsberg (north of Montagu), Warmwaterberg (north of Barrydale) and Amandelbosberg (northeast of Heidelberg) Mountains. Altitude 200–1 800 m with several high peaks such as Misty Point (1 709 m) and Grootberg (1 637 m), generally higher in the west than the east. FFs 30 Western Altimontane Sandstone Fynbos on the western peaks above 1 800 m."/>
    <s v="Western Cape"/>
    <s v="Endemic to South Africa"/>
    <s v="South Africa"/>
    <s v="Complex of gentle to very steep, south-facing slopes, not much dissected over most of the range, but deeply dissected in parts. The Cedarberg Shale Band is prominent in the east, in an almost vertical orientation, as a narrow, smooth-sided valley along which the hiking trails are orientated"/>
    <s v="MAP 320–1 440 mm (mean: 675 mm), peaking very slightly in winter and with a slight low from December to February. Southeasterly cloud brings heavy mist precipitation at higher altitudes in summer. Mean daily maximum and minimum temperatures 26.6°C and 4.0°C for January and July, respectively. Frost incidence 3–20 days per year. See also climate diagram for FFs 16 South Langeberg Sandstone Fynbos (Figure 4.21)."/>
    <s v="Acidic lithosol soils derived from Ordovician sandstones of the Table Mountain Group (Cape Supergroup). Land types mainly Ib and Ic."/>
    <x v="268"/>
    <n v="1183.31"/>
    <n v="1173.2852"/>
    <s v="WP"/>
    <x v="0"/>
    <x v="0"/>
    <s v="LC↔LC"/>
    <m/>
    <s v="Unchanged"/>
  </r>
  <r>
    <s v="Terrestrial"/>
    <s v="FFl3"/>
    <s v="Canca Limestone Fynbos"/>
    <s v="South Coast Fynbos Bioregion"/>
    <x v="4"/>
    <s v="T3"/>
    <s v="T3.2"/>
    <s v="Western Cape Province: Coastal forelands from Witsand at the mouth of the Breede River to Mossel Bay, with narrow outliers close to the coast between Hartenbos and Groot Brak River. Furthest occurrence inland is at about 10 km south of Riversdale or roughly 25 km from the coast. "/>
    <s v="Western Cape"/>
    <s v="Endemic to South Africa"/>
    <s v="South Africa"/>
    <s v="A series of hills with parallel crests, sand-filled plains and undulating hills."/>
    <s v="MAP 310–630 mm (mean: 485 mm), relatively constant throughout the year, but with a low from December to February. Mean daily maximum and minimum temperatures 25.5°C and 6.3°C for February and July, respectively. A mild temperature regime, with frost incidence only about 3 days per year. This is a marginally warmer unit than the other two limestone fynbos units. See also climate diagram for FFl 3 Canca Limestone Fynbos (Figure 4.97)."/>
    <s v="Shallow alkaline to neutral grey regic sands and Glenrosa and Mispah forms on limestone of the Bredasdorp Formation. Land types mainly Fc and Hb."/>
    <x v="269"/>
    <n v="613.95000000000005"/>
    <n v="622.39639999999997"/>
    <s v="NP"/>
    <x v="0"/>
    <x v="0"/>
    <s v="LC↔LC"/>
    <m/>
    <s v="Unchanged"/>
  </r>
  <r>
    <s v="Terrestrial"/>
    <s v="FFt2"/>
    <s v="Loerie Conglomerate Fynbos"/>
    <s v="Eastern Fynbos-Renosterveld Bioregion"/>
    <x v="4"/>
    <s v="T3"/>
    <s v="T3.2"/>
    <s v="Eastern Cape Province: Hankey Valley on both sides of the Gamtoos River, from Andrieskraal to Mondplaas on the southwestern side, and Patensie to Thornhill on the northeastern side. Also found in the lower Kwazunga Valley above Springfield and Rooikrans near Uitenhage. "/>
    <s v="Eastern Cape"/>
    <s v="Endemic to South Africa"/>
    <s v="South Africa"/>
    <s v="Moderately undulating plains dissected by major rivers."/>
    <s v="MAP 360–780 mm (mean: 600 mm), even throughout the year with a slight bimodal peak in March and October–November. Mean daily maximum and minimum temperatures 26.1°C and 6.9°C for February and July, respectively. Frost incidence about 3 days per year. See also climate diagram for FFt 2 Loerie Conglomerate Fynbos (Figure 4.83)."/>
    <s v="Acidic, moist clay-loam, Glenrosa and Mispah soils and conglomerates associated with shales and conglomerates of the Karoo Uitenhage sequence. Land types mainly Fc, Fa and Ib."/>
    <x v="270"/>
    <n v="182.83"/>
    <n v="181.578"/>
    <s v="PP"/>
    <x v="0"/>
    <x v="0"/>
    <s v="LC↔LC"/>
    <m/>
    <s v="Unchanged"/>
  </r>
  <r>
    <s v="Terrestrial"/>
    <s v="FFh10"/>
    <s v="Suurberg Shale Fynbos"/>
    <s v="Eastern Fynbos-Renosterveld Bioregion"/>
    <x v="4"/>
    <s v="T3"/>
    <s v="T3.2"/>
    <s v="Eastern Cape Province: East-west-trending, complex and multiple bands from the Klein Winterberg at Baroe in the west, Suurberg, and highly fragmented distributions around Riebeek East and Grahamstown. "/>
    <s v="Eastern Cape"/>
    <s v="Endemic to South Africa"/>
    <s v="South Africa"/>
    <s v="Low mountains or hills"/>
    <s v="MAP 280–1 560 mm (mean: 680 mm), relatively even with a low in December–January. Southeasterly cloud brings heavy mist precipitation at higher altitudes in summer. Mean daily maximum and minimum temperatures 27.2°C and 4.8°C for January and July, respectively. Frost incidence 3–10 days per year. See also climate diagram for FFb 4 Central Coastal Shale Band Vegetation (Figure 4.77)."/>
    <s v="Acidic, moist clay-loam Mispah and Glenrosa forms derived from Witteberg Group shales, associated with quartzite. Land types mainly Fa, Ib and Fb."/>
    <x v="271"/>
    <n v="278.3"/>
    <n v="277.9692"/>
    <s v="WP"/>
    <x v="0"/>
    <x v="0"/>
    <s v="LC↔LC"/>
    <m/>
    <s v="Unchanged"/>
  </r>
  <r>
    <s v="Terrestrial"/>
    <s v="AZd3"/>
    <s v="Cape Seashore Vegetation"/>
    <s v="Seashore Vegetation"/>
    <x v="5"/>
    <s v="MT2"/>
    <s v="MT2.1"/>
    <s v="Western Cape and Eastern Cape Provinces: Temperate coasts of the Atlantic Ocean (Olifants River mouth to Cape Agulhas) and Indian Ocean (Cape Agulhas to East London). According to Tinley (1985; see also Lubke et al. 1997), this stretch of coast comprises the South West and South Coasts."/>
    <s v="Eastern Cape, Western Cape"/>
    <s v="Endemic to South Africa"/>
    <s v="South Africa"/>
    <s v="Beaches, coastal dunes, dune slacks and coastal cliffs"/>
    <s v="The climate diagram for this unit (Figure 14.3) shows a largely uniform, all-year precipitation pattern, but this pattern must be interpreted with care since the unit encompasses regions of very diverse precipitation regimes. The West Coast (under influence of the Benguela Current) and the portion of the South Coast bordering on the Atlantic Ocean are characterised by cold seawater and frequent upwelling events. The local precipitation is low (as low as 100 mm in places) and typically seasonal "/>
    <s v="Young coastal sandy sediments forming beaches and dunes (Strandveld Formation), exposed to reworking by relentless winds and frequent sea storms. Some stretches of the West Coast are covered by extensive shell beds."/>
    <x v="272"/>
    <n v="215.48"/>
    <n v="215.18639999999999"/>
    <s v="WP"/>
    <x v="0"/>
    <x v="0"/>
    <s v="LC↔LC"/>
    <m/>
    <s v="Unchanged"/>
  </r>
  <r>
    <s v="Terrestrial"/>
    <s v="NKu1"/>
    <s v="Western Upper Karoo"/>
    <s v="Upper Karoo Bioregion"/>
    <x v="6"/>
    <s v="T5"/>
    <s v="T5.1"/>
    <s v="Northern Cape Province and a small part in the Western Cape Province: Plains from the Fish River and upper reaches of the Renoster River in the west as far as Fraserburg and Carnarvon in the east, sandwiched between the Bushmanland Basin in the north and the Roggeveld Karoo and edges of the Great Escarpment in the south. "/>
    <s v="Northern Cape, Western Cape"/>
    <s v="Endemic to South Africa"/>
    <s v="South Africa"/>
    <s v="Much dissected landscape in the southwest associated with the tributaries of the upper catchment of the Sak River (e.g. Renoster River, Riet River, Klein Sak River), often rocky. "/>
    <s v="Most of the precipitation occurs in autumn, peaking in March. MAP ranges from about 120–220 mm. Mean maximum and minimum monthly temperatures in Fraserburg are 36.2°C and –5.7°C for January and July, respectively. Corresponding values for Williston are 38.1°C and –4.5°C. Incidence of frost ranges from around 30 frost days per year in the north to about 60 days in the south. See also climate diagram for NKu 1 Western Upper Karoo (Figure 7.2). "/>
    <s v="Karoo sediments (shales, mudstones and arenites) of the Beaufort Group (Adelaide Subgroup) and to a lesser extent also of the Waterford Formation (Ecca Group). Intrusive dolerites of the Jurassic Karoo Dolerite Suite also feature. Glenrosa and Mispah soils (with lime generally present in the entire landscape) are overwhelmingly dominant. Fc land type dominates."/>
    <x v="273"/>
    <n v="17006.87"/>
    <n v="16964.977599999998"/>
    <s v="NP"/>
    <x v="0"/>
    <x v="0"/>
    <s v="LC↔LC"/>
    <m/>
    <s v="Unchanged"/>
  </r>
  <r>
    <s v="Terrestrial"/>
    <s v="SKr11"/>
    <s v="Rooiberg Quartz Vygieveld"/>
    <s v="Richtersveld Bioregion"/>
    <x v="3"/>
    <s v="T5"/>
    <s v="T5.2"/>
    <s v="Northern Cape Province: Richtersveld, region east of Eksteenfontein, south of the Rooiberg and west of the Helskloof Canyon. "/>
    <s v="Northern Cape"/>
    <s v="Endemic to South Africa"/>
    <s v="South Africa"/>
    <s v="Plateau with slightly undulating flats and hills, mosaic of rocky surfaces, loamy and silty-sandy plains and hills covered with quartz layers"/>
    <s v="MAP is 70–120 mm, with winter rainfall predominant. Very few frost days per year and fog plays no important role."/>
    <s v="Metavolcanics and quartzitic metasediments of the De Hoop Subgroup of the Orange River Group account for half the area, with most of the remainder being granite of the Vioolsdrif Suite (both are early Mokolian). Patches of quartzite with a diameter of some metres to several hundred metres embedded within grey granite-gneiss of the Precambrian. Saline loamy soils often underlie the quartz-rich top layers. The almost exclusive Metavolcanics and quartzitic metasediments.The almost exclusive land type is Ag."/>
    <x v="274"/>
    <n v="128.81"/>
    <n v="128.13480000000001"/>
    <s v="WP"/>
    <x v="0"/>
    <x v="0"/>
    <s v="LC↔LC"/>
    <m/>
    <s v="Unchanged"/>
  </r>
  <r>
    <s v="Terrestrial"/>
    <s v="Gm3"/>
    <s v="Eastern Free State Clay Grassland"/>
    <s v="Mesic Highveld Grassland Bioregion"/>
    <x v="0"/>
    <s v="T4"/>
    <s v="T4.5"/>
    <s v="Free State Province and marginally in Lesotho: Low-lying areas of the eastern regions of the province, covering the vicinities of Wepener (south), Petrus Steyn (north), Excelsior and east of Winburg (west) and Warden (east) and a thin extension between Maseru and Fouriesburg. "/>
    <s v="Free State"/>
    <s v="Endemic to ZA, Ls, Sz"/>
    <s v="South Africa"/>
    <s v="Flat to gently rolling land surfaces "/>
    <s v="Summer-rainfall region, with MAP around 630 mm. Much of the precipitation falls in form of thunderstorms between November and March. One of the coldest regions of the Highveld. Frost is very frequent in winter. See also climate diagram for Gm 3 Eastern Free State Clay Grassland (Figure 8.36)."/>
    <s v="Mudstones and sandstones of the Adelaide Formation (Beaufort Group) underlie this flat to slightly undulating terrain in the north, while the Tarkastad Formation (Beaufort Group) dominates the geology in the south. Dolerite dykes and sills as well as sandstone outcrops, resistant to weathering, form isolated hills and ridges (Gm 5 Basotho Montane Shrubland) that create a broken landscape, especially in the southern parts of the unit. Sepane, Arcadia, Estcourt and Rensburg forms dominate the moist bottomlands while the Glenrosa, Bonheim, Avalon, Clovelly and Mayo forms dominate the outcrops and slightly elevated areas. Major land types Ca and Bd."/>
    <x v="275"/>
    <n v="6030.98"/>
    <n v="6008.3459999999995"/>
    <s v="NP"/>
    <x v="1"/>
    <x v="3"/>
    <s v="VU↔VU"/>
    <s v="A3_nat, B1i_rod"/>
    <s v="Unchanged"/>
  </r>
  <r>
    <s v="Terrestrial"/>
    <s v="SVs2"/>
    <s v="Thukela Thornveld"/>
    <s v="Sub-Escarpment Savanna Bioregion"/>
    <x v="1"/>
    <s v="T4"/>
    <s v="T4.2"/>
    <s v="KwaZulu-Natal Province: Upper Thukela River basin fringing the SVs 1 Thukela Valley Bushveld on its upper border in a series of discontinuous patches. Largest area east of Estcourt–Colenso and including Ladysmith. Also some outliers on slopes south of Dundee. "/>
    <s v="KwaZulu-Natal"/>
    <s v="Endemic to South Africa"/>
    <s v="South Africa"/>
    <s v="The dominant landscape features are valley slopes to undulating hills. "/>
    <s v=" Summer rainfall with dry summers. MAP about 550–850 mm. Frost fairly infrequent, occurring mainly on the flats. Mean monthly maximum and minimum temperatures for Ladysmith 36.1°C and –3.6°C for January and July, respectively. Corresponding values for Escourt-TNK 34.5°C and –2.3°C for January and June, respectively. See also climate diagram for SVs 2 Thukela Thornveld."/>
    <s v="Broad variety of soils ranging from vertisols and solodised solonetzic soils to transitional fersiallitic soils (Edwards 1967) developing over Karoo Supergroup sediments of the Beaufort and Ecca Groups). Heavy soils are developed over Jurassic dolerite intrusions forming koppies and sills. Land types Fb, Fa, Db, Ea, Fc and Dc."/>
    <x v="276"/>
    <n v="1614.1"/>
    <n v="1631.7711999999999"/>
    <s v="PP"/>
    <x v="0"/>
    <x v="0"/>
    <s v="LC↔LC"/>
    <m/>
    <s v="Unchanged"/>
  </r>
  <r>
    <s v="Terrestrial"/>
    <s v="SVs7"/>
    <s v="Bhisho Thornveld"/>
    <s v="Sub-Escarpment Savanna Bioregion"/>
    <x v="1"/>
    <s v="T4"/>
    <s v="T4.2"/>
    <s v="Eastern Cape Province: From near Mthatha in a band parallel to but inland of the coast to north of East London, turning to run along the southern side of the Amathole Mountains as far as Fort Beaufort. Also on dissected hills and low mountains around Grahamstown, especially to the southwest, and in a few fragments in valleys northeast of the Amathole Mountains. "/>
    <s v="Eastern Cape"/>
    <s v="Endemic to South Africa"/>
    <s v="South Africa"/>
    <s v="On undulating to moderately steep slopes, sometimes in shallow, incised drainage valleys."/>
    <s v="Summer rainfall with some rain in winter. MAP from about 500 mm in the west to more than 900 mm in the east. The coefficient of variation in MAP is approximately 25%, but varies from about 20% at the coast to about 30% on the inland and western parts. Frost infrequent. The mean daily maximum temperatures for January 25°C in the east and 28°C in the west and the mean daily minimum temperatures for July 3°C inland and 9°C at the coast. Mean monthly maximum and minimum temperatures for King William’s Town 37.0°C and –1.6°C for February and June, respectively. See also climate diagram for SVs 7 Bhisho Thornveld."/>
    <s v="Mudstone with subordinate sandstone of the Adelaide Subgroup (Beaufort Group, Karoo Supergroup) underlies most of the area and is intruded by Karoo dolerite dykes and sills. The substrate is primarily loamy soils, but there is significant variability. The area was classified into a variety of land types, with Fa and Fb dominant."/>
    <x v="277"/>
    <n v="4845.63"/>
    <n v="4782.6260000000002"/>
    <s v="NP"/>
    <x v="0"/>
    <x v="0"/>
    <s v="LC↔LC"/>
    <m/>
    <s v="Unchanged"/>
  </r>
  <r>
    <s v="Terrestrial"/>
    <s v="AZa1"/>
    <s v="Fynbos Riparian Vegetation"/>
    <s v="Alluvial Vegetation"/>
    <x v="5"/>
    <s v="T3"/>
    <s v="T3.2"/>
    <s v="Western Cape and (partly) Eastern Cape Provinces: Vegetation of narrow belts of alluvial thickets and accompanying palmiet (Prionium serratum) vegetation along upper stretches of the rivers draining mountain fynbos. "/>
    <s v="Eastern Cape, Western Cape"/>
    <s v="Endemic to South Africa"/>
    <s v="South Africa"/>
    <s v="Narrow, flat or slightly sloping alluvial flats "/>
    <s v="Similar to the climate of the surrounding mountains (see climate diagrams for mesic types of fynbos such as those of the FFs and FFh groups; see the chapter on Fynbos in this book), although the presence of a river influences the microclimate of the valley considerably, making it cooler, moister and better sheltered from wind. The most detailed study on the climate in a river valley (Jonkershoek) was published by Wicht et al. (1969). (See also climate diagram in Figure 13.2.)"/>
    <s v="Alluvial sandy or silty soils over Quaternary sediments, largely derived from weathering of Table Mountain sandstone, Cape Supergroup shale and Cape Granite. The streams are fed mainly during the winter-rainfall season and later through seeps carrying acidic water rich in organic compounds (tannins) and with a characteristic brownish colour (locally called ‘tee-water’). Large streams carry water all year round, while some smaller streams can turn into a series of disconnected pools in the upper reaches in summer. Even in relatively small streams flooding can be quite violent, with strong flows especially in narrow gorges. Many trees and shrubs are adapted to uprooting or heavy damage by spates. The heavy erosion also results in a soil-poor substrate and plant cover is often very patchy, located in small depressions with some soil development or between boulders."/>
    <x v="278"/>
    <n v="18.21"/>
    <n v="18.187200000000001"/>
    <s v="WP"/>
    <x v="0"/>
    <x v="0"/>
    <s v="LC↔LC"/>
    <m/>
    <s v="Unchanged"/>
  </r>
  <r>
    <s v="Terrestrial"/>
    <s v="AZi6"/>
    <s v="Southern Karoo Riviere"/>
    <s v="Inland Saline Vegetation"/>
    <x v="5"/>
    <s v="T5"/>
    <s v="T5.2"/>
    <s v="Western and Eastern Cape Provinces: Alluvia of the Buffels, Bloed, Dwyka, Gamka, Sout, Kariega, and Sundays Rivers and their tributaries), east of Laingsburg as far west as Graaff-Reinet and Jansenville. This vegetation unit is embedded within the Koedoesberge-Moordenaars Karoo, Prince Albert Succulent Karoo, Gamka Karoo, Eastern Lower Karoo, and southern parts of the Eastern Upper Karoo as well as some parts of the Albany Thicket Biome south of Cradock. "/>
    <s v="Eastern Cape, Western Cape"/>
    <s v="Endemic to South Africa"/>
    <s v="South Africa"/>
    <s v="Narrow riverine flats "/>
    <s v="Transitional, bimodal (equinoctial) rainfall patterns with peaks in March (major) and November (minor). Climate is subarid on the whole, with overall MAP of 243 mm (range from 165 mm in the Gamka Karoo basin to 430 mm in the vicinity of Bedford). Overall warm-temperate regime, with MAT of 16.3°C, ranging from 14.6°C (Upper Karoo) to 18.3ºC (upper reaches of Sundays River). Frost occurs frequently in winter. See also climate diagram for AZi 6 Southern Karoo Riviere (Figure 13.2)."/>
    <s v="Recent sandy-clayey alluvial deposits rich in salt occurring on mudrocks and sandstones of the Adelaide Subgroup (Beaufort Group of the Karoo Supergroup) that support soils typical of Ia land type. Torrential convectional rains in summer cause sudden flood surges which remodel the riverbed and adjacent alluvium."/>
    <x v="279"/>
    <n v="4571.95"/>
    <n v="4535.0379999999996"/>
    <s v="PP"/>
    <x v="0"/>
    <x v="0"/>
    <s v="LC↔LC"/>
    <m/>
    <s v="Unchanged"/>
  </r>
  <r>
    <s v="Terrestrial"/>
    <s v="Gs10"/>
    <s v="Drakensberg Foothill Moist Grassland"/>
    <s v="Sub-Escarpment Grassland Bioregion"/>
    <x v="0"/>
    <s v="T4"/>
    <s v="T4.5"/>
    <s v="KwaZulu-Natal and Eastern Cape Provinces: Broad arc of Drakensberg piedmonts covering the surrounds of Bergville in the north, Nottingham Road, Impendle, Bulwer in the east, and Kokstad, Mount Currie, Underberg (KZN) and the surrounds of Mt Fletcher, Ugie, Maclear and Elliot (Eastern Cape) in the southwest. "/>
    <s v="KwaZulu-Natal, Eastern Cape"/>
    <s v="Endemic to South Africa"/>
    <s v="South Africa"/>
    <s v="Moderately rolling and mountainous, much incised by river gorges of drier vegetation types and by forest"/>
    <s v="Summer rainfall, with MAP almost 890 mm. MAT of 14.6°C and 26 frost days per year are indicative of a cooler, submontane form of warm-temperate climate. See also the climate diagram Gs 10 Drakensberg Foothill Moist Grassland (Figure 8.61)."/>
    <s v="Geology is dominated by mudstones and sandstones of the Tarkastad Subgroup and the Molteno Formation (Karoo Supergroup) as well as intrusive dolerites of Jurassic age. The dominant soils on the sedimentary parent material are well drained, with a depth of more than 800 mm and clay content from 15–55%, representing soil forms such as Hutton, Clovelly, Griffin and Oatsdale. On the volcanic parent material (dolerite) the soils are represented by forms such as Balmoral, Shortlands and Vimy. Most common land types Ac and Fa."/>
    <x v="280"/>
    <n v="7648.24"/>
    <n v="7575.7664000000004"/>
    <s v="PP"/>
    <x v="0"/>
    <x v="0"/>
    <s v="LC↔LC"/>
    <m/>
    <s v="Unchanged"/>
  </r>
  <r>
    <s v="Terrestrial"/>
    <s v="Gs18"/>
    <s v="Bedford Dry Grassland"/>
    <s v="Sub-Escarpment Grassland Bioregion"/>
    <x v="0"/>
    <s v="T4"/>
    <s v="T4.5"/>
    <s v="Eastern Cape Province: South of the Winterberg Mountains from Bruintjieshoogte and Somerset East in the west to Bedford and Adelaide, and to Fort Beaufort in the east. The eastern section lies north of the Great Fish River Valley. "/>
    <s v="Eastern Cape"/>
    <s v="Endemic to South Africa"/>
    <s v="South Africa"/>
    <s v="Gently undulating plains"/>
    <s v="Bimodal rainfall occurring in spring and late summer. MAP 310–550 mm. MAP is relatively uniform across this unit, but increases closer to the mountains and slightly from west to east. The coefficient of variation in MAP varies from 28–35% across the unit. Incidence of frost 3–31 days, higher towards the west than the east. See also climate diagram for Gs 18 Bedford Dry Grassland (Figure 8.61)."/>
    <s v="Loam or clay-loam soils typical of Fc (most of the region) as well as Db and Fb land types on the mudstones and sandstones of the Adelaide Subgroup (Beaufort Group, Karoo Supergroup)."/>
    <x v="281"/>
    <n v="1409.65"/>
    <n v="1407.4036000000001"/>
    <s v="NP"/>
    <x v="0"/>
    <x v="0"/>
    <s v="LC↔LC"/>
    <m/>
    <s v="Unchanged"/>
  </r>
  <r>
    <s v="Terrestrial"/>
    <s v="SVk9"/>
    <s v="Kuruman Thornveld"/>
    <s v="Eastern Kalahari Bushveld Bioregion"/>
    <x v="1"/>
    <s v="T4"/>
    <s v="T4.1"/>
    <s v="North-West and Northern Cape Provinces: On flats from the vicinity of Postmasburg and Danielskuil (here west of the Kuruman Hills) in the south extending via Kuruman to Tsineng and Dewar in the north. "/>
    <s v="Northern Cape, North West"/>
    <s v="Endemic to South Africa"/>
    <s v="South Africa"/>
    <s v="Flat rocky plains and some sloping hills "/>
    <s v="Summer and autumn rainfall with very dry winters. MAP about 300–450 mm. Frost frequent in winter. Mean monthly maximum and minimum temperatures for Kuruman 35.9°C and –3.3°C for January and June, respectively. See also climate diagram for SVk 9 Kuruman Thornveld."/>
    <s v="Some Campbell Group dolomite and chert and mostly younger, superficial Kalahari Group sediments, with red wind-blown (0.3–1.2 m deep) sand. Locally, rocky pavements are formed in places. Most important land types Ae, Ai, Ag and Ah, with Hutton soil form."/>
    <x v="282"/>
    <n v="5562.65"/>
    <n v="5504.1827999999996"/>
    <s v="NP"/>
    <x v="0"/>
    <x v="0"/>
    <s v="LC↔LC"/>
    <m/>
    <s v="Unchanged"/>
  </r>
  <r>
    <s v="Terrestrial"/>
    <s v="SVl5"/>
    <s v="Tshokwane-Hlane Basalt Lowveld"/>
    <s v="Lowveld Bioregion"/>
    <x v="1"/>
    <s v="T4"/>
    <s v="T4.1"/>
    <s v="Mpumalanga Province and Swaziland (and very slightly into Limpopo Province): On plains immediately west of the Lebombo Mountains from Balule and Satara Camps in Kruger National Park in the north, through Tshokwane, Lower Sabie and Crocodile Bridge Camps, Komatipoort to around Ngwenyeni in the south. In Swaziland it occurs from Vuvulane Settlement in the north, through Hlane Game Sanctuary to a point in the south approximately halfway between Siteki and Big Bend. "/>
    <s v="Mpumalanga, Limpopo"/>
    <s v="Mozambique"/>
    <s v="South Africa"/>
    <s v="Usually fairly flat plains "/>
    <s v="Summer rainfall with dry winters. MAP about 400–800 mm in the southernmost part in Swaziland. Mean monthly maximum and minimum temperatures for Satara (in the north of the unit) 40.2°C and 4.2°C for January and June, respectively. See also climate diagram for SVl 5 Tshokwane-Hlane Basalt Lowveld."/>
    <s v="The Letaba Formation basalts of the Karoo Supergroup in this area give rise to black, brown or red clayey soils, usually not more the 1 m deep. Vertisols, such as the Arcadia soil form, occur in low-lying areas and concave plains. Land types mainly Ea with some Dc."/>
    <x v="283"/>
    <n v="2980.65"/>
    <n v="2975.5527999999999"/>
    <s v="WP"/>
    <x v="0"/>
    <x v="0"/>
    <s v="LC↔LC"/>
    <m/>
    <s v="Unchanged"/>
  </r>
  <r>
    <s v="Terrestrial"/>
    <s v="FOz9"/>
    <s v="Ironwood Dry Forest"/>
    <s v="Zonal &amp; Intrazonal Forests"/>
    <x v="8"/>
    <s v="T4"/>
    <s v="T4.2"/>
    <s v="Limpopo Province: Northern part of the Kruger National Park in the Lebombo Mountains as well as in the surroundings of Punda Maria. Possibly also found in the Soutpansberg. "/>
    <s v="Limpopo"/>
    <s v="Mozambique"/>
    <s v="South Africa"/>
    <s v="On moderate to steep mountain slopes (up to 22°)"/>
    <s v="0"/>
    <s v="fine to medium-textured (dark red-brown to brown-red) sand to sandy- loamy soil derived from Soutpansberg Group sandstone and quartzite, Karoo Supergroup sandstone as well as Lebombo Group rhyolites and the Cretaceous Malvernia Formation sandstones. Rocks cover 60% of the surface and soil depth ranges from 100–250 mm. pH of soil spans 4.8–8.3 and there is a moderate concentration of soluble salts or the soil is strongly leached in places (Van Rooyen et al. 1981)."/>
    <x v="284"/>
    <n v="81.31"/>
    <n v="81.241200000000006"/>
    <s v="WP"/>
    <x v="0"/>
    <x v="0"/>
    <s v="LC↔LC"/>
    <m/>
    <s v="Unchanged"/>
  </r>
  <r>
    <s v="Terrestrial"/>
    <s v="Dn2"/>
    <s v="Namib Lichen Fields"/>
    <s v="Southern Namib Desert Bioregion"/>
    <x v="2"/>
    <s v="T5"/>
    <s v="T5.5"/>
    <s v="Series of small patches on coast-facing hill slopes, about 3.5 km from the coast immediately southeast of Alexander Bay and covering some 75 ha. "/>
    <s v="Northern Cape"/>
    <s v="Namibia"/>
    <s v="South Africa"/>
    <s v="Mainly on the southwestern slopes of a series of low hills, which form the highest elevation in the otherwise flat or slightly undulating landscape east and south of Alexander Bay."/>
    <s v="MAP of about 45 mm and rainfall is erratic, predominantly occurring in winter. High frequency of fog, estimated to be greater than 100 days per year, compared to 67 fog days per year measured at the Alexander Bay airport in the lee of the lichen fields outcrop. Fog carried inland by strong winds during the day makes close contact with the ground and the lichens during their period of photosynthesis. MAT 17.2°C. No frost recorded. Although strong southerly winds predominate, the lichen field has no wind-blown sand and lies in a localised corridor outside the general area of moving sand (note that Ramalina capensis can grow in habitats with high incidence of sandstorms)."/>
    <s v="The area straddles the divide between the metavolcanics of the Grootderm Formation and the schists and gneisses (metasediments) of the Oranjemund Formation, both of the Gariep Supergroup (Namibian). The former is mostly covered by quaternary coastal sediments—soft and powdery white clay soils (clay minerals kaolinite or chlorite) with gypsum crusts or gypsum deposits in the topsoil on the mid- to upper slopes and more sandy soils on the lower slopes. Salinity much higher than soils of the surrounding vegetation; some surface pebbles present."/>
    <x v="285"/>
    <n v="1.01"/>
    <n v="1.0136000000000001"/>
    <s v="WP"/>
    <x v="2"/>
    <x v="2"/>
    <s v="CR↔CR"/>
    <s v="B1i_rod, B2i_rod"/>
    <s v="Unchanged"/>
  </r>
  <r>
    <s v="Terrestrial"/>
    <s v="FFl2"/>
    <s v="De Hoop Limestone Fynbos"/>
    <s v="South Coast Fynbos Bioregion"/>
    <x v="4"/>
    <s v="T3"/>
    <s v="T3.2"/>
    <s v="Western Cape Province: Broad swathe on the coastal forelands from Struisbaai and Bredasdorp to Infanta at the Breede River Mouth, remaining seawards of the Potberg and including the hills of Bobbejaanskrans and Voëlneskrans north of De Hoop Vlei. "/>
    <s v="Western Cape"/>
    <s v="Endemic to South Africa"/>
    <s v="South Africa"/>
    <s v="An inland range of hills, with plains and moderately undulating plains on the seaward foreland, in places dotted with karstic sinkholes and dry valleys (poljes)"/>
    <s v="MAP 250–530 mm (mean: 385 mm), peaking slightly in autumn and winter with a low from December to February. This is the driest of the limestone fynbos types. Mean daily maximum and minimum temperatures 25.6°C and 6.6°C for January–February and July, respectively. Frost incidence about 3 days per year. See also climate diagram for FFl 2 De Hoop Limestone Fynbos (Figure 4.97)."/>
    <s v="Shallow, alkaline to neutral sand and bedrock, Glenrosa and Mispah forms on limestone of the Bredasdorp Formation. Topographically with less variegated relief than in the other limestone fynbos units, characterised by distinctive karstic valleys, sinkhole depressions and caves. Land types mainly Fc, Ib and Ic."/>
    <x v="286"/>
    <n v="660.99"/>
    <n v="661.67639999999994"/>
    <s v="MP"/>
    <x v="0"/>
    <x v="0"/>
    <s v="LC↔LC"/>
    <m/>
    <s v="Unchanged"/>
  </r>
  <r>
    <s v="Terrestrial"/>
    <s v="SVl17"/>
    <s v="Lebombo Summit Sourveld"/>
    <s v="Lowveld Bioregion"/>
    <x v="1"/>
    <s v="T4"/>
    <s v="T4.2"/>
    <s v="KwaZulu-Natal Province with small parts in Mpumalanga Province and Swaziland: Localised high points on the crest of the Lebombo Mountains from Mbuzini (Mpumalanga) in the north to the Ubombo area immediately north of Mkuze River Gorge in the south. Also occurs in Mozambique in a very limited area north of Namaacha. "/>
    <s v="KwaZulu-Natal, Mpumalanga"/>
    <s v="Mozambique"/>
    <s v="South Africa"/>
    <s v="Ridge plateaus and adjacent slightly sloping flanks"/>
    <s v="Summer rainfall with little rain in winter. MAP about 600–1 050 mm. Generally frost-free. See also climate diagram for SVl 17 Lebombo Summit Sourveld."/>
    <s v="Shallow soils of Glenrosa and Mispah forms over Jozini Formation rhyolite lavas (Karoo Supergroup). Heavier soils have developed over dolerite in places. Rocky outcrops are typical. Land types mainly Fa, Ea and Ib."/>
    <x v="287"/>
    <n v="43.23"/>
    <n v="42.513199999999998"/>
    <s v="NP"/>
    <x v="3"/>
    <x v="1"/>
    <s v="EN↔EN"/>
    <s v="B1i_rod, B2i_rod"/>
    <s v="Unchanged"/>
  </r>
  <r>
    <s v="Terrestrial"/>
    <s v="SVcb1"/>
    <s v="Dwaalboom Thornveld"/>
    <s v="Central Bushveld Bioregion"/>
    <x v="1"/>
    <s v="T4"/>
    <s v="T4.2"/>
    <s v="Limpopo and North-West Provinces: Flats north of the Dwarsberge and associated ridges mainly west of the Crocodile River in the Dwaalboom area but including a patch around Sentrum. South of the ridges it extends eastwards from the Nietverdiend area, north of the Pilanesberg to the Northam area. "/>
    <s v="Limpopo, North West"/>
    <s v="Botswana"/>
    <s v="South Africa"/>
    <s v="Plains"/>
    <s v=" Summer rainfall with very dry winters. MAP ranges from about 500–600 mm. This unit has the highest mean annual potential evaporation of savanna vegetation units outside the two Kalahari bioregions. Frost is fairly frequent in winter. See also climate diagram for SVcb 1 Dwaalboom Thornveld."/>
    <s v="Vertic black ultramafic clays which developed from norite and gabbro, also locally in small depressions along streams. Some areas have less clay. Some with high base status and eutrophic red soils. Underlying geology is an Archaean granite-gneiss terrane of the Swazian Erathem that is covered in parts by the mainly clastic as well as chemical sediments and volcanics of the Rayton and Silverton Formation, both of the Pretoria Group (Transvaal Supergroup). Mafic intrusive rocks of the Rustenburg Layered Suite, Bushveld Igneous Complex (Late Vaalian) are present in the east and include the Bierkraal Manetite Gabbro. Bronzite, harzburgite, norite and anorthosite are the major mafic rocks of the Rustenburg Suite. Land types mainly Ea and Ae."/>
    <x v="288"/>
    <n v="7662.32"/>
    <n v="5108.9763999999996"/>
    <s v="MP"/>
    <x v="0"/>
    <x v="0"/>
    <s v="LC↔LC"/>
    <m/>
    <s v="Unchanged"/>
  </r>
  <r>
    <s v="Terrestrial"/>
    <s v="FRd1"/>
    <s v="Nieuwoudtville-Roggeveld Dolerite Renosterveld"/>
    <s v="Karoo Renosterveld Bioregion"/>
    <x v="4"/>
    <s v="T3"/>
    <s v="T3.2"/>
    <s v="Northern Cape Province: Dolerite ridges and surrounding plains east of the Bokkeveld Plateau, immediately east and northeast of Nieuwoudtville between the Doring River in the vicinity of Grasberg in the north and Schoongezicht in the south as well as similar small areas but collectively larger areas on the Roggeveld Plateau, between Middelpos and Sutherland. "/>
    <s v="Northern Cape"/>
    <s v="Endemic to South Africa"/>
    <s v="South Africa"/>
    <s v="Ridges composed of rounded-block koppies and surrounding plains"/>
    <s v="MAP 140–530 mm (mean: 290 mm), peaking slightly from May to August. Mean daily maximum and minimum temperatures 30.3°C and 1.5°C for January and July, respectively. Frost incidence 10–50 days per year. See also climate diagram for FRd 1 Nieuwoudtville-Roggeveld Dolerite Renosterveld (Figure 4.117)."/>
    <s v="Intrusive dolerites of the Jurassic Karoo Dolerite Suite giving rise to clay soils varying from fine-textured sands on the koppies to heavy red-clay vertisols on the lower slopes and plains. Land types mainly Fc, Ea, Da and Ib."/>
    <x v="289"/>
    <n v="197.97"/>
    <n v="197.24520000000001"/>
    <s v="PP"/>
    <x v="0"/>
    <x v="0"/>
    <s v="LC↔LC"/>
    <m/>
    <s v="Unchanged"/>
  </r>
  <r>
    <s v="Terrestrial"/>
    <s v="SKr14"/>
    <s v="Southern Richtersveld Inselberg Shrubland"/>
    <s v="Richtersveld Bioregion"/>
    <x v="3"/>
    <s v="T5"/>
    <s v="T5.2"/>
    <s v="Northern Cape Province: Southern Richtersveld—inselbergs scattered over the plains between Anenous Pass and Port Nolloth, partly surrounded by patches of SKr 13 Southern Richtersveld Scorpionstailveld. Includes Klaarkop, Kabies se Berg, Rooidam se Koppe, Steenbok se Berge and Beesvlei se Berg (but excludes the unique Vyftienmyl se Berge inselbergs). "/>
    <s v="Northern Cape"/>
    <s v="Endemic to South Africa"/>
    <s v="South Africa"/>
    <s v="The inselbergs differ markedly in size, altitude, steepness, rockiness and spatial aggregation. "/>
    <s v="MAP estimated at 80–150 mm, with winter rainfall clearly predominant. The importance of fog is high in the west and decreases towards the east. Frost is very rare. See also climate diagram for SKr 14 Southern Richtersveld Inselberg Shrubland (Figure 5.12)."/>
    <s v="Granite, gneiss and schist mostly of the Gladkop and Hoogoor Suites (Mokolian) that were affected by the Namaqualand metamorphic event. Shallow soils of mostly loamy sand. Almost 75% of the area is Ag land type, followed by Ib."/>
    <x v="290"/>
    <n v="365.36"/>
    <n v="365.21600000000001"/>
    <s v="NP"/>
    <x v="0"/>
    <x v="0"/>
    <s v="LC↔LC"/>
    <m/>
    <s v="Unchanged"/>
  </r>
  <r>
    <s v="Terrestrial"/>
    <s v="FFl1"/>
    <s v="Agulhas Limestone Fynbos"/>
    <s v="South Coast Fynbos Bioregion"/>
    <x v="4"/>
    <s v="T3"/>
    <s v="T3.2"/>
    <s v="Western Cape Province: Agulhas Plain from the vicinity of Hermanus to Bredasdorp and Struisbaai. The largest expanses of limestone are found between the Klein River Lagoon and Grootbos, around Hagelkraal, Heuningrug and Soetanysberg. Some unmapped outliers occur at Hangklip, Macassar (False Bay) and Buffels Bay (Cape Peninsula). The most southerly patch of the unit extends to within 300 m of the southern tip of Africa. "/>
    <s v="Western Cape"/>
    <s v="Endemic to South Africa"/>
    <s v="South Africa"/>
    <s v="Low hills in plains, fragmented on the coastal margin of the Agulhas coastal forelands."/>
    <s v="MAP 410–660 mm (mean: 530 mm), peaking slightly from June to August. This is the wettest of all the limestone fynbos units. Mean daily maximum and minimum temperatures 25.5°C and 7.0°C for January and July, respectively. Frost incidence about 3 days per year. See also climate diagram for FFl 1 Agulhas Limestone Fynbos (Figure 4.97)."/>
    <s v="Shallow alkaline bedrock and alkaline, grey, regic sands on limestones of the Bredasdorp Formation. Land types mainly Hb, Db and Fa."/>
    <x v="291"/>
    <n v="265.51"/>
    <n v="257.42360000000002"/>
    <s v="PP"/>
    <x v="2"/>
    <x v="2"/>
    <s v="CR↔CR"/>
    <s v="B1i_inv, B1iii_sp"/>
    <s v="Unchanged"/>
  </r>
  <r>
    <s v="Terrestrial"/>
    <s v="SKk7"/>
    <s v="Citrusdal Vygieveld"/>
    <s v="Knersvlakte Bioregion"/>
    <x v="3"/>
    <s v="T5"/>
    <s v="T5.2"/>
    <s v="Western Cape Province: The unit encompasses several patches situated on the broad bottom of the Olifants River valley spanning surrounds of Citrusdal in the south, Clanwilliam, and Klawer in the north. Due to floristic and geologic reasons we incorporate into this unit also narrow shale bands crossing the low and mid-slopes of the valley. "/>
    <s v="Western Cape"/>
    <s v="Endemic to South Africa"/>
    <s v="South Africa"/>
    <s v="Broad, slightly sloping mountain flanks as well as ridges of low hillocks emerging from the bottom of the broad valley between mountain ranges"/>
    <s v="Winter-rainfall climate—the modelled MAP of 316 mm is the highest among the Knersvlakte vegetation units, but one can accept real values to be lower, apparently due to pronounced rainshadow effect. The mountains of the Olifants River in the south and Swartberg and Uitkomsberge in the north catch the scanty precipitation brought in by northwesterly winds and prevent penetration of the ocean-borne fog into the Olifants River Valley. MAT is around 18°C. Winters are mild, while summers are relatively hot. The incidence of frost is within the Knersvlakte norm (3–5 days per year). See also climate diagram for SKk 7 Citrusdal Vygieveld (Figure 5.53)."/>
    <s v="Dominated by shale and quartzite of the Cape Supergroup (most important being the Ceres Subgroup of the Bokkeveld Group and the Nardouw and Peninsula Subgroups of the TNardouw and Peninsula Subgroups) supporting sandy and sandy-loamy, moderately deep soils. The area is a mosaic of five almost equally important land types: Fc, Ib, Fb, Db and Ia."/>
    <x v="292"/>
    <n v="133.1"/>
    <n v="130.8784"/>
    <s v="PP"/>
    <x v="0"/>
    <x v="0"/>
    <s v="LC↔LC"/>
    <m/>
    <s v="Unchanged"/>
  </r>
  <r>
    <s v="Terrestrial"/>
    <s v="FFs4"/>
    <s v="Cederberg Sandstone Fynbos"/>
    <s v="Northwest Fynbos Bioregion"/>
    <x v="4"/>
    <s v="T3"/>
    <s v="T3.2"/>
    <s v="Western Cape Province: Mountains and rocky flats south of the Doring River from the Nardousberge through the Cederberg Mountains including the Pakhuisberge, Krakadouberge, Middelberg, Sneeukoppe, Tafelberg, Sneeuberg (but excluding the uppermost parts of the last-mentioned three), Breekkransberge and Sandfontein Peaks, and terminating on the Skurweberg (excluding the summit area of Sneeukop). Also included are the higher peaks (for example, Engelsman se Berg, Swartberg and Maanberg) west of the Olifants River Valley. Substantial sections of the western parts of the central and northern Cederberg are excluded from this unit. "/>
    <s v="Western Cape"/>
    <s v="Endemic to South Africa"/>
    <s v="South Africa"/>
    <s v="Flat to gently east- or north-sloping tableland, with steeper west-facing slopes (only upper parts in this unit)—both being rugged and dominated by rocky outcrops with gullies and flats of deep sand. Isolated mountain peaks occur and a more dissected mountainous terrain occurs in the west. The character of the Cederberg—the long, linear step or plateau that dominates the landscape between the upper and lower blocks of rugged sandstone—is given by the Cedarberg Shale Band (see FFb 1 Northern Inland Shale Band Vegetation)"/>
    <s v="MAP 180–600 mm (mean: 395 mm), peaking May to August. Mean daily maximum and minimum temperatures 28.4°C and 4°C for February and July, respectively. Frost incidence 3–30 days per year. See also climate diagram for FFs 4 Cederberg Sandstone Fynbos (Figure 4.21)."/>
    <s v="Acidic lithosol soils derived from Ordovician sandstones of the Table Mountain Group (Cape Supergroup). Land types mainly Ic, Ib, Ai and Fa."/>
    <x v="293"/>
    <n v="2241.9699999999998"/>
    <n v="2232.6588000000002"/>
    <s v="WP"/>
    <x v="0"/>
    <x v="0"/>
    <s v="LC↔LC"/>
    <m/>
    <s v="Unchanged"/>
  </r>
  <r>
    <s v="Terrestrial"/>
    <s v="SVcb17"/>
    <s v="Waterberg Mountain Bushveld"/>
    <s v="Central Bushveld Bioregion"/>
    <x v="1"/>
    <s v="T4"/>
    <s v="T4.2"/>
    <s v="Limpopo Province:  Waterberg Mountains, including the foothills, escarpment and tablelands south of the line between Lephalale and Marken and north of Bela-Bela and west of Mokopane and with outliers in the southwest such as the Boshofsberge and Vlieëpoortberge near Thabazimbi. "/>
    <s v="Limpopo"/>
    <s v="Endemic to South Africa"/>
    <s v="South Africa"/>
    <s v="Rugged mountains "/>
    <s v="Summer rainfall with very dry winters. MAP from about 500 mm in the lower-altitude northwest to about 750 mm on the higher parts of the main east-west range. Frost fairly frequent in winter. See also climate diagram for SVcb 17 Waterberg Mountain Bushveld."/>
    <s v="Mainly sandstone, subordinate conglomerate, siltstone and shale of the Kransberg Subgroup and medium- to coarse-grained sandstone, conglomerate, trachytic lava and quartz porphyry of the Swaershoek Formation, Nylstroom Subgroup (both Mokolian Waterberg Group). Dystrophic, acidic sandy, loamy to gravelly soil. Glenrosa and Mispah Forms. Land types mainly Ib, Ac, Fa and Ad."/>
    <x v="294"/>
    <n v="8187.27"/>
    <n v="8214.6759999999995"/>
    <s v="MP"/>
    <x v="0"/>
    <x v="0"/>
    <s v="LC↔LC"/>
    <m/>
    <s v="Unchanged"/>
  </r>
  <r>
    <s v="Terrestrial"/>
    <s v="SKs8"/>
    <s v="Namaqualand Coastal Duneveld"/>
    <s v="Namaqualand Sandveld Bioregion"/>
    <x v="3"/>
    <s v="T5"/>
    <s v="T5.2"/>
    <s v="Northern and Western Cape Provinces: Namaqualand Sandveld, coastal plains on or very near the sea, from Deurloopbaai (south of Port Nolloth) to Abraham Villiersbaai (south of the Groen River mouth). "/>
    <s v="Northern Cape, Western Cape"/>
    <s v="Endemic to South Africa"/>
    <s v="South Africa"/>
    <s v="Coastal peneplain with semimobile sand plains to highly mobile, sharp, angular dune plumes usually north of the estuaries."/>
    <s v="Arid, winter-rainfall area with MAP only 114 mm and almost all rain events occurring from May to August. Winter dew occurs throughout and often with fog rolling in from the sea in the mornings, sometimes fog also occurs in summer. The lowest temperatures in winter are around 10ºC (but hardly any frost), and the highest temperatures in summer just above 25ºC. See also climate diagram for SKs 8 Namaqualand Coastal Duneveld (Figure 5.39)."/>
    <s v="Quaternary, aeolian, yellowish or grey to white, up to 1.5 m deep fine sands forming mobile as well as stabilised coastal dune fields and overlying Tertiary sediments of marine origin. Ai land type covers about two thirds of the area and it is followed by Ha land type."/>
    <x v="295"/>
    <n v="735.23"/>
    <n v="727.27160000000003"/>
    <s v="MP"/>
    <x v="0"/>
    <x v="0"/>
    <s v="LC↔LC"/>
    <m/>
    <s v="Unchanged"/>
  </r>
  <r>
    <s v="Terrestrial"/>
    <s v="FFd5"/>
    <s v="Cape Flats Sand Fynbos"/>
    <s v="Southwest Fynbos Bioregion"/>
    <x v="4"/>
    <s v="T3"/>
    <s v="T3.2"/>
    <s v="Western Cape Province: Cape Flats from Blouberg and Koeberg Hills west of the Tygerberg Hills to Lakeside and Pelican Park in the south near False Bay, from Bellville and Durbanville to Klapmuts and Joostenberg Hill in the east, and to the southwest of the Bottelary Hills to Macassar and Firgrove in the south. "/>
    <s v="Western Cape"/>
    <s v="Endemic to South Africa"/>
    <s v="South Africa"/>
    <s v="Moderately undulating and flat plains"/>
    <s v="Winter-rainfall regime with precipitation peaking from May to August. MAP 580–980 mm (mean: 575 mm). Mists occur frequently in winter. Mean daily maximum and minimum monthly temperatures 27.1°C and 7.3°C for February and July, respectively. Frost incidence about 3 days per year. This is the wettest and the coolest of the West Coast sand fynbos types. See also climate diagram for FFd 5 Cape Flats Sand Fynbos (Figure 4.57)."/>
    <s v="Acid, tertiary, deep, grey regic sands, usually white, often Lamotte form. Land types mainly Ga, Hb and Db."/>
    <x v="296"/>
    <n v="102.25"/>
    <n v="88.8232"/>
    <s v="NP"/>
    <x v="2"/>
    <x v="2"/>
    <s v="CR↔CR"/>
    <s v="A3_nat, A3_wc, B1i_rod, B1i_inv, B1iii_sp"/>
    <s v="Unchanged"/>
  </r>
  <r>
    <s v="Terrestrial"/>
    <s v="SVs3"/>
    <s v="KwaZulu-Natal Hinterland Thornveld"/>
    <s v="Sub-Escarpment Savanna Bioregion"/>
    <x v="1"/>
    <s v="T4"/>
    <s v="T4.2"/>
    <s v="KwaZulu-Natal Province: Patches, scattered immediately above SVs 6 Eastern Valley Bushveld, at altitudes 450–900 m in river valleys of mainly the Mpisi (in the Thukela River catchment), Mvoti, Umgeni (below the Howick Falls), Mlazi, and Lufafa (vicinity of Ixopo) and Mtungwane (tributaries of the Mkomazi)."/>
    <s v="KwaZulu-Natal"/>
    <s v="Endemic to South Africa"/>
    <s v="South Africa"/>
    <s v="upper margins of river valleys"/>
    <s v="Summer rainfall pattern, with some rain in winter. MAP about 650–1 000 mm. Frost infrequent. Mean monthly maximum and minimum temperatures for Pietermaritzburg 37.2°C and –1.8°C for January and June, respectively. See also climate diagram for SVs 3 KwaZulu-Natal Hinterland Thornveld."/>
    <s v="Shallow sandy soils (Glenrosa and Mispah forms) developing over Ordovician Natal Group sandstones and compact, clayey soils on Dwyka diamictites (Karoo Supergroup) as well as on layered quartz-feldspar metasediments (Mapumulo Group, Mokolian) and granites of the Oribi Gorge Suite (also Mokolian). Land types mainly Fa and Fb with some Ca, Bd and Ac."/>
    <x v="297"/>
    <n v="1023.23"/>
    <n v="1014.4528"/>
    <s v="PP"/>
    <x v="0"/>
    <x v="0"/>
    <s v="LC↔LC"/>
    <m/>
    <s v="Unchanged"/>
  </r>
  <r>
    <s v="Terrestrial"/>
    <s v="FRa1"/>
    <s v="Breede Alluvium Renosterveld"/>
    <s v="East Coast Renosterveld Bioregion"/>
    <x v="4"/>
    <s v="T3"/>
    <s v="T3.2"/>
    <s v="Western Cape Province: Breede River, broad areas and narrow bands on valley bottomlands from Worcester to Ashton including the largest patch from Worcester to Nuy and Toontjiesrivier, and the belt in the vicinity of the Breede River also with many of its tributaries such as the Doringrivier south of Kwaggaskloof, Poesienetsrivier, Vinkrivier and Keisersrivier. "/>
    <s v="Western Cape"/>
    <s v="Endemic to South Africa"/>
    <s v="South Africa"/>
    <s v="Flat alluvial fans and valley bottoms"/>
    <s v="MAP 170–470 mm (mean: 265 mm), peaking slightly from July to August. Mean daily maximum and minimum temperatures 29.8°C and 4.7°C for February and July, respectively. Frost incidence 4–10 days per year. See also climate diagram for FRa 1 Breede Alluvium Renosterveld (Figure 4.123)."/>
    <s v="Fine loamy sand with high gravel and cobble contents of alluvial fans and river terraces, overlying a variety of rocks from the Cape and Karoo Supergroups as well as the Uitenhage Group. Glenrosa and Mispah forms and soils with prismacutanic and/or pedocutanic diagnostic horizons are dominant. Land types mainly Fc, Db, Da, Ae and Ia."/>
    <x v="298"/>
    <n v="180.83"/>
    <n v="174.52520000000001"/>
    <s v="NP"/>
    <x v="3"/>
    <x v="1"/>
    <s v="EN↔EN"/>
    <s v="B1i_rod"/>
    <s v="Unchanged"/>
  </r>
  <r>
    <s v="Terrestrial"/>
    <s v="SVcb22"/>
    <s v="VhaVenda Miombo"/>
    <s v="Central Bushveld Bioregion"/>
    <x v="1"/>
    <s v="T4"/>
    <s v="T4.2"/>
    <s v="Limpopo Province: As far as is known, it is limited to a small area in the upper reaches of the Mbodi River Valley between Shakadaza and Mafukani within the eastern extension of SVcb 21 Soutpansberg Mountain Bushveld. "/>
    <s v="Limpopo"/>
    <s v="Endemic to South Africa"/>
    <s v="South Africa"/>
    <s v="Moderately gentle to some steeper slopes with surface stone, in a narrow valley straddling a north-flowing section of the Mbodi River"/>
    <s v="Summer rainfall with very dry winters. MAP about 670–680 mm. Frost very infrequent. See also climate diagram for SVcb 22 VhaVenda Miombo."/>
    <s v="Sandstone and quartzite of the Wyllie’s Poort Formation (Mokolian Soutpansberg Group). Shallow sand with rock and deeper sands in some places. Land type is Ib."/>
    <x v="299"/>
    <n v="0.32"/>
    <n v="0.5272"/>
    <s v="WP"/>
    <x v="0"/>
    <x v="0"/>
    <s v="LC↔LC"/>
    <m/>
    <s v="Unchanged"/>
  </r>
  <r>
    <s v="Terrestrial"/>
    <s v="FOz5"/>
    <s v="Scarp Forest"/>
    <s v="Zonal &amp; Intrazonal Forests"/>
    <x v="8"/>
    <s v="T1"/>
    <s v="T1.2"/>
    <s v="Eastern Cape, KwaZulu-Natal and Mpumalanga Provinces as well as in Swaziland (and possibly also in Mozambique): An archipelago of scattered patches (some of them large, such as Ongoye) spanning southern Mpumalanga (Crocodile River Gorge), the southern part of Lebombo Mountains (KwaZulu-Natal) and reaching nearly as far as Kei River Mouth on the Transkei coast. Patches of this forest lie as far as 140 km inland (Mpumalanga), but extend increasingly closer to the sea in a southward direction—in Pondoland, and southern Transkei they occur at the coast or in deep gorges, often associated with krantzes, scarps and coastal platforms. "/>
    <s v="KwaZulu-Natal, Eastern Cape, Mpumalanga"/>
    <s v="Mozambique"/>
    <s v="South Africa"/>
    <m/>
    <s v="0"/>
    <s v="Natal Sandstone outcrops (Msikaba Group Sandstones in Pondoland) as well as syenitic granite, rhyolite of the Jozini Formation of the Lebombo Group (Karoo Supergroup) and other Karoo sedimentary rocks; supporting nutrient poor, leached and shallow soils."/>
    <x v="300"/>
    <n v="946.94"/>
    <n v="946.3"/>
    <s v="WP"/>
    <x v="0"/>
    <x v="0"/>
    <s v="LC↔LC"/>
    <m/>
    <s v="Unchanged"/>
  </r>
  <r>
    <s v="Terrestrial"/>
    <s v="FFq1"/>
    <s v="Stinkfonteinberge Quartzite Fynbos"/>
    <s v="Namaqualand Cape Shrublands Bioregion"/>
    <x v="4"/>
    <s v="T3"/>
    <s v="T3.2"/>
    <s v="Northern Cape Province: Central Richtersveld—a narrow belt along the top mountain ridges of the Vandersterrberg (1 366 m) east of Koeboes in the north, Cornellsberg (1 377 m) and Stinkfonteinberge (1 230 m) immediately north of Eksteenfontein in the south. "/>
    <s v="Northern Cape"/>
    <s v="Endemic to South Africa"/>
    <s v="South Africa"/>
    <s v="This unit forms the upper north-south-trending backbone of the Richtersveld. The landscape at the high altitudes above 1 100 m is as diverse as the geomorphology of the longitudinal mountain range. While over long distances it forms a ridge, in other places steep or rounded mountain tops are embedded, separated by saddles and valleys. In other parts, a plateau has been formed, allowing accumulation of soils above bedrock."/>
    <s v="MAP probably slightly over 200 mm. Fog occurs especially on the western side. Mean daily maximum and minimum temperatures 28.8°C and 2.8°C for January and July, respectively. Frost incidence 10–20 days per year. "/>
    <s v="A wide spectrum of different rocks, mostly quartzite, as well as other metamorphosed clastic sediments and minor volcanic rocks of the Stinkfontein Subgroup of the Precambrian Gariep Supergroup. Soils mainly loams or loamy sands. Land types mainly Ic."/>
    <x v="301"/>
    <n v="49.01"/>
    <n v="49.028799999999997"/>
    <s v="WP"/>
    <x v="0"/>
    <x v="0"/>
    <s v="LC↔LC"/>
    <m/>
    <s v="Unchanged"/>
  </r>
  <r>
    <s v="Terrestrial"/>
    <s v="FFs23"/>
    <s v="North Swartberg Sandstone Fynbos"/>
    <s v="Western Fynbos-Renosterveld Bioregion"/>
    <x v="4"/>
    <s v="T3"/>
    <s v="T3.2"/>
    <s v="Western and Eastern Cape Provinces: Stretching 270 km along the northern slopes of the Anysberg, Klein and Groot Swartberg to Slypsteenberg and Resbosrand in the east. Also includes the northern slope of the Touwsberg. "/>
    <s v="Eastern Cape, Western Cape"/>
    <s v="Endemic to South Africa"/>
    <s v="South Africa"/>
    <s v="Steep to very steep, mostly north-facing slopes, deeply dissected in parts. East-west-trending rugged mountain ranges. "/>
    <s v="MAP 160–580 mm (mean: 375 mm), peaking slightly in March, but otherwise even with a low from December to February. Mean daily maximum and minimum temperatures 28.3°C and 1.6°C for January and July, respectively. Frost incidence 10–40 days per year. See also climate diagram for FFs 23 North Swartberg Sandstone Fynbos (Figure 4.21)."/>
    <s v="Acidic lithosol soils derived from Ordovician sandstones of the Table Mountain Group (Cape Supergroup). Land types mainly Ic and Ib."/>
    <x v="302"/>
    <n v="846.59"/>
    <n v="846.11760000000004"/>
    <s v="WP"/>
    <x v="0"/>
    <x v="0"/>
    <s v="LC↔LC"/>
    <m/>
    <s v="Unchanged"/>
  </r>
  <r>
    <s v="Terrestrial"/>
    <s v="SVl9"/>
    <s v="Legogote Sour Bushveld"/>
    <s v="Lowveld Bioregion"/>
    <x v="1"/>
    <s v="T4"/>
    <s v="T4.2"/>
    <s v="Mpumalanga and Limpopo Provinces: Lower eastern slopes and hills of the northeastern escarpment from Mariepskop in the north through White River to the Nelspruit area extending westwards up the valleys of the Crocodile, Elands and Houtbosloop Rivers and terminating in the south in the Barberton area. "/>
    <s v="Mpumalanga, Limpopo"/>
    <s v="Endemic to South Africa"/>
    <s v="South Africa"/>
    <s v="Gently to moderately sloping upper pediment slopes "/>
    <s v="Summer rainfall with dry winters. MAP from about 700 mm on the footslopes of the escarpment in the east to about 1 150 mm where it borders on grassland at higher altitude to the west. Frost infrequent to occasional at higher altitudes. Mean monthly maximum and minimum temperatures for Nelspruit 35.7°C and 1.6°C for October and July, respectively. Corresponding values for Barberton-Agr 36.0°C and 0.8°C for October and June, respectively. Both weather stations lie at the eastern edge of the unit at lower altitude. See also climate diagram for SVl 9 Legogote Sour Bushveld."/>
    <s v="Most of the area is underlain by gneiss and migmatite of the Nelspruit Suite, but the southern part occurs on the potassium-poor rocks of the Kaap Valley Tonalite (both Swazian Erathem). The westernmost parts of the distribution are found in Pretoria Group shale and quartzite (Vaalian). Archaean granite plains with granite inselbergs and large granite boulders also occur. Soils are of Mispah, Glenrosa and Hutton forms, shallow to deep, sandy or gravelly and well drained. Diabase intrusions are common, giving rise to Hutton soils. Land types Ab, Fa and Ae."/>
    <x v="303"/>
    <n v="1137.4000000000001"/>
    <n v="1115.8616"/>
    <s v="PP"/>
    <x v="3"/>
    <x v="1"/>
    <s v="EN↔EN"/>
    <s v="B1i_rod"/>
    <s v="Unchanged"/>
  </r>
  <r>
    <s v="Terrestrial"/>
    <s v="SVl1"/>
    <s v="Makuleke Sandy Bushveld"/>
    <s v="Lowveld Bioregion"/>
    <x v="1"/>
    <s v="T4"/>
    <s v="T4.2"/>
    <s v="Limpopo and (very slightly into) Mpumalanga Provinces: Flats and hills east of the Soutpansberg, south of Klein Tshipise and Masisi, along the valleys of the Mutale River and mid- to lower Levuvhu River; the Maseya Sandveld and Punda Maria areas of the northern Kruger National Park and as few isolated patches in the park, for example Dzundwini Mountain in the north and a narrow sandstone belt sandwiched between the granite and the basalt reaching the Timbavati Picnic Area in the south. "/>
    <s v="Mpumalanga, Limpopo"/>
    <s v="Zimbabwe"/>
    <s v="South Africa"/>
    <s v="Variable landscapes from low mountains, slightly to extremely irregular plains to hills. "/>
    <s v="Summer rainfall with very dry winters. MAP about 300–700 mm. Generally a frost-free region, except possibly for higher elevations. Mean monthly maximum and minimum temperatures for Punda Maria 39.7°C and 8.5°C for December and July, respectively. See also climate diagram for SVl 1 Makuleke Sandy Bushveld."/>
    <s v="The Soutpansberg Group of sandstones with lesser amounts of conglomerate, shale and basalt is mostly exposed in this area (the Wyllie’s Poort, Fundudzi and Nzhelele Formations). Some Karoo Supergroup rocks are also present (Clarens and Letaba Formations). Most of the area has deep sands to shallow sandy lithosols. A few limited areas with heavier soil, particularly in the B-horizon, occur near the western boundary of the Kruger National Park."/>
    <x v="304"/>
    <n v="1597.58"/>
    <n v="1579.4295999999999"/>
    <s v="WP"/>
    <x v="0"/>
    <x v="0"/>
    <s v="LC↔LC"/>
    <m/>
    <s v="Unchanged"/>
  </r>
  <r>
    <s v="Terrestrial"/>
    <s v="Dn4"/>
    <s v="Western Gariep Lowland Desert"/>
    <s v="Southern Namib Desert Bioregion"/>
    <x v="2"/>
    <s v="T5"/>
    <s v="T5.5"/>
    <s v="Northwestern Richtersveld, mainly including the lower portion of the large tilted plain of the Annisvlakte pediment west of Kuboes and the hilly mafic lava rock landscape close to Arrisdrif, Brandkaros and Grootderm, close to the lowest reaches of the Orange River, thus extending some 43 km from the southwest to the northeast. The unit borders on Succulent Karoo to the south. "/>
    <s v="Northern Cape"/>
    <s v="Namibia"/>
    <s v="South Africa"/>
    <s v="On both the eastern plains and in the rocky hilly landscape in the west"/>
    <s v="MAP from about 45–60 mm with winter rains predominant. Fog frequency estimated to be 50–60 days per year. Temperatures are generally relatively mild due to the cooling effect of the nearby Atlantic Ocean, but can be up to 48°C on berg-wind days. No occurrence of frost. Winds and sandstorms are frequent and strong in the western regions of the unit."/>
    <s v="Outcrops of the Grootderm Formation (Gariep Supergroup) consist of chlorite-schist and other metamafic rocks between which filled valleys and plains are found in the west and unconsolidated sandy Quaternary pediments in the east. Biotite granite of the Kuboos Pluton (Cambrian) also occurs in the east. Mispah and Glenrosa soil forms also with red-yellow apedal freely drained soil and high base status are deeper than 300 mm. Gypsum crusts frequent. Along the slope of the large tilted plain of the Annisvlakte, running from the Goariep Mountain (Ploughberg) down to the Orange River, a catena of soil types is observed with silcretes in the upper portion, calcretes in the middle part and gypscretes in the lowest section (Ellis 1980). Land types Fc and Ae."/>
    <x v="305"/>
    <n v="196.56"/>
    <n v="194.7996"/>
    <s v="NP"/>
    <x v="0"/>
    <x v="2"/>
    <s v="LC → CR"/>
    <s v="B1iii_sp"/>
    <s v="Uplisted"/>
  </r>
  <r>
    <s v="Terrestrial"/>
    <s v="Gs9"/>
    <s v="Midlands Mistbelt Grassland"/>
    <s v="Sub-Escarpment Grassland Bioregion"/>
    <x v="0"/>
    <s v="T4"/>
    <s v="T4.5"/>
    <s v="KwaZulu-Natal and Eastern Cape Provinces: KwaZulu-Natal Midlands—scattered in broad belt in the form of several major patches including Melmoth-Babanango area, Kranskop and Greytown, Howick Lions River, Karkloof, Balgowan, Cedara, Edendale, Hilton, Richmond, the Ixopo-Highflats area, Mount Malowe in the Umzimkhulu enclave of the Eastern Cape Province and the Harding-Weza area. The southwesternmost section in the Eastern Cape Province falls in the Bulembu, Gxwaleni, Longweni and Flagstaff areas. "/>
    <s v="KwaZulu-Natal, Eastern Cape"/>
    <s v="Endemic to South Africa"/>
    <s v="South Africa"/>
    <s v="Hilly and rolling landscape mainly associated with a discontinuous east-facing scarp formed by dolerite intrusions (south of the Thukela River)"/>
    <s v="Summer rainfall, with MAP of 915 mm, range 730–1 280 mm. Heavy and frequent occurrence of mist provides significant amounts of additional moisture (Cedara near Pietermaritzburg has 46 misty days per year). Some of the rain is in the form of cold frontal activity, mainly in winter, spring and early summer. Thunderstorms are common in summer and autumn (Cedara: 60 days of thunderstorms per year). Mean annual evaporation 1 463–1 797 mm (Camp 1999a). MAT 15.8°C, absolute minimum temperature was recorded in this region in June (–10.8°C). Frosts are generally moderate, but occasional severe frost may also occur. Further climatic conditions include short-term drought spells, hail and hot northwestern berg winds occurring particularly in spring and early summer. See also climate diagram for Gs 9 Midlands Mistbelt Grassland (Figure 8.61)."/>
    <s v="Apedal and plinthic soil forms derived mostly from Ecca Group (Karoo Supergroup) shale and minor sandstone and less importantly from Jurassic dolerite dykes and sills. Dominant land type Ac, followed by Fa."/>
    <x v="306"/>
    <n v="2057.89"/>
    <n v="2019.8356000000001"/>
    <s v="PP"/>
    <x v="3"/>
    <x v="1"/>
    <s v="EN↔EN"/>
    <s v="A3_nat"/>
    <s v="Unchanged"/>
  </r>
  <r>
    <s v="Terrestrial"/>
    <s v="FFs21"/>
    <s v="North Rooiberg Sandstone Fynbos"/>
    <s v="Western Fynbos-Renosterveld Bioregion"/>
    <x v="4"/>
    <s v="T3"/>
    <s v="T3.2"/>
    <s v="Western Cape Province: Northern slopes of the mountains of Rooiberg, Gamka and the Amalienstein Ridge-Sandberg-Bakenkop range. "/>
    <s v="Western Cape"/>
    <s v="Endemic to South Africa"/>
    <s v="South Africa"/>
    <s v="Systems of gentle to steep north-facing slopes, deeply dissected in parts. The Cedarberg Shale Band is prominent in parts"/>
    <s v="MAP 160–710 mm (mean: 330 mm), with no prominent peak, but a low from December to February. Mean daily maximum and minimum temperatures 29.7°C and 3.0°C for January and July, respectively. Frost incidence 10–20 days per year. See also climate diagram for FFs 21 North Rooiberg Sandstone Fynbos (Figure 4.21)."/>
    <s v="Acidic lithosol soils derived from Ordovician sandstones of the Table Mountain Group (Cape Supergroup). Land types mainly Ic."/>
    <x v="307"/>
    <n v="318.02999999999997"/>
    <n v="318.03480000000002"/>
    <s v="WP"/>
    <x v="0"/>
    <x v="0"/>
    <s v="LC↔LC"/>
    <m/>
    <s v="Unchanged"/>
  </r>
  <r>
    <s v="Terrestrial"/>
    <s v="SKs5"/>
    <s v="Richtersveld Red Duneveld"/>
    <s v="Namaqualand Sandveld Bioregion"/>
    <x v="3"/>
    <s v="T5"/>
    <s v="T5.2"/>
    <s v="Northern Cape Province: A band running parallel to the coastline, east of the SKs 4 Richtersveld Sandy Coastal Scorpionstailveld, and forming the eastern margin of the Richtersveld Sandveld, running from the Annisvlakte in the north southwards and reaching its southern limit northwest of the Oograbies Mountains (east of Port Nolloth). Usually not closer than 12–26 km from the coast."/>
    <s v="Northern Cape"/>
    <s v="Namibia"/>
    <s v="South Africa"/>
    <s v="High dune aggregates (oriented in a north-south direction), which again carry smaller dunes (mainly west-east-orientated)."/>
    <s v="Winter-rainfall with estimated MAP 50–100 mm. Maximum temperatures are lower than further inland. Coastal fog also occurs, and frost is very rare."/>
    <s v="Dark red sands with their thick iron coating are interpreted as old sands, which have experienced a longer period without major mechanical or chemical disturbance. The red dunes show the lowest admixture of silt and clay, compared to the other dune types in the Richtersveld. The pH is around 6.5 as compared to the average of 8.0 to 8.5 found in the neighbouring units. Salt content and electrical conductivity are the lowest (10 µS), hence 10 to 100 times lower than elsewhere in the region. The land types Af and Ah are almost equally important, while Ae is less important."/>
    <x v="308"/>
    <n v="565.75"/>
    <n v="565.68280000000004"/>
    <s v="NP"/>
    <x v="0"/>
    <x v="0"/>
    <s v="LC↔LC"/>
    <m/>
    <s v="Unchanged"/>
  </r>
  <r>
    <s v="Terrestrial"/>
    <s v="SVk11"/>
    <s v="Molopo Bushveld"/>
    <s v="Eastern Kalahari Bushveld Bioregion"/>
    <x v="1"/>
    <s v="T4"/>
    <s v="T4.2"/>
    <s v="North-West and Northern Cape Provinces: In the Molopo area from Bray and Werda in the north on the border with Botswana, southwards through Morokweng and Tosca in the east and Vorstershoop to McCarthysrus and Eldorado in the west to Bendell in the south. "/>
    <s v="Northern Cape, North West"/>
    <s v="Botswana"/>
    <s v="South Africa"/>
    <s v="usually fairly open"/>
    <s v="Summer and autumn rainfall with very dry winters. MAP about 250–400 mm. Frost frequent in winter. See also climate diagram for SVk 11 Molopo Bushveld."/>
    <s v="Red aeolian sand of Recent age with surface calcrete and silcrete. Soils are deep (&gt;1.2 m) and sandy (Hutton and Clovelly soil forms). Land types mainly Ah with a little Fc."/>
    <x v="309"/>
    <n v="21818.54"/>
    <n v="13625.0836"/>
    <s v="PP"/>
    <x v="0"/>
    <x v="0"/>
    <s v="LC↔LC"/>
    <m/>
    <s v="Unchanged"/>
  </r>
  <r>
    <s v="Terrestrial"/>
    <s v="SKr8"/>
    <s v="Rosyntjieberg Succulent Shrubland"/>
    <s v="Richtersveld Bioregion"/>
    <x v="3"/>
    <s v="T5"/>
    <s v="T5.2"/>
    <s v="Northern Cape Province: High mountain range (including Rosyntjieberg and Mount Terror) at latitude of Khubus in the northeastern Richtersveld, extending at right angles from the central Vandersterrberg-Stinkfonteinberge mountain range eastwards to just short of the Orange River. "/>
    <s v="Northern Cape"/>
    <s v="Namibia"/>
    <s v="South Africa"/>
    <s v="predominance of exposed rock and very steep slopes. Some of the mountains have nearly vertical escarpments with strong rock weathering, thereby limiting access to some parts of the unit. "/>
    <s v="Mainly, especially at higher altitude, clear predominance of winter rainfall, while in the lowlands, especially in the more eastern part, rare summer rainfall events may be more important. The region lies in the rainshadow of the Vandersterrberge, with MAP of only 50–90 mm (all these estimates derived from correlations with plant cover). Frequency of frost is estimated at a few to 10 days per year. Fog plays no role."/>
    <s v="Mainly quartzite of the Rosyntjieberg Formation (Orange River Group), but also granite of the Vioolsdrif Suite (both Mokolian). The shallow soils are mostly of loamy to sandy texture. The exclusive land type is Ic."/>
    <x v="310"/>
    <n v="50.54"/>
    <n v="50.508800000000001"/>
    <s v="WP"/>
    <x v="0"/>
    <x v="0"/>
    <s v="LC↔LC"/>
    <m/>
    <s v="Unchanged"/>
  </r>
  <r>
    <s v="Terrestrial"/>
    <s v="AZd2"/>
    <s v="Namaqualand Seashore Vegetation"/>
    <s v="Seashore Vegetation"/>
    <x v="5"/>
    <s v="MT2"/>
    <s v="MT2.1"/>
    <s v="Northern Cape Province: Namaqualand, very narrow strip above the high tide zone along the sea from the Holgat River to just south of the Olifants River."/>
    <s v="Northern Cape"/>
    <s v="Endemic to South Africa"/>
    <s v="South Africa"/>
    <s v="Slightly sloping beach, coastal rocky formations "/>
    <s v="Hostile, arid coast characterised by erratic rainfall, high solar irradiation and frequent desiccating winds. MAP 105 mm, increasing from around 60 mm (Port Nolloth) in the north to 150 mm (Strandfontein) in the south. Fog present in winter at night and in the early morning. MAT 17.6°C and seasonal temperature has a slightly higher variation than that of AZd 1 Namib Seashore Vegetation. Incidence of frost negligible. See also climate diagram for AZd 2 Namaqualand Seashore Vegetation (Figure 14.3)."/>
    <s v="Recent sandy marine sediments forming beaches and coastal dunes and extensive deep shell beds. The coastal cliffs consist of either Gariep Supergroup quartzitic sandstones or Mokolian granites and gneisses. Outside the direct influence of the sea (submersion), but under constant maritime influence (salt spray)."/>
    <x v="311"/>
    <n v="9.69"/>
    <n v="9.4984000000000002"/>
    <s v="PP"/>
    <x v="2"/>
    <x v="2"/>
    <s v="CR↔CR"/>
    <s v="B2i_rod"/>
    <s v="Unchanged"/>
  </r>
  <r>
    <s v="Terrestrial"/>
    <s v="FFg3"/>
    <s v="Peninsula Granite Fynbos"/>
    <s v="Southwest Fynbos Bioregion"/>
    <x v="4"/>
    <s v="T3"/>
    <s v="T3.2"/>
    <s v="Western Cape Province: Lower slopes on the Cape Peninsula from Lion’s Head to Smitswinkel Bay almost completely surrounding Table Mountain, Karbonkelberg and Constantiaberg through to the Kalk Bay Mountains. South of the Fish Hoek gap, it is limited to the eastern (False Bay) side of the Peninsula from Simon’s Bay to Smitswinkel Bay, with a few small patches between Fish Hoek and Ocean View. "/>
    <s v="Western Cape"/>
    <s v="Endemic to South Africa"/>
    <s v="South Africa"/>
    <s v="Steep to gentle slopes below the sandstone mountain slopes, and undulating hills on the western edge of the Cape Flats."/>
    <s v="Typical winter-rainfall climate peaking from May to August. MAP 590–1 320 mm (mean: 960 mm). Mean daily maximum and minimum temperatures 26.0°C and 7.2°C for February and July, respectively. Frost incidence 2 or 3 days per year. The climate of this unit is almost identical to that of FFg 2 Boland Granite Fynbos, but shows a far stronger maritime influence. See also climate diagram for FFg 3 Peninsula Granite Fynbos (Figure 4.92)."/>
    <s v="Deep loamy, sandy soils, red-yellow apedal or Glenrosa and Mispah forms, derived from Cape Peninsula Pluton of the Cape Granite Suite. Land types mainly Ac, Fa and Bc."/>
    <x v="312"/>
    <n v="31.88"/>
    <n v="31.235199999999999"/>
    <s v="MP"/>
    <x v="2"/>
    <x v="2"/>
    <s v="CR↔CR"/>
    <s v="B1i_rod, B1iii_sp"/>
    <s v="Unchanged"/>
  </r>
  <r>
    <s v="Terrestrial"/>
    <s v="SVk5"/>
    <s v="Vaalbos Rocky Shrubland"/>
    <s v="Eastern Kalahari Bushveld Bioregion"/>
    <x v="1"/>
    <s v="T4"/>
    <s v="T4.1"/>
    <s v="Northern Cape and Free State Provinces: Extends along solitary hills and scattered ridges east of the confluence of the Orange and Vaal Rivers, mainly in the Kimberley and Herbert Districts and west of a line bounded by the western Free State towns of Luckhoff, Petrusburg, Dealesville, Bultfontein and Hertzogville. "/>
    <s v="Northern Cape, Free State"/>
    <s v="Endemic to South Africa"/>
    <s v="South Africa"/>
    <s v="Slopes and elevated hills and ridges within plains "/>
    <s v="Summer and autumn rainfall with very dry winters. MAP about 250–450 mm. Frost frequent in winter, especially on bottomlands. Mean monthly maximum and minimum temperatures for Douglas 39.7°C and –4.6°C for January and July, respectively. See also climate diagram for SVk 5 Vaalbos Rocky Shrubland "/>
    <s v="A highly fragmented area on Ecca and Dwyka Group sediments and Karoo dolerites as well as on Ventersdorp Supergroup lavas (Allanridge Formation). Extensive dolerite sills which form ridges, and plateaus and slopes of koppies and small escarpments mark the erosion terraces. These dolerite sills cover alternating layers of mudstone and sandstone of sedimentary origin. The Ib land type is typical of these rock- and boulder-covered slopes. Prominent soil forms are the stony Mispah and gravel-rich Glenrosa forms derived from Jurassic dolerite, calcrete-rich soils cover the lowlands (Kimberley and Plooysburg forms)."/>
    <x v="313"/>
    <n v="1419.25"/>
    <n v="1418.3444"/>
    <s v="PP"/>
    <x v="0"/>
    <x v="0"/>
    <s v="LC↔LC"/>
    <m/>
    <s v="Unchanged"/>
  </r>
  <r>
    <s v="Terrestrial"/>
    <s v="Dg5"/>
    <s v="Kahams Mountain Desert"/>
    <s v="Gariep Desert Bioregion"/>
    <x v="2"/>
    <s v="T5"/>
    <s v="T5.5"/>
    <s v="Located between the Stinkfonteinberge basal apron in the west and the Orange River and Helskloof Canyon in the east, and between the Rosyntjieberge in the north and the Rooiberg in the south. The unit borders on units of the Succulent Karoo Biome to the north, south and west. "/>
    <s v="Northern Cape"/>
    <s v="Namibia"/>
    <s v="South Africa"/>
    <s v="Highly dissected landscape with rugged mountains with bare rock "/>
    <s v="MAP about 45–70 mm. Very variable, transitional climate between winter and summer rainfall with tendency towards summer rainfall in the east. Fog absent. Maximum summer temperatures reaching up to 50°C. Frost is very rare, but occurs at higher altitudes. Characterised by steep gradient of increasing aridity from west to east. In the east, hot and dry conditions are typical for the low altitudes along the Orange River, while in the western parts at higher elevations (close to the foothills of the Stinkfonteinberge) the climate is relatively more humid and cooler."/>
    <s v="The granodiorite, adamellite, leucogranite, tonalite and diorite of the Vioolsdrif Suite (Mokolian Erathem) are intruded by syenites and granites of the Richtersveld Suite (Namibian Erathem). These together account for three quarters of the area. Calc-alkaline, acid and metavolcanic rocks and quartzitic metasediments of the De Hoop Subgroup, Orange River Group (Mokolian Erathem) are also significant. Very rocky substrate, with little to no soils. Land type Ib."/>
    <x v="314"/>
    <n v="592.20000000000005"/>
    <n v="591.94439999999997"/>
    <s v="WP"/>
    <x v="0"/>
    <x v="0"/>
    <s v="LC↔LC"/>
    <m/>
    <s v="Unchanged"/>
  </r>
  <r>
    <s v="Terrestrial"/>
    <s v="FFb2"/>
    <s v="Western Coastal Shale Band Vegetation"/>
    <s v="Southwest Fynbos Bioregion"/>
    <x v="4"/>
    <s v="T3"/>
    <s v="T3.2"/>
    <s v="Western Cape Province: Embedded within the mountain ranges of Elandskloof, Limietberge, Wellington Sneeukop, Slanghoek, Du Toitsberge, Klein Drakenstein, Wemmershoek, Stettyns, Franschhoek (including Victoria Peak and Emerald Dome), Groenland, Hottentots Holland (including Triplets and Somerset Sneeukop), and Kogelberg. These bands extend eastwards through the Kleinrivierberge, Caledon Swartberg and Bredasdorpberge. Also included are the shale bands of the Riviersonderend Mountains and of Potberg. "/>
    <s v="Western Cape"/>
    <s v="Endemic to South Africa"/>
    <s v="South Africa"/>
    <s v="A narrow 80–200 m linear feature (up to 1 km wide in a few places and also forming rings on some ‘Sneeukop’ peaks), smooth and flat in profile compared to surrounding areas"/>
    <s v="MAP 280–2 000 mm (mean: 1 070 mm), peaking from May to August. Southeasterly cloud brings heavy mist precipitation at higher altitudes in summer. Mean daily maximum and minimum temperatures 24.3°C and 5.0°C for February and July, respectively. Frost incidence 2–10 days per year. See also climate diagram for FFb 2 Western Coastal Shale Band Vegetation (Figure 4.77)."/>
    <s v="Clays derived from shale of the Cedarberg Formation. Land types mainly Ic and Ib."/>
    <x v="315"/>
    <n v="128.36000000000001"/>
    <n v="128.20599999999999"/>
    <s v="WP"/>
    <x v="3"/>
    <x v="1"/>
    <s v="EN↔EN"/>
    <s v="B1iii_sp"/>
    <s v="Unchanged"/>
  </r>
  <r>
    <s v="Terrestrial"/>
    <s v="FRl1"/>
    <s v="Kango Limestone Renosterveld"/>
    <s v="Western Fynbos-Renosterveld Bioregion"/>
    <x v="4"/>
    <s v="T3"/>
    <s v="T3.2"/>
    <s v="Western Cape Province: Northeastern regions of the Little Karoo south of the Groot Swartberg, from near Gamkapoort, north of Calitzdorp eastwards including Matjiesrivier and the Cango Caves area, with another band extending from upper Schoemanspoort and De Rust to north of the Stompdrift Dam. "/>
    <s v="Western Cape"/>
    <s v="Endemic to South Africa"/>
    <s v="South Africa"/>
    <s v="Low mountains and steep hills"/>
    <s v="MAP 200–720 mm (mean: 405 mm), peaking in March but otherwise even with a slight low from December to February. Mean daily maximum and minimum temperatures 31.0°C and 3.5°C for January and July, respectively. Frost incidence 10–20 days per year. See also climate diagram for FRl 1 Kango Limestone Renosterveld (Figure 4.124)."/>
    <s v="Clays and loams derived from the Cango Caves Group shales and limestone of the Namibian Erathem; in the south the area overlies clastic sediments of the Mesozoic Uitenhage Group; soils of Glenrosa and Mispah forms or red-yellow apedal soils dominant. Land types mainly Ib, Fc and Ag."/>
    <x v="316"/>
    <n v="434.64"/>
    <n v="432.65879999999999"/>
    <s v="PP"/>
    <x v="0"/>
    <x v="0"/>
    <s v="LC↔LC"/>
    <m/>
    <s v="Unchanged"/>
  </r>
  <r>
    <s v="Terrestrial"/>
    <s v="FFs2"/>
    <s v="Graafwater Sandstone Fynbos"/>
    <s v="Northwest Fynbos Bioregion"/>
    <x v="4"/>
    <s v="T3"/>
    <s v="T3.2"/>
    <s v="Western Cape Province: West Coast region, with the main block from Traval in the Olifants River Valley in the north, through areas east of Graafwater and Redelinghuys to Het Kruis (north of Piketberg) in the south. Smaller isolated patches to the west of this main body include Koeivleiberg, Klipfonteinkoppe and Muishoekberg. This fynbos type reaches the Atlantic Ocean through several unmapped patches near Elands Bay. "/>
    <s v="Western Cape"/>
    <s v="Endemic to South Africa"/>
    <s v="South Africa"/>
    <s v="Low mountains and gently undulating plains"/>
    <s v="MAP 200–499 mm (mean: 355 mm), peaking May to August when 70% of rain falls. Mean daily maximum and minimum temperatures 30.2°C and 6.1°C for February and July, respectively. Frost incidence 3 or 4 days per year. Mists common in winter. See also climate diagram for FFs 2 Graafwater Sandstone Fynbos (Figure 4.21)."/>
    <s v="Acidic lithosol soils derived from Ordovician sandstones of the Table Mountain Group (Cape Supergroup), predominantly red-yellow apedal or Glenrosa and Mispah forms. Land types mainly Ai, Ib and Fa."/>
    <x v="317"/>
    <n v="950.33"/>
    <n v="937.83199999999999"/>
    <s v="PP"/>
    <x v="0"/>
    <x v="0"/>
    <s v="LC↔LC"/>
    <m/>
    <s v="Unchanged"/>
  </r>
  <r>
    <s v="Terrestrial"/>
    <s v="Gd8"/>
    <s v="Lesotho Highland Basalt Grassland"/>
    <s v="Drakensberg Grassland Bioregion"/>
    <x v="0"/>
    <s v="T4"/>
    <s v="T4.5"/>
    <s v="Lesotho, Eastern Cape, Free State (and partly also into southern KwaZulu-Natal): Most of the high dissected basalt plateau of Lesotho, including most of the districts of Mokhotlong, Thaba-Tseka, Qacha’s Nek and Quthing and the eastern parts of Butha-Buthe, Leribe, Berea, Maseru, Mafeteng and Mohale’s Hoek. Extends on the basalt from around ’Makholo (Ben Macdhui) into the Eastern Cape southwards to the vicinity of Barclay East, and westwards along the Witteberge to the vicinity of Lady Grey. Extends in a small area of the northeastern Free State on the high basalt mountains such as Ribbokkop (within the Golden Gate Highlands National Park) and on the top of Oorsprongsberg. Altitude about 1 900–2 900 m. The unit extends to KwaZulu-Natal at the lower parts of the Escarpment edge (e.g. around the Loteni and Mkhomazi Passes). The areas of Drakensberg Afroalpine Heathland (above 2 900 m) are embedded in this unit as are some Lesotho Mires (at higher altitudes). For practical reasons, the vegetation unit includes a small area of high-altitude sandstone (up to about 2 600 m) that is limited to the eastern edge of Lesotho (notably in the Sehlabathebe National Park)."/>
    <s v="KwaZulu-Natal, Eastern Cape, Free State"/>
    <s v="Endemic to ZA, Ls, Sz"/>
    <s v="South Africa"/>
    <s v="Landscape consists of many plateaus and high ridges of mountains separated by often deep valleys. Although many valley slopes are steep, major cliff faces are only occasionally encountered, especially along parts of the main Maloti Mountain chain. "/>
    <s v="Summer rainfall, with little rain in winter, particularly away from the Northern Escarpment. Much of the area is in a rainshadow with weather stations such as Mokhotlong at an elevation of 2 377 m with a MAP of only 575 mm (Tyson et al. 1976, Killick 1978a). MAP is higher along the eastern edge, for example, 928 mm at Qacha’s Nek and also in the southeast, with 686 mm at Barkly East Golf Club. Mean monthly maximum and minimum temperatures for Barkly East Golf Club are 31.4°C and –10.5°C for December and July, respectively. Frost occurs throughout winter and on occasion even in summer at higher elevations. Snow occurs in winter, especially at higher elevations where some light snow can occur in summer. There is a high incidence of lightning in summer and hail is common. See also climate diagram for Gd 8 Lesotho Highland Basalt Grassland (Figure 8.11)."/>
    <s v="The area is almost entirely underlain by basaltic lava flows of the Drakensberg Group, with some of the shallow soils covering sandstones of the Clarens Formation (Stormberg Group, Karoo Supergroup) in the form of disintegrating carpets. Soils derived from the basalt have fairly even proportions of coarse sand, fine sand, silt, clay and organic matter. The organic matter increases from about 20% on the slopes to about 26% in the valleys (Herbst &amp; Roberts 1974a). The high organic content (acid, slowly decomposing humus formed largely by decaying grass roots) results in a high water-retention capacity of the soil. Water redistribution through seeps is frequent. Main land type, at least in the South African section, is Ea."/>
    <x v="318"/>
    <n v="17293.47"/>
    <n v="17291.404399999999"/>
    <s v="PP"/>
    <x v="0"/>
    <x v="0"/>
    <s v="LC↔LC"/>
    <m/>
    <s v="Unchanged"/>
  </r>
  <r>
    <s v="Terrestrial"/>
    <s v="FOz3"/>
    <s v="Southern Mistbelt Forest"/>
    <s v="Zonal &amp; Intrazonal Forests"/>
    <x v="8"/>
    <s v="T2"/>
    <s v="T2.4"/>
    <s v="KwaZulu-Natal and Eastern Cape Provinces: Forest patches varying in size, occurring in ?re-shadow habitats on south- and southeast-facing slopes and located along the Great Escarpment, spanning a large area from Somerset East, the Amathole Mountains, scarps of Transkei to the KwaZulu-Natal Midlands as far east as Ulundi. In KwaZulu-Natal these forests are found in a wide band sandwiched between the Drakensberg Montane Forests and Northern KwaZulu-Natal Mistbelt Forests at higher altitudes and Eastern Scarp Forests at lower altitudes. Belts of forest patches belonging to this vegetation unit occur in the Baviaanskloof Mountains, Zuurberg Mountains and in the region spanning Grahamstown and King William’s Town. "/>
    <s v="KwaZulu-Natal, Eastern Cape"/>
    <s v="Endemic to South Africa"/>
    <s v="South Africa"/>
    <s v="On the Great Escarpment (Amathole, Transkei Escarpment) and in the KwaZulu-Natal Midlands"/>
    <s v="0"/>
    <s v="Some of the soils are deep, loamy and with high nutrient status, developed on weathered dolerite intrusions or mudstones, shales and sandstones of the Karoo Supergroup (on Great Escarpment). The soils supporting forests of low-lying scarps are shallower as they developed on quartzitic Witteberg Sandstones or sandstones of the Karoo Supergroup."/>
    <x v="319"/>
    <n v="885.2"/>
    <n v="883.91639999999995"/>
    <s v="MP"/>
    <x v="0"/>
    <x v="0"/>
    <s v="LC↔LC"/>
    <m/>
    <s v="Unchanged"/>
  </r>
  <r>
    <s v="Terrestrial"/>
    <s v="SKv3"/>
    <s v="Agter-Sederberg Shrubland"/>
    <s v="Rainshadow Valley Karoo Bioregion"/>
    <x v="3"/>
    <s v="T5"/>
    <s v="T5.2"/>
    <s v="Western (and to a lesser extent also Northern) Cape Province: Includes Stinkfonteinberge and Boegoeberge (with the botanically famous Botterkloof), Biedouberge and Tra-Traberge near Wuppertal as well as a very narrow (shale) belt extending south of Wuppertal and squeezed between the Skurweberg in the west and Swartruggens in the east. "/>
    <s v="Northern Cape, Western Cape"/>
    <s v="Endemic to South Africa"/>
    <s v="South Africa"/>
    <s v="Slopes of low mountains and deeply incised valleys "/>
    <s v="Typical winter-rainfall regime with most of the rain falling between June and August. MAP is about 250 mm, which is higher than the nearby quartzite Karoo units and especially the neighbouring Tanqua Karoo. MAT reaches almost 17°C and incidence of frost is relatively low. See also climate diagram for SKv 3 Agter-Sederberg Shrubland (Figure 5.65)."/>
    <s v="Dark grey siltstones and shales with intercalated mudstones and sandstones of the Devonian Ceres and Bidouw Subgroups (Bokkeveld Group) and quartzitic sandstones of the Witteberg Group and Nardouw Subgroup (Table Mountain Group). Supporting deep soils over shales and shallow soils over quartzitic sandstone. Most of the area is classified as Fb land type. Fa and Fc land types are of lesser importance."/>
    <x v="320"/>
    <n v="903.99"/>
    <n v="902.99720000000002"/>
    <s v="PP"/>
    <x v="0"/>
    <x v="0"/>
    <s v="LC↔LC"/>
    <m/>
    <s v="Unchanged"/>
  </r>
  <r>
    <s v="Terrestrial"/>
    <s v="SKs1"/>
    <s v="Richtersveld Coastal Duneveld"/>
    <s v="Namaqualand Sandveld Bioregion"/>
    <x v="3"/>
    <s v="T5"/>
    <s v="T5.2"/>
    <s v="Northern Cape Province: Broad belt of 1–12 km along Atlantic Ocean coast from a point between the Boegoe Twins and Alexander Bay to about halfway between Port Nolloth and Kleinzee. The north-south extension is 104 km. "/>
    <s v="Northern Cape"/>
    <s v="Endemic to South Africa"/>
    <s v="South Africa"/>
    <s v="Generally flat with some large, gently rolling hills. Only the Boegoe Twins south of Alexander Bay form steeper rocky slopes."/>
    <s v="Extreme wind speeds and sand blasting from the south. High storm frequency. MAP is 50–80 mm, with winter rains clearly predominant. Medium to high frequency of sea fog. No incidence of frost. See also climate diagram for SKs 1 Richtersveld Coastal Duneveld (Figure 5.39)."/>
    <s v="Wind-blown white sands of coastal origin overlying rocks belonging to the Holgat and Grootderm Formations of the Gariep Supergroup. Especially around Port Nolloth and north of the Holgat River mouth active dune fields can be found. The dominant land type is Ha."/>
    <x v="321"/>
    <n v="316.16000000000003"/>
    <n v="311.04919999999998"/>
    <s v="NP"/>
    <x v="2"/>
    <x v="2"/>
    <s v="CR↔CR"/>
    <s v="B1i_rod"/>
    <s v="Unchanged"/>
  </r>
  <r>
    <s v="Terrestrial"/>
    <s v="SVcb12"/>
    <s v="Central Sandy Bushveld"/>
    <s v="Central Bushveld Bioregion"/>
    <x v="1"/>
    <s v="T4"/>
    <s v="T4.2"/>
    <s v="Limpopo, Mpumalanga, Gauteng and North-West Provinces: Undulating terrain occurs mainly in a broad arc south of the Springbokvlakte from the Pilanesberg in the west through Hammanskraal and Groblersdal to GaMasemola in the east. A generally narrow irregular band along the northwestern edge of the Springbokvlakte (including Modimolle) extending into a series of valleys and lower-altitude areas within the Waterberg including the upper Mokolo River Valley near Vaalwater, the corridor between Rankins Pass and the Doorndraai Dam, and the lowlands from the Mabula area to south of the Hoekberge. Some isolated sandy rises are found on the Springbokvlakte. "/>
    <s v="Mpumalanga, Limpopo, Gauteng, North West"/>
    <s v="Endemic to South Africa"/>
    <s v="South Africa"/>
    <s v="Low undulating areas, sometimes between mountains, and sandy plains and catenas "/>
    <s v="Summer rainfall with very dry winters. Effectively three seasons, namely a cool dry season from May to mid-August, a hot dry season from mid-August to about October and a hot wet season from about November to April. MAP from about 500–700 mm. Frost fairly infrequent. Mean monthly maximum and minimum temperatures for Goedehoop (in the northern part of this vegetation unit) 35.3°C and –3.1°C for November and June, respectively. See also climate diagram for SVcb 12 Central Sandy Bushveld."/>
    <s v="The large southern and eastern parts of this area are underlain by granite of the Lebowa Granite Suite and some granophyre of the Rashoop Granophyre Suite (both Bushveld Complex, Vaalian). In the north, the sedimentary rocks of the Waterberg Group (Mokolian Erathem) are most important. Specifically, sandstone, conglomerate and siltstone of the Alma Formation and sandstone, siltstone and shale of the Vaalwater Formation. Well-drained, deep Hutton or Clovelly soils often with a catenary sequence from Hutton at the top to Clovelly on the lower slopes; shallow, skeletal Glenrosa soils also occur. Land types mainly Bb, Fa, Ba, Bd and Ac."/>
    <x v="322"/>
    <n v="11010.86"/>
    <n v="10862.7248"/>
    <s v="PP"/>
    <x v="0"/>
    <x v="0"/>
    <s v="LC↔LC"/>
    <m/>
    <s v="Unchanged"/>
  </r>
  <r>
    <s v="Terrestrial"/>
    <s v="FFh2"/>
    <s v="Matjiesfontein Shale Fynbos"/>
    <s v="Western Fynbos-Renosterveld Bioregion"/>
    <x v="4"/>
    <s v="T3"/>
    <s v="T3.2"/>
    <s v="Western Cape Province: Very fragmented unit on the higher peaks of mountain ranges in the extreme western Little Karoo south of Witberg from Suurberg (southeast of Touws River) to Ezelsfontein (southwest of Laingsburg). Confined to summits and southern slopes. "/>
    <s v="Western Cape"/>
    <s v="Endemic to South Africa"/>
    <s v="South Africa"/>
    <s v="Gentle and steep southern slopes south of quartzitic outcrops"/>
    <s v="MAP 290–910 mm (mean: 535 mm), relatively even with a slight peak in March. Mean daily maximum and minimum temperatures 26.9°C and 3.3°C for February and July, respectively. Frost incidence 2–40 days per year. See also climate diagram for FFb 5 Eastern Inland Shale Band Vegetation (Figure 4.77)."/>
    <s v="Acidic, moist clay-loam, red-yellow apedal or skeletal soils derived from shales of the Devonian Witteberg Group, and associated with quartzitic outcrops. Land types mainly Ic and Ah."/>
    <x v="323"/>
    <n v="101.37"/>
    <n v="101.2852"/>
    <s v="WP"/>
    <x v="0"/>
    <x v="0"/>
    <s v="LC↔LC"/>
    <m/>
    <s v="Unchanged"/>
  </r>
  <r>
    <s v="Terrestrial"/>
    <s v="SKr1"/>
    <s v="Central Richtersveld Mountain Shrubland"/>
    <s v="Richtersveld Bioregion"/>
    <x v="3"/>
    <s v="T3"/>
    <s v="T3.2"/>
    <s v="Northern Cape Province: Central regions of the Richtersveld, along the central mountain ridge from Khodas Peak in the north along the Vandersterrberg and Stinkfontein range stretching about 100 km in a north-south direction, but excluding the highest altitudes where it grades into FFq 1 Stinkfonteinberge Quartzite Fynbos. "/>
    <s v="Northern Cape"/>
    <s v="Namibia"/>
    <s v="South Africa"/>
    <s v="Forms the major part of the Richtersveld mountain ranges, including a wide variety of landscapes. Steep and rocky mountains are dominant, with a rolling topography in other parts. Deep canyons, but also wider valleys can be found scattered over most of the area. "/>
    <s v="Region of mild, winter-rainfall climate. MAP varies from 60–200 mm, but with most of the area less than 90 mm. At higher altitudes, especially on southwestern slopes, the frequent occurrence of fog or cloud results in a significant improvement in water supply for plants. Frost is very rare at lower altitudes, but occurs up to 10 days per year at higher altitudes."/>
    <s v="A spectrum of metavolcanics and metasediments, mostly quartzite, of the Stinkfontein Subgroup of the Gariep Supergroup (Namibian Erathem). Granites of the Mokolian Vioolsdrif Suite are also present. The soils encompass a wide variety of loamy sands, sands and loams. Soils derived from granites may reach a pH between 7 and 8. Land type mainly Ic. "/>
    <x v="324"/>
    <n v="1200.07"/>
    <n v="1199.7116000000001"/>
    <s v="WP"/>
    <x v="0"/>
    <x v="0"/>
    <s v="LC↔LC"/>
    <m/>
    <s v="Unchanged"/>
  </r>
  <r>
    <s v="Terrestrial"/>
    <s v="Gs3"/>
    <s v="Low Escarpment Moist Grassland"/>
    <s v="Sub-Escarpment Grassland Bioregion"/>
    <x v="0"/>
    <s v="T4"/>
    <s v="T4.5"/>
    <s v="KwaZulu-Natal, Free State and Mpumalanga Provinces: Slopes of the Drakensberg, on both sides of the provincial boundary from Oliviershoek (near Harrismith) to Volksrust. "/>
    <s v="KwaZulu-Natal, Mpumalanga, Free State"/>
    <s v="Endemic to South Africa"/>
    <s v="South Africa"/>
    <s v="Complex mountain topography. Steep, generally east- and south-facing slopes, with a large altitudinal range."/>
    <s v="Summer rainfall, with peak from December to January. Frequent fog adds to the overall precipitation. MAP is almost 920 mm and mean annual evaporation reaches 1 770 mm. MAT of 14.3°C and almost 30 days of frost indicate that the unit is found close to the lower limit of warm-temperate climate. See also climate diagram for Gs 3 Low Escarpment Moist Grassland (Figure 8.61)."/>
    <s v="Ecca and Beaufort Groups (Karoo Supergroup) mudstone or shale. Soils are mainly of the Hutton form, but also shallower forms such as Glenrosa and Mispah. Half of the area is classified as Fa land type, while the rest is shared among Ac, Bb and Ad land types."/>
    <x v="325"/>
    <n v="1568.42"/>
    <n v="1563.8284000000001"/>
    <s v="PP"/>
    <x v="0"/>
    <x v="0"/>
    <s v="LC↔LC"/>
    <m/>
    <s v="Unchanged"/>
  </r>
  <r>
    <s v="Terrestrial"/>
    <s v="FRc2"/>
    <s v="Ruens Silcrete Renosterveld"/>
    <s v="East Coast Renosterveld Bioregion"/>
    <x v="4"/>
    <s v="T3"/>
    <s v="T3.2"/>
    <s v="Western Cape Province: Rûens coastal forelands from Riviersonderend to Riversdale, with isolated outliers westwards to Bot River, but only really common within FRs 13 Eastern Rûens Shale Renosterveld. A highly fragmented unit by nature of its tendency to occur on the well-dissected, old African surface. Particularly common along the lower Breede River south of Buffeljagsrivier to Malgas and further downstream, and also south of Heidelberg and Riversdale (particularly in the Brakrivier area). "/>
    <s v="Western Cape"/>
    <s v="Endemic to South Africa"/>
    <s v="South Africa"/>
    <s v="Highly fragmented patches on the summits and highlands of undulating hills and plains, larger patches often associated with drainage systems."/>
    <s v="Summer rainfall with very dry winters. MAP between about 600 and 700 mm. Frost fairly frequent in winter. Mean monthly maximum and minimum temperatures for Brits-Agr 35.3°C and –3.3°C for January and June, respectively. Corresponding values are 35.3oC and –1.4oC for Rustenberg (November and July) and 32.8°C and –1.0°C for Pretoria University Experimental Farm (January and July). This unit has a relatively more temperate climate than the SVcb 1 Dwaalboom Thornveld. See also climate diagram for SVcb 6 Marikana Thornveld."/>
    <s v="Shallow soils with silcrete caps over deep pink and orange shales of the Bokkeveld Group, on hill tops. Occasionally they also occur on ferricrete or in quartz patches. Soils are prismacutanic and pedocutanic. Land types mainly Db, Fc and Fb."/>
    <x v="326"/>
    <n v="29.16"/>
    <n v="28.572399999999998"/>
    <s v="NP"/>
    <x v="3"/>
    <x v="1"/>
    <s v="EN↔EN"/>
    <s v="A3_nat, A3_wc, A2b, B1i_rod, B1iii_sp, B2i_rod, B2iii_sp"/>
    <s v="Unchanged"/>
  </r>
  <r>
    <s v="Terrestrial"/>
    <s v="SVcb9"/>
    <s v="Gold Reef Mountain Bushveld"/>
    <s v="Central Bushveld Bioregion"/>
    <x v="1"/>
    <s v="T4"/>
    <s v="T4.2"/>
    <s v="North-West, Gauteng, Free State and Mpumalanga Provinces: Occurs along rocky quartzite ridges of the Magaliesberg and the parallel ridge to the south, from around Boshoek and Koster in the west to near Bronkhorstspruit in the east. The west-east-trending ridge of the Witwatersrand from around Krugersdorp in the west, through Roodepoort and Johannesburg to Bedfordview (Germiston District). Inner ridges (e.g. Dwarsberg and Witkop) of the Vredefort Dome on the Vaal River northwest of Parys and part of the Suikerbosrand and some other hills around Heidelberg. "/>
    <s v="Mpumalanga, Gauteng, Free State, North West"/>
    <s v="Endemic to South Africa"/>
    <s v="South Africa"/>
    <s v="Rocky hills and ridges often west-east trending with more dense woody vegetation often on the south-facing slopes"/>
    <s v="Summer rainfall with very dry winters. MAP about 600–750 mm. Frost frequent in winter (especially in the south), but less common on the ridges and hills. Mean monthly maximum and minimum temperatures for Krugersdorp 30.8°C and –1.8°C for January and July, respectively. See also climate diagram for SVcb 9 Gold Reef Mountain Bushveld."/>
    <s v="This area consists predominantly of quartzites, conglomerates and some shale horizons of the Magaliesberg, Daspoort and Silverton Formations (Vaalian Pretoria Group) and the Hospital Hill, Turffontein and Government Subgroups (Randian Witwatersrand Supergroup). Soils are shallow, gravel lithosols of the Mispah and Glenrosa forms. Land types mainly Ib and Fb."/>
    <x v="327"/>
    <n v="1600.93"/>
    <n v="2592.9764"/>
    <s v="MP"/>
    <x v="0"/>
    <x v="0"/>
    <s v="LC↔LC"/>
    <m/>
    <s v="Unchanged"/>
  </r>
  <r>
    <s v="Terrestrial"/>
    <s v="SVcb6"/>
    <s v="Marikana Thornveld"/>
    <s v="Central Bushveld Bioregion"/>
    <x v="1"/>
    <s v="T4"/>
    <s v="T4.2"/>
    <s v="North-West and Gauteng Provinces: Occurs on plains from the Rustenburg area in the west, through Marikana and Brits to the Pretoria area in the east. "/>
    <s v="Gauteng, North West"/>
    <s v="Endemic to South Africa"/>
    <s v="South Africa"/>
    <s v="valleys and slightly undulating plains, and some lowland hills"/>
    <s v="MAP 210–470 mm (mean: 320 mm), peaking from May to August. Mean daily maximum and minimum temperatures 26.5°C and 1.7°C for February and July, respectively. Frost incidence 20–40 days per year. The most arid of shale fynbos types, probably only maintained by runoff from quartzite fynbos and cool nocturnal temperatures. Occurring at well below the usual rainfall limits for fynbos on shale. See also climate diagram for FFh 2 Matjiesfontein Shale Fynbos (Figure 4.68)."/>
    <s v="Most of the area is underlain by the mafic intrusive rocks of the Rustenburg Layered Suite of the Bushveld Igneous Complex. Rocks include gabbro, norite, pyroxenite and anorthosite. The shales and quartzites of the Pretoria Group (Transvaal Supergroup) also contribute. Mainly vertic melanic clays with some dystrophic or mesotrophic plinthic catenas and some freely drained, deep soils. Land types mainly Ea, Ba and Ae."/>
    <x v="328"/>
    <n v="878.47"/>
    <n v="709.02760000000001"/>
    <s v="PP"/>
    <x v="3"/>
    <x v="1"/>
    <s v="EN↔EN"/>
    <s v="B1i_rod"/>
    <s v="Unchanged"/>
  </r>
  <r>
    <s v="Terrestrial"/>
    <s v="Gs16"/>
    <s v="Queenstown Thornveld"/>
    <s v="Sub-Escarpment Grassland Bioregion"/>
    <x v="0"/>
    <s v="T4"/>
    <s v="T4.2"/>
    <s v="Eastern Cape Province: From the vicinity of Queenstown in the east to the vicinity of Tarkastad in the west, and Sterkstroom in the north."/>
    <s v="Eastern Cape"/>
    <s v="Endemic to South Africa"/>
    <s v="South Africa"/>
    <s v="Flat bottomlands of intramountain basins with adjacent slopes"/>
    <s v="Rainfall peaks in late summer. MAP mainly 380 mm in the west, increasing to 640 mm in the east. The coefficient of variation in MAP from 28–34% across the unit. Incidence of frost is 22–58 days, higher in the northwest than the southeast. See also climate diagram for Gs 16 Queenstown Thornveld (Figure 8.61)."/>
    <s v="Sedimentary rocks of the Tarkastad Subgroup (Beaufort Group, Karoo Supergroup) overlain with clay-loam soils typical of Da and Fc land types."/>
    <x v="329"/>
    <n v="3003.81"/>
    <n v="2980.2071999999998"/>
    <s v="NP"/>
    <x v="0"/>
    <x v="0"/>
    <s v="LC↔LC"/>
    <m/>
    <s v="Unchanged"/>
  </r>
  <r>
    <s v="Terrestrial"/>
    <s v="SVk14"/>
    <s v="Postmasburg Thornveld"/>
    <s v="Eastern Kalahari Bushveld Bioregion"/>
    <x v="1"/>
    <s v="T4"/>
    <s v="T4.1"/>
    <s v="Northern Cape Province: Limited area around Postmasburg along the short valley of the Groenwaterspruit to the northeast and southwest, west to Bermolli and around Heuningkrans. "/>
    <s v="Northern Cape"/>
    <s v="Endemic to South Africa"/>
    <s v="South Africa"/>
    <s v="Flats surrounded by mountains"/>
    <s v="Summer and autumn rainfall with very dry winters. MAP about 250–350 mm. Frost frequent in winter. See also climate diagram for SVk 14 Postmasburg Thornveld."/>
    <s v="Red aeolian sand of the Kalahari Group overlying the volcanics and sediments of the Griqualand West Supergroup that outcrop in places. Deep soils are of the Hutton form. Dominant land type Ag."/>
    <x v="330"/>
    <n v="888.01"/>
    <n v="880.81960000000004"/>
    <s v="NP"/>
    <x v="0"/>
    <x v="0"/>
    <s v="LC↔LC"/>
    <m/>
    <s v="Unchanged"/>
  </r>
  <r>
    <s v="Terrestrial"/>
    <s v="Gh15"/>
    <s v="Carletonville Dolomite Grassland"/>
    <s v="Dry Highveld Grassland Bioregion"/>
    <x v="0"/>
    <s v="T4"/>
    <s v="T4.5"/>
    <s v="North-West (mainly) and Gauteng and marginally into the Free State Province: In the region of Potchefstroom, Ventersdorp and Carletonville, extending westwards to the vicinity of Ottoshoop, but also occurring as far east as Centurion and Bapsfontein in Gauteng Province. "/>
    <s v="Gauteng, Free State, North West"/>
    <s v="Botswana"/>
    <s v="South Africa"/>
    <s v="Slightly undulating plains dissected by prominent rocky chert ridges."/>
    <s v="Warm-temperate, summer-rainfall region, with overall MAP of 593 mm. Summer temperatures high. Severe frequent frost occurs in winter. See also climate diagram for Gh 15 Carletonville Dolomite Grassland (Figure 8.23)."/>
    <s v="Dolomite and chert of the Malmani Subgroup (Transvaal Supergroup) supporting mostly shallow Mispah and Glenrosa soil forms typical of the Fa land type, dominating the landscapes of this unit. Deeper red to yellow apedal soils (Hutton and Clovelly forms) occur sporadically, representing the Ab land type."/>
    <x v="331"/>
    <n v="5651.33"/>
    <n v="5469.0240000000003"/>
    <s v="PP"/>
    <x v="0"/>
    <x v="0"/>
    <s v="LC↔LC"/>
    <m/>
    <s v="Unchanged"/>
  </r>
  <r>
    <s v="Terrestrial"/>
    <s v="Gm15"/>
    <s v="Paulpietersburg Moist Grassland"/>
    <s v="Mesic Highveld Grassland Bioregion"/>
    <x v="0"/>
    <s v="T4"/>
    <s v="T4.5"/>
    <s v="KwaZulu-Natal and Mpumalanga Provinces: Broad surrounds of Piet Retief, Paulpietersburg and Vryheid, extending westwards to east of Wakkerstroom. Occurs in the uppermost catchments of the Phongolo River. "/>
    <s v="KwaZulu-Natal, Mpumalanga"/>
    <s v="Endemic to South Africa"/>
    <s v="South Africa"/>
    <s v="Mainly undulating with moderately steep slopes, but valley basins are wide and flat and mountainous areas occur mostly along the northern and eastern boundary. "/>
    <s v="Summer rainfall, with MAP 900 mm. Warm-temperate climate, MAT close to 17°C, with fairly frequent frosts. See also climate diagram for Gm 15 Paulpietersburg Moist Grassland (Figure 8.36)."/>
    <s v="This area is underlain by Archaean granite and gneiss partly covered by Karoo Supergroup sediments (Madzaringwe Formation) and intruded by Karoo Dolerite Suite dykes and sills. Dominant soils on the sedimentary parent material are yellow apedal, well drained, with a depth of &gt;800 mm and a clay content of &gt;35%, representing the soil series: Hutton, Clovelly and Griffin. Shortlands soils are dominant on dolerite. Dominant land type Ac, with Fa and Ba of subordinate importance."/>
    <x v="332"/>
    <n v="2011.26"/>
    <n v="1966.934"/>
    <s v="PP"/>
    <x v="3"/>
    <x v="1"/>
    <s v="EN↔EN"/>
    <s v="B1i_rod"/>
    <s v="Unchanged"/>
  </r>
  <r>
    <s v="Terrestrial"/>
    <s v="Gm6"/>
    <s v="Frankfort Highveld Grassland"/>
    <s v="Mesic Highveld Grassland Bioregion"/>
    <x v="0"/>
    <s v="T4"/>
    <s v="T4.5"/>
    <s v="Free State and marginally Mpumalanga Provinces: Northeastern Free State—south and southeast of the Vaal Dam in the vicinity of Heilbron, Frankfort and Vrede. "/>
    <s v="Mpumalanga, Free State"/>
    <s v="Endemic to South Africa"/>
    <s v="South Africa"/>
    <s v="Flat to slightly undulating and undulating terrain"/>
    <s v="Summer-rainfall region, with MAP of 638 mm (much of which falls in the form of thunderstorms). MAT 14–15°C, indicating a cool to warm-temperature climate, characterised by great temperature differences between summer and winter (thermic continentality due to the deep-inland situation and high altitude of the unit). Occurrence of frost is frequent in winter. See also climate diagram for Gm 6 Frankfort Highveld Grassland (Figure 8.36)."/>
    <s v="Mudstone or shale with sandstone of the Adelaide Subgroup (Beaufort Group) with Jurassic Karoo dolerite intrusions. Soils are Glenrosa, Bonheim and Avalon, with Mayo forms dominating the outcrops and slightly elevated areas, while the Sepane, Arcadia and Rensburg forms dominate the moist bottomlands. Much of the area (three quarters) is classified as Ea, while the rest is Ca land type."/>
    <x v="333"/>
    <n v="5498.52"/>
    <n v="5465.0860000000002"/>
    <s v="NP"/>
    <x v="0"/>
    <x v="0"/>
    <s v="LC↔LC"/>
    <m/>
    <s v="Unchanged"/>
  </r>
  <r>
    <s v="Terrestrial"/>
    <s v="Gm7"/>
    <s v="Northern Free State Shrubland"/>
    <s v="Mesic Highveld Grassland Bioregion"/>
    <x v="0"/>
    <s v="T4"/>
    <s v="T4.5"/>
    <s v="Free State Province and marginally also into Mpumalanga Province: Northeastern regions of the Free State in the surrounds of Lindley (southwest), Bethlehem, Reitz, Frankfort and Vrede (northeast). "/>
    <s v="Mpumalanga, Free State"/>
    <s v="Endemic to South Africa"/>
    <s v="South Africa"/>
    <s v="Mainly restricted (as isolated pockets) to south-facing slopes of koppies, butts and tafelbergs as well as steep slopes of deeply incised rivers, where sandstone outcrops occur. "/>
    <s v="Summer-rainfall region, with 627 mm MAP. Much of the rainfall is convectional. The frost incidence is around 40 days. See also climate diagram for Gm 7 Northern Free State Shrubland (Figure 8.36)."/>
    <s v="Outcrops of especially Adelaide Subgroup (Beaufort Group, Karoo Supergroup) sandstones and to a lesser extent dolerite sills that protect sedimentary layers of sandstone, mudstone and siltstone from erosion. Soil forms that are typical of these rocky outcrops are the Glenrosa and Mispah forms. Ea land type is dominant (more than 50% of the area), accompanied by Dc and Bb."/>
    <x v="334"/>
    <n v="27.63"/>
    <n v="27.613199999999999"/>
    <s v="PP"/>
    <x v="0"/>
    <x v="0"/>
    <s v="LC↔LC"/>
    <m/>
    <s v="Unchanged"/>
  </r>
  <r>
    <s v="Terrestrial"/>
    <s v="Gm8"/>
    <s v="Soweto Highveld Grassland"/>
    <s v="Mesic Highveld Grassland Bioregion"/>
    <x v="0"/>
    <s v="T4"/>
    <s v="T4.5"/>
    <s v="Mpumalanga, Gauteng (and to a very small extent also in neighbouring Free State and North-West) Provinces: In a broad band roughly delimited by the N17 road between Ermelo and Johannesburg in the north, Perdekop in the southeast and the Vaal River (border with the Free State) in the south. It extends further westwards along the southern edge of the Johannesburg Dome (including part of Soweto) as far as the vicinity of Randfontein. In southern Gauteng it includes the surrounds of Vanderbijlpark and Vereeniging as well as Sasolburg in the northern Free State. "/>
    <s v="Mpumalanga, Gauteng, Free State, North West"/>
    <s v="Endemic to South Africa"/>
    <s v="South Africa"/>
    <s v="Gently to moderately undulating landscape on the Highveld platea"/>
    <s v="Summer-rainfall region (MAP 662 mm). Cool-temperate climate with thermic continentality (high extremes between maximum summer and minimum winter temperatures, frequent occurrence of frost, large thermic diurnal differences, especially in autumn and spring). See also climate diagram for Gm 8 Soweto Highveld Grassland (Figure 8.36)."/>
    <s v="Shale, sandstone or mudstone of the Madzaringwe Formation (Karoo Supergroup) or the intrusive Karoo Suite dolerites which feature prominently in the area. In the south, the Volksrust Formation (Karoo Supergroup) is found and in the west, the rocks of the older Transvaal, Ventersdorp and Witwatersrand Supergroups are most significant. Soils are deep, reddish on flat plains and are typically Ea, Ba and Bb land types."/>
    <x v="335"/>
    <n v="5693.68"/>
    <n v="5504.366"/>
    <s v="NP"/>
    <x v="1"/>
    <x v="3"/>
    <s v="VU↔VU"/>
    <s v="A3_nat, B1i_rod"/>
    <s v="Unchanged"/>
  </r>
  <r>
    <s v="Terrestrial"/>
    <s v="Gs11"/>
    <s v="Southern KwaZulu-Natal Moist Grassland"/>
    <s v="Sub-Escarpment Grassland Bioregion"/>
    <x v="0"/>
    <s v="T4"/>
    <s v="T4.5"/>
    <s v="KwaZulu-Natal and Eastern Cape Provinces: Interior valley basins at Creighton, Malenge and Centocow in the south and the upper Mkomazi River and Howick in the north. "/>
    <s v="KwaZulu-Natal, Eastern Cape"/>
    <s v="Endemic to South Africa"/>
    <s v="South Africa"/>
    <s v="Gently sloping valley bottoms "/>
    <s v="Summer rainfall, with MAP of 920 mm. Cooler form of warm-temperate climate (MAT 15.6°C; 15 frost days a year). See also climate diagram for Gs 11 Southern KwaZulu-Natal Moist Grassland (Figure 8.61)."/>
    <s v="Karoo Supergroup mudstones dominate this area, those of the Volksrust Formation occurring to the south and those of the Adelaide Subgroup to the north. Jurassic dolerite dykes are also present. The dominant soils are mottled and poorly drained, with a depth of 300–500 mm; the clay content ranges from 15–35%, representing soil forms such as Wasbank, Wesselnek, Longlands and Cartref, and Oatsdale on well drained soils. Half of the area is classified as Ac land type, with Fa and Ab of minor occurrence."/>
    <x v="336"/>
    <n v="1030.33"/>
    <n v="1020.7436"/>
    <s v="PP"/>
    <x v="3"/>
    <x v="1"/>
    <s v="EN↔EN"/>
    <s v="B1i_rod"/>
    <s v="Unchanged"/>
  </r>
  <r>
    <s v="Terrestrial"/>
    <s v="Gs12"/>
    <s v="East Griqualand Grassland"/>
    <s v="Sub-Escarpment Grassland Bioregion"/>
    <x v="0"/>
    <s v="T4"/>
    <s v="T4.5"/>
    <s v="KwaZulu-Natal and Eastern Cape Provinces: Major portion of this unit covers most of East Griqualand (with Kokstad and Matatiele as centres)."/>
    <s v="KwaZulu-Natal, Eastern Cape"/>
    <s v="Endemic to South Africa"/>
    <s v="South Africa"/>
    <s v="Hilly country with slopes "/>
    <s v="The region has mostly summer rainfall, with MAP of 780, mm ranging from 620–816 mm. Kokstad records 88 rain days in a year and three of those occur in the midwinter (June–July). Both mist and snow occur less frequently than in Gd 4 Southern Drakensberg Highland Grassland (Kokstad 26 misty days per year) and much of the rain comes in the form of thunderstorms (Kokstad 45 days). MAT 12.9–15.6°C (overall MAT 14.7°C). Moderately severe frosts occur 30 days in a year. Mean annual evaporation 1 457–1 723 mm (Camp 1999b). See also climate diagram for Gs 12 East Griqualand Grassland (Figure 8.61)."/>
    <s v="Mudstone and sandstone of the Beaufort Group of the Karoo Sequence predominate, but sedimentary rocks of the Molteno, Elliot and Clarens Formations are also present. The dominant soils on the sedimentary parent material are well drained, with a depth of 500–800 mm and clay content from 15–55%. The soils are of Hutton, Clovelly, Oatsdale forms on sediments and Shortlands on dolerite. Most common land types Fa and Ac."/>
    <x v="337"/>
    <n v="4719.59"/>
    <n v="4697.9348"/>
    <s v="PP"/>
    <x v="3"/>
    <x v="1"/>
    <s v="EN↔EN"/>
    <s v="B1i_rod"/>
    <s v="Unchanged"/>
  </r>
  <r>
    <s v="Terrestrial"/>
    <s v="Gs4"/>
    <s v="Northern KwaZulu-Natal Moist Grassland"/>
    <s v="Sub-Escarpment Grassland Bioregion"/>
    <x v="0"/>
    <s v="T4"/>
    <s v="T4.5"/>
    <s v="KwaZulu-Natal Province: Northern and northwestern regions of the Province, where it forms a discontinuous rim around the upper Thukela Basin and is situated almost entirely within the catchment of the Thukela River. It lies between the drier Gs 6 KwaZulu-Natal Highland Thornveld and the moist upland vegetation of mainly Gs 3 Low Escarpment Moist Grassland to the north and Gs 10 Drakensberg Foothill Moist Grassland to the west. The most extensive areas are in the vicinity of Winterton, Bergville, Fort Mistake, Dannhauser, Dundee, north of Ladysmith and west of Newcastle. At higher altitudes this unit is usually surrounded by Gs 3 Low Escarpment Moist Grassland in the north and Gs 10 Drakensberg Foothill Moist Grassland in the west and south. At lower altitudes Gs 6 KwaZulu-Natal Highland Thornveld and SVs 2 Thukela Thornveld usually occur to the east. "/>
    <s v="KwaZulu-Natal"/>
    <s v="Endemic to South Africa"/>
    <s v="South Africa"/>
    <s v="Hilly and rolling landscapes"/>
    <s v="Summer rainfall, with overall MAP of 840 mm (710–1 120 mm; Camp 1999a), mainly as summer thunderstorms. Mist occurs frequently on hilltops in spring and early summer, but summer droughts are also frequent. Summers are warm to hot, with maximum temperature recorded in the hottest month of January (Bergville MAT 27.8°C). MAT is around 16°C, but some localities may reach 17°C. Frosts are severe and occur about 20 days per year. Mean annual evaporation recorded at Bergville is 1 895 mm. See also climate diagram for Gs 4 Northern KwaZulu-Natal Moist Grassland (Figure 8.61)."/>
    <s v="Mudstones, sandstones and shales of the Beaufort and Ecca Groups of the Karoo Supergroup predominate and are intruded by dolerites of Jurassic age. Land types Bb, Ac, Fa and Ca."/>
    <x v="338"/>
    <n v="4262.99"/>
    <n v="4243.0244000000002"/>
    <s v="PP"/>
    <x v="1"/>
    <x v="3"/>
    <s v="VU↔VU"/>
    <s v="B1i_rod"/>
    <s v="Unchanged"/>
  </r>
  <r>
    <s v="Terrestrial"/>
    <s v="NKb1"/>
    <s v="Lower Gariep Broken Veld"/>
    <s v="Bushmanland Bioregion"/>
    <x v="6"/>
    <s v="T5"/>
    <s v="T5.1"/>
    <s v="Northern Cape Province: Hardeveld along the Orange River from Onseepkans in the west, including the canyon below the Augrabies Falls and parts of Riemvasmaak and adjacent areas to Keimoes resuming from the Boegoeberg to around Prieska in the east. A series of inselbergs and koppies occurring between Keimoes and around Kakamas, and the ridge running west of Groblershoop from Karos in the north to around Marydale in the south. The unit also occurs in neighbouring Namibia. "/>
    <s v="Northern Cape"/>
    <s v="Namibia"/>
    <s v="South Africa"/>
    <s v="Hills and low mountains, slightly irregular plains but with some rugged terrain (e.g. downstream of the Augrabies Falls) "/>
    <s v="MAP ranges from about 70 mm in the west to 240 mm in the east. Mean maximum and minimum monthly temperatures for Kakamas are 41.3°C and –2°C for January and July respectively. Corresponding values for Prieska (near the eastern extremity) are 39.7°C and –4.1°C. Frost incidence varies from less than 10 days of frost per annum in the west to around 30 days in the east. See also climate diagram for NKb 1 Lower Gariep Broken Veld (Figure 7.2)."/>
    <s v="The region has a complicate geology: banded iron formation and amphibolites of the Asbestos Hills Subgroup are Vaalian and the carbonates and cherts of the Campbell Group are of the same Era. Metamorphic rocks of the Mokolian Erathem include quartzites and gneisses of the Korannaland Supergroup as well as the Riemvasmaak gneiss. Metamorphosed clastic sediments of the Uitdraai Formation are also Mokolian. The remaining half of the area is composed of many other stratigraphies, metamorphosed sediments and outcrops of the ultrametamorphic rocks of the Namaqualand Metamorphic Complex. The soils are shallow and skeletal (dominant soil forms are Mispah and Glenrosa), typical mainly of Ib and Ic land types, and to a lesser extent also of Fb land type."/>
    <x v="339"/>
    <n v="4641.46"/>
    <n v="4637.5303999999996"/>
    <s v="PP"/>
    <x v="0"/>
    <x v="0"/>
    <s v="LC↔LC"/>
    <m/>
    <s v="Unchanged"/>
  </r>
  <r>
    <s v="Terrestrial"/>
    <s v="SKk5"/>
    <s v="Vanrhynsdorp Gannabosveld"/>
    <s v="Knersvlakte Bioregion"/>
    <x v="3"/>
    <s v="T3"/>
    <s v="T3.2"/>
    <s v="Western Cape Province: Namaqualand, southern Knersvlakte between Vredendal and Vanrhynsdorp at the foot of the Matsikamma and Gifberg Mountains as well as northeast of Vanrhynsdorp. "/>
    <s v="Western Cape"/>
    <s v="Endemic to South Africa"/>
    <s v="South Africa"/>
    <s v="Mainly flat or only slightly undulating landscape "/>
    <s v="Winter-rainfall climate with dry, hot summers and mild, rainy winters. MAP of 163 mm is considerably higher than in the other parts of the Knersvlakte due to the orographic effects of the neighbouring Matsikamma and Gifberg Mountains and the Escarpment. Almost all the rainfall occurs between April and August. The lowest temperatures in winter 5–10°C; the highest temperatures in summer 30–35°C. Winters are mild, with rare occurrence of frost (on average 3 days per year). See also climate diagram for SKk 5 Vanrhynsdorp Gannabosveld (Figure 5.53)."/>
    <s v="The greater part of this area is underlain by schists, phyllite and sandstones of the Gariep Supergroup, which outcrop when they are not covered by recent superficial deposits of alluvium and duripan crusts (calcrete). Soils are sandy-loamy, moderately deep, slightly acid to alkaline, with high skeletal content. More than half of the area is classified as Ag land type, followed by Fc land type, with Db and Ae land types only of minor importance."/>
    <x v="340"/>
    <n v="834.92"/>
    <n v="829.21159999999998"/>
    <s v="NP"/>
    <x v="0"/>
    <x v="0"/>
    <s v="LC↔LC"/>
    <m/>
    <s v="Unchanged"/>
  </r>
  <r>
    <s v="Terrestrial"/>
    <s v="SKk6"/>
    <s v="Knersvlakte Dolomite Vygieveld"/>
    <s v="Knersvlakte Bioregion"/>
    <x v="3"/>
    <s v="T5"/>
    <s v="T5.2"/>
    <s v="Western Cape Province: Namaqualand, Knersvlakte between Vanrhynsdorp and the Farm Aties along the Troe-Troe River. "/>
    <s v="Western Cape"/>
    <s v="Endemic to South Africa"/>
    <s v="South Africa"/>
    <m/>
    <s v="Winter-rainfall climate with dry, hot summers and mild, rainy winters. MAP of 164 mm is considerably higher than in the other parts of the Knersvlakte due to the orographic effects of the adjacent escarpment. Almost all the rainfall occurs between April and August. The lowest temperatures in winter 5–10°C, highest temperatures in summer 30–35°C. Winters are mild, with rare occurrence of frost (on average 3 days per year). See also climate diagram for SKk 6 Knersvlakte Dolomite Vygieveld (Figure 5.53)."/>
    <s v="Metasediments of the Namibian Gariep Supergroup, in particular, on the dolomite-rich units. Soils are moderately deep, with high content of soil skeleton, typically slightly alkaline with high carbonate content. Entire area is classified as Ag land type."/>
    <x v="341"/>
    <n v="57.25"/>
    <n v="57.0456"/>
    <s v="MP"/>
    <x v="0"/>
    <x v="0"/>
    <s v="LC↔LC"/>
    <m/>
    <s v="Unchanged"/>
  </r>
  <r>
    <s v="Terrestrial"/>
    <s v="SKr10"/>
    <s v="Die Plate Succulent Shrubland"/>
    <s v="Richtersveld Bioregion"/>
    <x v="3"/>
    <s v="T5"/>
    <s v="T5.2"/>
    <s v="Northern Cape Province: Plateau east of Lekkersing and south of Eksteenfontein in southern Richtersveld. "/>
    <s v="Northern Cape"/>
    <s v="Endemic to South Africa"/>
    <s v="South Africa"/>
    <s v="A plateau with a series of open flat steps descending from north to south with isolated embedded hills."/>
    <s v="MAP is estimated at 80–120 mm, with winter-rainfall pattern clearly predominant. Frost is a very rare event and fog is of little importance."/>
    <s v="Mainly quartzite rocks of the Stinkfontein Formation of the Precambrian Gariep Complex. Soils are mainly shallow and with loamy-sandy texture. Ag is the almost exclusive land type of this unit."/>
    <x v="342"/>
    <n v="127.49"/>
    <n v="127.13"/>
    <s v="NP"/>
    <x v="0"/>
    <x v="0"/>
    <s v="LC↔LC"/>
    <m/>
    <s v="Unchanged"/>
  </r>
  <r>
    <s v="Terrestrial"/>
    <s v="SKr13"/>
    <s v="Southern Richtersveld Scorpionstailveld"/>
    <s v="Richtersveld Bioregion"/>
    <x v="3"/>
    <s v="T5"/>
    <s v="T5.2"/>
    <s v="Northern Cape Province: Southern Richtersveld—large portion of the plains west of the Anenous Pass, stretching over some 55 km to Oograbies in the west and from Skimmelberg in the north to just south of the road connecting Steinkopf and Port Nolloth. "/>
    <s v="Northern Cape"/>
    <s v="Endemic to South Africa"/>
    <s v="South Africa"/>
    <s v="Flat basin landscape with a number of inselbergs embedded (mapped as SKr 14 Southern Richtersveld Inselberg Shrubland)"/>
    <s v="MAP is estimated at 80–140 mm, with winter rainfall clearly predominant. Frost is very rare. Fog and high air humidity often occur. Southerly winds are stronger in the west of the unit. See also climate diagram for SKr 13 Southern Richtersveld Scorpionstailveld (Figure 5.12)."/>
    <s v="Silts and loamy sands of partly aeolian origin above migmatite and gneiss of the Namaqualand Metamorphic Complex (Precambrian age). Ae land type is dominant, followed by Ag land type."/>
    <x v="343"/>
    <n v="722.31"/>
    <n v="721.81479999999999"/>
    <s v="NP"/>
    <x v="0"/>
    <x v="2"/>
    <s v="LC → CR"/>
    <s v="B1i_sup"/>
    <s v="Uplisted"/>
  </r>
  <r>
    <s v="Terrestrial"/>
    <s v="SKr2"/>
    <s v="Upper Annisvlakte Succulent Shrubland"/>
    <s v="Richtersveld Bioregion"/>
    <x v="3"/>
    <s v="T5"/>
    <s v="T5.2"/>
    <s v="Northern Cape Province: Southern parts of the Annisvlakte north and northwest of the Goariep Mountain in the northwestern Richtersveld from near Khubus to the region southeast of Arrisdrif. The westernmost section, southeast of Arrisdrif, is virtually separated from the main area by a northwards moving duneveld of red sand (part of the SKs 5 Richtersveld Red Duneveld), which at its northern margin fades out to form a shallow sand sheet, which crosses the main road between Alexander Bay and Khubus and penetrating deeply (not mapped) into the Western Gariep Lowlands Desert. "/>
    <s v="Northern Cape"/>
    <s v="Endemic to South Africa"/>
    <s v="South Africa"/>
    <s v="Landscape is mainly a very wide tilted plain, formed by the huge pediment of the Goariep Mountain towards the Orange River. Some river courses are deeply incised into this plain."/>
    <s v="MAP is 55–70 mm. Winter rainfall is predominant. Light frost is a very rare event. This region receives sea fog from a southwesterly direction as well as ‘malmokkie’ fog (see the chapter on Desert in this book). Strong winds to very strong storms occur and cause severe dust and sand storms with consequentially strong erosion of topsoil material and sandblasting."/>
    <s v="The granite of the Kuboos Pluton (of the Cambrian Kuboos, Bremen Suite), largely covered by alluvium and superficial calcrete deposits. Alluvial loamy sandy gravel soils, mainly derived from granite. Ae and Ag land types are almost equally important."/>
    <x v="344"/>
    <n v="191.65"/>
    <n v="191.33879999999999"/>
    <s v="MP"/>
    <x v="0"/>
    <x v="2"/>
    <s v="LC → CR"/>
    <s v="B1i_sup"/>
    <s v="Uplisted"/>
  </r>
  <r>
    <s v="Terrestrial"/>
    <s v="SKr5"/>
    <s v="Vyftienmyl se Berge Succulent Shrubland"/>
    <s v="Richtersveld Bioregion"/>
    <x v="3"/>
    <s v="T5"/>
    <s v="T5.2"/>
    <s v="Northern Cape Province: Southwestern Richtersveld—a north-south trending longitudinal series of inselbergs (making up the Vyftienmyl se Berge) some 20 km inland east of Port Nolloth. "/>
    <s v="Northern Cape"/>
    <s v="Endemic to South Africa"/>
    <s v="South Africa"/>
    <s v="Steep, wall-like, linear series of inselbergs—a prominent geomorphological structure when viewed from the coastal plains near Port Nolloth. "/>
    <s v="MAP is estimated to range from 60–120 mm. Winter rainfall with strong differences between different slopes. Due to its geomorphological structure and due to the location in the sandveld plains close to the coast, the mountains receive considerable amounts of fog water, especially on the western slopes. Fog frequency is estimated at ca. 60 to 80 days per year. Besides the Boegoe Twins near Alexander Bay, the mountains at Vyftienmyl se Berge are the best example of a ‘fog oasis’ on the northern Namaqualand coastal plain. Frost is rare. See also climate diagram for SKr 5 Vyftienmyl se Berge Succulent Shrubland (Figure 5.12)."/>
    <s v="Mainly quartzite and some other metasediments of the Stinkfontein Subgroup (Gariep Supergroup). Wide range of soil types, mostly weakly developed (Mispah and Glenrosa form, partly Dorbank). The region is classified as Ic land type."/>
    <x v="345"/>
    <n v="18.37"/>
    <n v="18.372"/>
    <s v="WP"/>
    <x v="0"/>
    <x v="0"/>
    <s v="LC↔LC"/>
    <m/>
    <s v="Unchanged"/>
  </r>
  <r>
    <s v="Terrestrial"/>
    <s v="SKr6"/>
    <s v="Stinkfonteinberge Eastern Apron Shrubland"/>
    <s v="Richtersveld Bioregion"/>
    <x v="3"/>
    <s v="T5"/>
    <s v="T5.2"/>
    <s v="Northern Cape Province: Narrow belt immediately east of the Stinkfonteinberge range in the southeastern Richtersveld. It has a north-south-trending longitudinal extension of about 35 km from just south of the Rosyntjieberge to immediately north of Eksteenfontein. "/>
    <s v="Northern Cape"/>
    <s v="Endemic to South Africa"/>
    <s v="South Africa"/>
    <s v="Lower flat slopes and the subsequent pediment at the foot of the Stinkfonteinberge range. Also includes a number of small mountains. Mainly flat to rolling landscape at the foot of the higher mountains, characterised by deeper sandy or silty loams similar to soils of the SKr 7 Northern Richtersveld Scorpionstailveld. Distinguished from the latter by more variable topography"/>
    <s v="Predominantly winter rainfall, with MAP estimated from 50–120 mm. Lies within a gradient of orogenic rains, rapidly decreasing from west to east. Fog is an infrequent phenomenon. Incidence of fog is low."/>
    <s v="Granites of the Mokolian Vioolsdrif Suite predominate, with Stinkfontein Subgroup Quartzites (Namibian Erathem) along western fringes. Soils are composed of silt or loam with calcretes and show extreme erosion in places. Ag land type is dominant in the region, while Ic is of lesser importance."/>
    <x v="346"/>
    <n v="65.87"/>
    <n v="65.8232"/>
    <s v="WP"/>
    <x v="0"/>
    <x v="0"/>
    <s v="LC↔LC"/>
    <m/>
    <s v="Unchanged"/>
  </r>
  <r>
    <s v="Terrestrial"/>
    <s v="SKr7"/>
    <s v="Northern Richtersveld Scorpionstailveld"/>
    <s v="Richtersveld Bioregion"/>
    <x v="3"/>
    <s v="T5"/>
    <s v="T5.2"/>
    <s v="Northern Cape Province: A series of plains or valley floors scattered in the northern Richtersveld, including the large Goariepvlakte, Koeroegabvlakte, some plains between Abiequarivier and Gannakourieprivier and at the western entrance to the Springbokvlakte. "/>
    <s v="Northern Cape"/>
    <s v="Namibia"/>
    <s v="South Africa"/>
    <s v="Typically fragmented, and showing a landscape of flat, though often tilted, or very slightly undulating topography. Often the whole large plain is covered by the unit, while in other cases it is restricted to specific geomorphological forms such as pediments west of the main mountains and to locations along the river beds protected against deflation by strong winds "/>
    <s v="Due to the wide range of the unit, a wide spectrum of climatic conditions can be found. MAP may vary greatly (50–100 mm) and falls mainly in winter. Fog can be important, but not east of the Vandersterrberge. Temperatures can follow a wide spectrum. However, in the northeastern Richtersveld a well-developed Scorpionstailveld is seldom found in the hotter areas below an altitude of 330 m. Some days of frost per year can occur at higher altitudes, e.g. on the Koeroegabvlakte."/>
    <s v="The small northeastern part of this area is underlain by granites of the Vioolsdrif Suite; the rest occurs on Cenozoic alluvium, aeolian sand and calcrete. Loamy or silty soils formed by aeolian deposition. Calcrete layers or other calcium carbonate accumulations occur not deeper than 40 cm below the surface. Often the soils also show high salinity. The silt component is subject to local aeolian erosion and sedimentation, resulting in erosion in the bare areas between the bushes and silt deposition underneath the bushes—these biogenic mounds regularly attract ants and termites. Almost 70% of the unit is classified as Ae land type, while the Ag and Ah land types are only of marginal importance."/>
    <x v="347"/>
    <n v="327.11"/>
    <n v="326.56880000000001"/>
    <s v="WP"/>
    <x v="0"/>
    <x v="1"/>
    <s v="LC → EN"/>
    <s v="B1i_sup"/>
    <s v="Uplisted"/>
  </r>
  <r>
    <s v="Terrestrial"/>
    <s v="SKs10"/>
    <s v="Riethuis-Wallekraal Quartz Vygieveld"/>
    <s v="Namaqualand Sandveld Bioregion"/>
    <x v="3"/>
    <s v="T5"/>
    <s v="T5.2"/>
    <s v="Northern Cape Province: Namaqualand, surrounds of Riethuis, Wallekraal and Soebatsfontein. "/>
    <s v="Northern Cape"/>
    <s v="Endemic to South Africa"/>
    <s v="South Africa"/>
    <s v="Slightly undulating plains covered by white patches of quartz pavement "/>
    <s v="Winter-rainfall climate. MAP of 129 mm, with almost all the rainfall between May and August. The lowest temperatures in winter are 5–10°C. Frost occurs in winter, but it is very rare. The highest temperatures in the summer are 25–30°C. Frequent occurrence of fog (mainly in winter and spring) and dew representing an important source of water supply. See also climate diagram for SKs 10 Riethuis-Wallekraal Quartz Vygieveld (Figure 5.39)."/>
    <s v="Shallow silty and skeletal soils, saline in part. In between with small-scale mosaics of level or sloping quartz patches. The underlying geology is gneiss of the Stalhoek Complex and Kamieskroon Gneiss. Ag land type is dominant, while Ae land type is only of subordinate importance."/>
    <x v="348"/>
    <n v="134.38999999999999"/>
    <n v="133.97479999999999"/>
    <s v="WP"/>
    <x v="0"/>
    <x v="0"/>
    <s v="LC↔LC"/>
    <m/>
    <s v="Unchanged"/>
  </r>
  <r>
    <s v="Terrestrial"/>
    <s v="SKs13"/>
    <s v="Klawer Sandy Shrubland"/>
    <s v="Namaqualand Sandveld Bioregion"/>
    <x v="3"/>
    <s v="T5"/>
    <s v="T5.2"/>
    <s v="Western Cape Province: Lower Olifants River Valley in close surrounds of Klawer. "/>
    <s v="Western Cape"/>
    <s v="Endemic to South Africa"/>
    <s v="South Africa"/>
    <s v="Slightly undulating landscape and foothills"/>
    <s v="Winter-rainfall regime, with obvious peak from June to August. MAP reaches almost 200 mm (semidesert), but an additional contribution from regional precipitation (fog condensing on Gifberg escarpment) cannot be excluded. MAT 18–19°C and only 2 days of frost per year on average. See also climate diagram for SKs 13 Klawer Sandy Shrubland (Figure 5.39)."/>
    <s v="Well-drained, moderately deep to deep, yellow to red sands overlying Gariep Supergroup schists and phyllites as well as lesser sandstones, carbonates and metavolcanics. Some Table Mountain Group quartzites are also present. Occasionally heuweltjies occur as well. Ag land type is dominant, while the importance of Ae, Db and Fc land types is secondary."/>
    <x v="349"/>
    <n v="110.69"/>
    <n v="108.1596"/>
    <s v="NP"/>
    <x v="2"/>
    <x v="2"/>
    <s v="CR↔CR"/>
    <s v="B1i_rod"/>
    <s v="Unchanged"/>
  </r>
  <r>
    <s v="Terrestrial"/>
    <s v="SKs9"/>
    <s v="Namaqualand Inland Duneveld"/>
    <s v="Namaqualand Sandveld Bioregion"/>
    <x v="3"/>
    <s v="T5"/>
    <s v="T5.2"/>
    <s v="Northern Cape Province: Namaqualand Sandveld, where it occurs in two patches—one between Kotzesrus northwards to Groen River while another is located between Wallekraal and Hondeklipbaai. "/>
    <s v="Northern Cape"/>
    <s v="Endemic to South Africa"/>
    <s v="South Africa"/>
    <s v="Coastal peneplain with mobile dunes"/>
    <s v="Arid, winter-rainfall area with MAP only 104 mm, with almost all the rainfall from May to August. Dew occurs throughout the winter. Lowest temperatures in winter just below 10ºC. Hardly any incidence of frost. The highest temperatures in summer 25–30ºC. See also climate diagram for SKs 9 Namaqualand Inland Duneveld (Figure 5.39)."/>
    <s v="Quaternary aeolian, deep, loose, red to yellowish sand, forming medium (1–3 m) to high (3–6 m) dunes. Ah land type covers almost two thirds of the area, while the rest is classified as Ai land type."/>
    <x v="350"/>
    <n v="888.08"/>
    <n v="884.69560000000001"/>
    <s v="PP"/>
    <x v="0"/>
    <x v="0"/>
    <s v="LC↔LC"/>
    <m/>
    <s v="Unchanged"/>
  </r>
  <r>
    <s v="Terrestrial"/>
    <s v="SVcb11"/>
    <s v="Andesite Mountain Bushveld"/>
    <s v="Central Bushveld Bioregion"/>
    <x v="1"/>
    <s v="T4"/>
    <s v="T4.2"/>
    <s v="Gauteng, North-West, Mpumalanga and Free State Provinces: Several separate occurrences of which the main are: the Bronberg Ridge in eastern Pretoria extending to Welbekend; from Hartebeesthoek in the west along the valley between the two parallel ranges of hills to Atteridgeville; hills in southern Johannesburg; several hills encompassing Nigel, Willemsdal, Coalbrook and Suikerbosrand (in part); and the outer ring of ridges of the Vredefort Dome and some hills to the northwest around Potchefstroom. "/>
    <s v="Mpumalanga, Gauteng, Free State, North West"/>
    <s v="Endemic to South Africa"/>
    <s v="South Africa"/>
    <s v=" hill slopes and some valleys with undulating landscape."/>
    <s v="0"/>
    <s v="Tholeitic basalt of the Kliprivierberg Group (Randian Ventersdorp Supergroup), also dark shale, micaceous sandstone and siltstone and thin coal seams of the Madzaringwe Formation [Karoo Supergroup, and andesite and conglomerate of the Pretoria Group (Vaalian Transvaal Supergroup)]. Weathering of these rocks gives rise to shallow, rocky, clayey soils of mainly Mispah and Glenrosa soil forms. Land types mainly Ib and Fb, with some Ba and Bb."/>
    <x v="351"/>
    <n v="1438.99"/>
    <n v="2493.5868"/>
    <s v="PP"/>
    <x v="0"/>
    <x v="0"/>
    <s v="LC↔LC"/>
    <m/>
    <s v="Unchanged"/>
  </r>
  <r>
    <s v="Terrestrial"/>
    <s v="SVcb14"/>
    <s v="Loskop Thornveld"/>
    <s v="Central Bushveld Bioregion"/>
    <x v="1"/>
    <s v="T4"/>
    <s v="T4.2"/>
    <s v="Mpumalanga Province and very marginally into Limpopo Province: South of Groblersdal, the valley of the Bloed River towards Stoffberg and the valley of the Olifants River to the Loskop Dam as well as valleys west of Groblersdal to Dennilton."/>
    <s v="Mpumalanga, Limpopo"/>
    <s v="Endemic to South Africa"/>
    <s v="South Africa"/>
    <s v="Valleys and plains of parts of the upper Olifants River catchment"/>
    <s v="Summer rainfall with very dry winters. MAP about 550–650 mm. Frost fairly infrequent. Mean monthly maximum and minimum temperatures for Loskop Dam-Irr are 35.7°C and 3.6°C for January and July, respectively. See also climate diagram for SVcb 14 Loskop Thornveld."/>
    <s v="Gabbro, norite and anorthosite of the Dsjate Subsuite, olivine diorite, magnetite gabbro and gabbronorite of the Roossenekal Subsuite (both Rustenburg Layered Suite, Bushveld Igneous Complex), mudstone siltstone, sandstone, andesitic lava and carbonates of the Bloempoort Formation, mudstone, sandstone, conglomerate and volcanic rocks of the Loskop Formation (both Transvaal Supergroup, Vaalian Erathem), and granophyre of the Rashoop Granophyre Suite, also of Bushveld (Vaalian Erathem). Soils are vertic, melanic clays, plinthic catena, eutrophic and widespread red soils. Red-yellow apedal, freely drained soils, high base status. Deep soils with Hutton, Rensburg and Arcadia forms are common. Land types mainly Ea, Bc and Ae."/>
    <x v="352"/>
    <n v="448.41"/>
    <n v="441.2636"/>
    <s v="PP"/>
    <x v="0"/>
    <x v="0"/>
    <s v="LC↔LC"/>
    <m/>
    <s v="Unchanged"/>
  </r>
  <r>
    <s v="Terrestrial"/>
    <s v="SVcb18"/>
    <s v="Roodeberg Bushveld"/>
    <s v="Central Bushveld Bioregion"/>
    <x v="1"/>
    <s v="T4"/>
    <s v="T4.1"/>
    <s v="Limpopo Province: Straddling the Tropic of Capricorn, occurs from Marken and Villa Nora in the south through Baltimore to near Swartwater in the north and to the plains around the base of the Blouberg and Lerataupje Mountains in the northeast. "/>
    <s v="Limpopo"/>
    <s v="Botswana"/>
    <s v="South Africa"/>
    <s v="Plains and slightly undulating plains, including some low hills"/>
    <s v="Summer rainfall with very dry winters. MAP 400–550 mm. Frost fairly infrequent. Mean monthly maximum and minimum temperatures for Marnitz 37.1°C and 0.2°C for November and June, respectively. See also climate diagram for SVcb 18 Roodeberg Bushveld."/>
    <s v="Mainly sandstone, conglomerate, siltstone and shale of the Kransberg and Matlabas Subgroups (Mokolian Waterberg Group). Gneisses, metasediments and metavolcanic rocks of the Malala Drift Group, Beit Bridge Complex (Swazian Erathem) occur in the north. Granite of the Lebowa Granite Suite (Bushveld Igneous Complex) is also present. A variety of soil types, but mostly sandy soils, red-yellow apedal high base status, also dystrophic or mesotrophic. Almost half the area is Ae land type, with remainder divided between mainly Fa, Bc, Ac, Fc, Ia and Fb."/>
    <x v="353"/>
    <n v="5157.8500000000004"/>
    <n v="5101.7687999999998"/>
    <s v="MP"/>
    <x v="0"/>
    <x v="0"/>
    <s v="LC↔LC"/>
    <m/>
    <s v="Unchanged"/>
  </r>
  <r>
    <s v="Terrestrial"/>
    <s v="SVcb24"/>
    <s v="Mamabolo Mountain Bushveld"/>
    <s v="Central Bushveld Bioregion"/>
    <x v="1"/>
    <s v="T4"/>
    <s v="T4.2"/>
    <s v="Limpopo Province: East and south of the Polokwane Plateau along the foothills of the west-facing part of the eastern escarpment and of the Strydpoort and Makapan Mountains. Also on main isolated hills and small mountains embedded within the Polokwane Plateau as far as Mogoshi Mountain in the west and De Loskop (near Mogwadi) and Renosterkoppies (around Zandrivierspoort) to the north."/>
    <s v="Limpopo"/>
    <s v="Endemic to South Africa"/>
    <s v="South Africa"/>
    <s v="Low mountains, lower slopes of Strydpoort and Makapan ranges, and rocky hills. Slopes are moderate to steep, and very rocky,and Rock slabs or domes ."/>
    <s v="Summer rainfall with dry winters. MAP about 450–750 mm. Frost fairly infrequent. With the coolest mean annual temperature of all savanna units apart from the three mountain bushveld units of the Highveld. See also climate diagram for SVcb 24 Mamabolo Mountain Bushveld."/>
    <s v="Very varied geology includes basement granite and gneiss, clastic sediments of the Pretoria Group (Vaalian) and ultramafic and mafic metavolcanics of the Pietersburg Group (Swazian). Shallow and skeletal soil (including Mispah and Glenrosa soil forms). Land types mainly Ib and Fa."/>
    <x v="354"/>
    <n v="599.02"/>
    <n v="596.73559999999998"/>
    <s v="PP"/>
    <x v="0"/>
    <x v="0"/>
    <s v="LC↔LC"/>
    <m/>
    <s v="Unchanged"/>
  </r>
  <r>
    <s v="Terrestrial"/>
    <s v="SVcb8"/>
    <s v="Moot Plains Bushveld"/>
    <s v="Central Bushveld Bioregion"/>
    <x v="1"/>
    <s v="T4"/>
    <s v="T4.2"/>
    <s v="North-West and Gauteng Provinces: Main belt occurs immediately south of the Magaliesberg from the Selons River Valley in the west through Maanhaarrand, filling the valley bottom of the Magalies River, proceeding east of the Hartebeestpoort Dam between the Magaliesberg and Daspoort mountain ranges to Pretoria. It also occurs as a narrow belt immediately north of the Magaliesberg from Rustenburg in the west to just east of the Crocodile River in the east: also south of the Swartruggens–Zeerust line. "/>
    <s v="Gauteng, North West"/>
    <s v="Endemic to South Africa"/>
    <s v="South Africa"/>
    <s v="bottomlands and plains as well as woodlands of varying height and density on the lower hillsides"/>
    <s v="Summer rainfall with very dry winters. MAP from about 55 mm in the west to about 700 mm in the east. Frost frequent in winter. Mean monthly maximum and minimum temperatures for Pretoria-Pur 33.6°C and –3.1°C for January and June, respectively. See also climate diagram for SVcb 8 Moot Plains Bushveld."/>
    <s v="Clastic sediments and minor carbonates and volcanics of the Pretoria Group (including the Silverton Formation) and some Malmani dolomites in the west, all of the Transvaal Supergroup (Vaalian). There is also some contribution from mafic Bushveld intrusives. Soils often stony with colluvial clay-loam but varied, including red-yellow apedal freely drained, dystrophic and eutrophic plinthic catenas, vertic and melanic clays, and some less typical Glenrosa and Mispah forms. Land types Ae, Ba, Ea, Bc, Ac and less typically Fb."/>
    <x v="355"/>
    <n v="1890.59"/>
    <n v="843.35879999999997"/>
    <s v="PP"/>
    <x v="0"/>
    <x v="1"/>
    <s v="LC → EN"/>
    <s v="B1i_rod"/>
    <s v="Uplisted"/>
  </r>
  <r>
    <s v="Terrestrial"/>
    <s v="SVk13"/>
    <s v="Olifantshoek Plains Thornveld"/>
    <s v="Eastern Kalahari Bushveld Bioregion"/>
    <x v="1"/>
    <s v="T4"/>
    <s v="T4.1"/>
    <s v="Northern Cape Province: Plains including most of the pediment areas of the Korannaberg, Langeberg and Asbestos Mountains as well as those of some ridges to the west of the Langeberg. From the vicinity of Sonstraal in the north, past Olifantshoek to areas north of Niekerkshoop between Volop and Griekwastad in the south. Also from Griekwastad northwards to the flats west of the Lime Acres area. "/>
    <s v="Northern Cape"/>
    <s v="Endemic to South Africa"/>
    <s v="South Africa"/>
    <s v="A very wide and diverse unit on plains"/>
    <s v="Summer and autumn rainfall with very dry winters. MAP about 200–350 mm in the east. Frost frequent in winter. See also climate diagram for SVk 13 Olifantshoek Plains Thornveld."/>
    <s v="Red aeolian sand of Tertiary to Recent age (Kalahari Group) with silcrete and calcrete and some andesitic and basaltic lava of the Griqualand West Supergroup. Hutton soil forms, deeper than 1.2 m, on the overwhelmingly dominant Ae and to a far lesser extent Ah land types."/>
    <x v="356"/>
    <n v="8440.9699999999993"/>
    <n v="8409.3819999999996"/>
    <s v="PP"/>
    <x v="0"/>
    <x v="0"/>
    <s v="LC↔LC"/>
    <m/>
    <s v="Unchanged"/>
  </r>
  <r>
    <s v="Terrestrial"/>
    <s v="SVk16"/>
    <s v="Gordonia Plains Shrubland"/>
    <s v="Eastern Kalahari Bushveld Bioregion"/>
    <x v="1"/>
    <s v="T4"/>
    <s v="T4.1"/>
    <s v="Northern Cape Province: Broad north-south band on flats west of the Korannaberg and Langeberg Mountains (and of their western pediment) and east of the main Kalahari duneveld area (for example at Pearson’s Hunt). From Van Zylsrus in the north to southwest of Witsand in the south. Also as a number of isolated patches embedded in the duneveld area between the Auob and Nossob Rivers in the Kgalagadi Transfrontier Park as well as the valley containing Groot and Klein Mier south of the park. "/>
    <s v="Northern Cape"/>
    <s v="Namibia, Botswana"/>
    <s v="South Africa"/>
    <s v="Plains with open grassland.The area has virtually no dunes."/>
    <s v="Summer and autumn rainfall with very dry winters. MAP about 180–280 mm. Frost frequent in winter. See also climate diagram for SVk 16 Gordonia Plains Shrubland."/>
    <s v="Aeolian sand, underlain by calcrete of the Kalahari Group, deep, loose, sandy soils of the Namib soil form on the flat plains. Land types mainly Ah and Af with a little Ae."/>
    <x v="357"/>
    <n v="7910.83"/>
    <n v="7905.8220000000001"/>
    <s v="MP"/>
    <x v="0"/>
    <x v="0"/>
    <s v="LC↔LC"/>
    <m/>
    <s v="Unchanged"/>
  </r>
  <r>
    <s v="Terrestrial"/>
    <s v="SVk2"/>
    <s v="Stella Bushveld"/>
    <s v="Eastern Kalahari Bushveld Bioregion"/>
    <x v="1"/>
    <s v="T4"/>
    <s v="T4.1"/>
    <s v="North-West Province: North of Vryburg around Stella westwards to Louwna and eastwards to about 20 km west of Delareyville. "/>
    <s v="North West"/>
    <s v="Endemic to South Africa"/>
    <s v="South Africa"/>
    <s v="Plains"/>
    <s v="Summer rainfall with very dry winters. MAP about 400–480 mm. Frost frequent in winter. See also climate diagram for SVk 2 Stella Bushveld."/>
    <s v="Andesitic lavas of the Allanridge Formation of the Ventersdorp Supergroup, sometimes covered with silcrete or calcrete of the Kalahari Group, on flat to hilly plains. Sandy soils 0.1–0.9 m deep, various soil forms. Land types Bc and Ae, with a little Ah."/>
    <x v="358"/>
    <n v="1895.12"/>
    <n v="3227.3371999999999"/>
    <s v="NP"/>
    <x v="0"/>
    <x v="0"/>
    <s v="LC↔LC"/>
    <m/>
    <s v="Unchanged"/>
  </r>
  <r>
    <s v="Terrestrial"/>
    <s v="SVk3"/>
    <s v="Schweizer-Reneke Bushveld"/>
    <s v="Eastern Kalahari Bushveld Bioregion"/>
    <x v="1"/>
    <s v="T4"/>
    <s v="T4.1"/>
    <s v="North-West Province: Schweizer-Reneke area in the east to Amalia in the west and from the farming areas of around Broedersput in the north to Never Mind (Christiana District) in the south. "/>
    <s v="North West"/>
    <s v="Endemic to South Africa"/>
    <s v="South Africa"/>
    <s v="Plains, slightly undulating plains and some hills"/>
    <s v="Rainfall in summer with very dry winters. MAP about 440–520 mm. Frost frequent in winter. See also climate diagram for SVk 3 Schweizer-Reneke Bushveld."/>
    <s v="Andesitic lavas of the Allanridge Formation of the Ventersdorp Supergroup, sometimes covered with silcrete or calcrete of the Kalahari Group. Deep (0.9–1.2 m) sandy soils, with Hutton and Clovelly the dominant soil forms. Land types Ah and Ae and some Bc."/>
    <x v="359"/>
    <n v="988.82"/>
    <n v="576.26440000000002"/>
    <s v="PP"/>
    <x v="1"/>
    <x v="3"/>
    <s v="VU↔VU"/>
    <s v="A3_nat"/>
    <s v="Unchanged"/>
  </r>
  <r>
    <s v="Terrestrial"/>
    <s v="SVk4"/>
    <s v="Kimberley Thornveld"/>
    <s v="Eastern Kalahari Bushveld Bioregion"/>
    <x v="1"/>
    <s v="T4"/>
    <s v="T4.1"/>
    <s v="North-West, Free State and Northern Cape Provinces: Most of the Kimberley, Hartswater, Bloemhof and Hoopstad Districts as well as substantial parts of the Warrenton, Christiana, Taung, Boshof and to some extent the Barkly West Districts. Also includes pediment areas in the Herbert and Jacobsdal Districts. "/>
    <s v="Northern Cape, Free State, North West"/>
    <s v="Endemic to South Africa"/>
    <s v="South Africa"/>
    <s v="Plains often slightly irregular"/>
    <s v="Summer and autumn rainfall and very dry winters. MAP from about 300 mm in the southwest to about 500 mm in the northeast. Frost frequent in winter. Mean monthly maximum and minimum temperatures for Kimberley 37.5°C and –4.1°C for January and July, respectively. Corresponding values for Vaalharts-Agr 37.4°C and –3.9°C, respectively. See also climate diagram for SVk 4 Kimberley Thornveld."/>
    <s v="Andesitic lavas of the Allanridge Formation in the north and west and fine-grained sediments of the Karoo Supergroup in the south and east. Deep (0.6–1.2 m) sandy to loamy soils of the Hutton soil form (Ae and Ah land types) on slightly undulating sandy plains."/>
    <x v="360"/>
    <n v="14207.65"/>
    <n v="12455.302"/>
    <s v="PP"/>
    <x v="0"/>
    <x v="0"/>
    <s v="LC↔LC"/>
    <m/>
    <s v="Unchanged"/>
  </r>
  <r>
    <s v="Terrestrial"/>
    <s v="SVk6"/>
    <s v="Schmidtsdrif Thornveld"/>
    <s v="Eastern Kalahari Bushveld Bioregion"/>
    <x v="1"/>
    <s v="T4"/>
    <s v="T4.1"/>
    <s v="Northern Cape, Free State and North-West Provinces: Footslopes and midslopes to the southeast and below the Ghaap Plateau from around Douglas in the southwest via Schmidtsdrif towards Taung in the northeast. A small less typical section is found east of the Ghaap Plateau from Warrenton towards Hertzogville. "/>
    <s v="Northern Cape, Free State, North West"/>
    <s v="Endemic to South Africa"/>
    <s v="South Africa"/>
    <m/>
    <s v="Summer and autumn rainfall with very dry winters. MAP from about 250 mm in the southwest to about 450 mm in the northeast. Frost frequent in winter. See also climate diagram for SVk 6 Schmidtsdrif Thornveld."/>
    <s v="Most significant are the Dwyka diamictites and Ecca shales of the Karoo Supergroup. Shale and dolomite of the Schmidtsdrif Subgroup (Griqualand West Supergroup) are also present. Surface limestone occurs sporadically. Well-drained, shallow (&lt;0.3 m), stony soil with large angular rocks on the soil surface. A soil-rock complex with Mispah soil form. Land types mainly Ae and Dc."/>
    <x v="361"/>
    <n v="4102.01"/>
    <n v="4220.2731999999996"/>
    <s v="NP"/>
    <x v="0"/>
    <x v="0"/>
    <s v="LC↔LC"/>
    <m/>
    <s v="Unchanged"/>
  </r>
  <r>
    <s v="Terrestrial"/>
    <s v="SVk7"/>
    <s v="Ghaap Plateau Vaalbosveld"/>
    <s v="Eastern Kalahari Bushveld Bioregion"/>
    <x v="1"/>
    <s v="T4"/>
    <s v="T4.1"/>
    <s v="Northern Cape and North-West Provinces: Flat plateau from around Campbell in the south, east of Danielskuil through Reivilo to around Vryburg in the north. "/>
    <s v="Northern Cape, North West"/>
    <s v="Endemic to South Africa"/>
    <s v="South Africa"/>
    <s v="Flat plateau"/>
    <s v=" Summer and autumn rainfall with very dry winters. MAP from about 300 mm in the southwest to about 500 mm in the northeast. Frost frequent to very frequent in winter. Mean monthly maximum and minimum temperatures for Koopmansfontein 36.3°C and –7.5°C for January and July, respectively. Corresponding values for Armoedsvlakte (near Vryburg) 36.6°C and –5.5°C for December and July, respectively. See also climate diagram for SVk 7 Ghaap Plateau Vaalbosveld."/>
    <s v="Surface limestone of Tertiary to Recent age, and dolomite and chert of the Campbell Group (Griqualand West Supergroup, Vaalian Erathem) support shallow soils (0.1–0.25 m) of Mispah and Hutton soil forms. Land types mainly Fc with some Ae and Ag."/>
    <x v="362"/>
    <n v="15096.22"/>
    <n v="13112.5744"/>
    <s v="NP"/>
    <x v="0"/>
    <x v="0"/>
    <s v="LC↔LC"/>
    <m/>
    <s v="Unchanged"/>
  </r>
  <r>
    <s v="Terrestrial"/>
    <s v="SVkd2"/>
    <s v="Gordonia Kameeldoring Bushveld"/>
    <s v="Kalahari Duneveld Bioregion"/>
    <x v="1"/>
    <s v="T4"/>
    <s v="T4.1"/>
    <s v="Northern Cape Province: Duneveld along the northern side of the Auob River from Mata Mata to about Gemsbokplein, and western side of the Nossob River from about Kaspersdraai to St John’s Dam in the Kgalagadi Transfrontier Park. A few isolated occurrences between the Auob and Nossob Rivers such as around Seven Pans. Also found in marginal area south of the Kuruman River near Eensaam Kasteel. "/>
    <s v="Northern Cape"/>
    <s v="Namibia, Botswana"/>
    <s v="South Africa"/>
    <s v="On the dune slopes and dune straaten"/>
    <s v="Summer and autumn rainfall with very dry winters. MAP about 150–250 mm. Frost fairly frequent to frequent in winter. Mean monthly maximum and minimum temperatures for Mata Mata are 40.0°C and –6.8°C for December and June, respectively. See also climate diagram for SVkd 2 Gordonia Kameeldoring Bushveld."/>
    <s v="Aeolian undulating sand dunes underlain by calcrete, deep, loose, sandy soil of the Namib soil form. Land type Af."/>
    <x v="363"/>
    <n v="2241.81"/>
    <n v="2239.5108"/>
    <s v="WP"/>
    <x v="0"/>
    <x v="0"/>
    <s v="LC↔LC"/>
    <m/>
    <s v="Unchanged"/>
  </r>
  <r>
    <s v="Terrestrial"/>
    <s v="SVkd3"/>
    <s v="Auob Duneveld"/>
    <s v="Kalahari Duneveld Bioregion"/>
    <x v="1"/>
    <s v="T4"/>
    <s v="T4.1"/>
    <s v="Northern Cape Province: Belt of duneveld south of the Auob River from Mata Mata to Twee Rivieren within the Kgalagadi Transfrontier Park as well as in the northern Mier area. Found also in the area between the Auob and Nossob Rivers near their confluence as well as small areas around the confluences of the Nossob, Molopo and Kuruman Rivers. "/>
    <s v="Northern Cape"/>
    <s v="Namibia, Botswana"/>
    <s v="South Africa"/>
    <m/>
    <s v="Summer and autumn rainfall with very dry winters. MAP about 150–250 mm. Frost fairly frequent to frequent in winter. Mean monthly maximum and minimum temperatures for Twee Rivieren 40.6°C and –6.0°C for December and July, respectively. See also climate diagram for SVkd 3 Auob Duneveld."/>
    <s v="Deep aeolian sand forming undulating dunes, with outcrops of calcrete, Namib soil form. Shallow soils on calcrete outcrops often with Clovelly soil form. Land type Af."/>
    <x v="364"/>
    <n v="2897.94"/>
    <n v="2898.12"/>
    <s v="WP"/>
    <x v="0"/>
    <x v="0"/>
    <s v="LC↔LC"/>
    <m/>
    <s v="Unchanged"/>
  </r>
  <r>
    <s v="Terrestrial"/>
    <s v="SVl20"/>
    <s v="Western Maputaland Clay Bushveld"/>
    <s v="Lowveld Bioregion"/>
    <x v="1"/>
    <s v="T4"/>
    <s v="T4.2"/>
    <s v="KwaZulu-Natal Province: Maputaland region immediately east of the Lebombo Mountains, eastwards to the western edge of the SVl 18 Tembe Sandy Bushveld. From the Ndumo Game Reserve on the Mozambique border, through the Makatini Flats south to Mkhuze Game Reserve, with a narrower extension to just east of the town Hluhluwe. "/>
    <s v="KwaZulu-Natal"/>
    <s v="Mozambique"/>
    <s v="South Africa"/>
    <s v="It occurs on the crests, upper and midslopes of gently undulating terrain."/>
    <s v="Rainfall occurs in summer with dry winters. MAP about 500–750 mm. No incidence of frost. Mean monthly maximum and minimum temperatures for Makatini-Agr 39.5°C and 3.1°C for January and July, respectively. See also climate diagram for SVl 20 Western Maputaland Clay Bushveld."/>
    <s v="Underlying geology comprises Cretaceous shallow-marine and coastal sediments, siltstones and conglomerates of the Zululand Group and minor rhyolites of the Jozini Formation (Karoo Supergroup). Dominant or zonal soils of this vegetation unit are latosols comprising red sandy clay loam to red clay soils (Hutton, Bainsvlei and Shortlands soil forms) and nonduplex brown calcimorphic soils comprising yellow-brown sandy clay, sandy loam to sandy clay loams (Valsrivier and Avalon soil forms). These are generally fertile soils, characterised by a moderate to high clay content (20–60%) in the A-horizon. Land types Ea, Ae, Dc, Ia and Db."/>
    <x v="365"/>
    <n v="663.18"/>
    <n v="648.52919999999995"/>
    <s v="MP"/>
    <x v="3"/>
    <x v="1"/>
    <s v="EN↔EN"/>
    <s v="B1i_rod"/>
    <s v="Unchanged"/>
  </r>
  <r>
    <s v="Terrestrial"/>
    <s v="SVl21"/>
    <s v="Makatini Clay Thicket"/>
    <s v="Lowveld Bioregion"/>
    <x v="1"/>
    <s v="T4"/>
    <s v="T4.1"/>
    <s v="KwaZulu-Natal Province: A number of patches in the Maputaland region, primarily east of the Lebombo Mountains, from Ndumo Game Reserve on the Mozambique border through the Makatini Flats south to just east of the town Hluhluwe. Mostly embedded as varying sized patches within the SVl 20 Western Maputaland Clay Bushveld, where it occurs in bottomland positions. Small unmapped fragments of Makatini Clay Thicket occur west of the Lebombo Mountains, embedded within the SVl 23 Zululand Lowveld. "/>
    <s v="KwaZulu-Natal"/>
    <s v="Mozambique"/>
    <s v="South Africa"/>
    <s v="It occurs on the lower slopes and bottomland areas of gently undulating terrain."/>
    <s v="Rainfall occurs in summer with dry winters. MAP about 500–750 mm. No incidence of frost. See also climate diagram for SVl 21 Makatini Clay Thicket."/>
    <s v="Underlying geology comprises mostly Cretaceous sandstones, siltstones and conglomerates of the Zululand Group (Mzinene and Makatini Formations). Dominant soils are vertic or melanic clays and clay loams of the Rensburg, Arcadia and Bonheim forms. They are characterised by being poorly drained, with calcium carbonate concretions on the surface or in the A-horizon. Land types mainly Ea and Dc with some Ae and Db."/>
    <x v="366"/>
    <n v="272.05"/>
    <n v="268.62560000000002"/>
    <s v="WP"/>
    <x v="0"/>
    <x v="0"/>
    <s v="LC↔LC"/>
    <m/>
    <s v="Unchanged"/>
  </r>
  <r>
    <s v="Terrestrial"/>
    <s v="AZa2"/>
    <s v="Cape Lowland Alluvial Vegetation"/>
    <s v="Alluvial Vegetation"/>
    <x v="5"/>
    <s v="T3"/>
    <s v="T3.2"/>
    <s v="Western Cape Province: Vegetation of broad alluvia of middle and lower stretches of rivers of the Western Cape such as the upper Olifants, Berg, Eerste, Lourens, Palmiet, Bot, Klein, Breede, Goekoe, Gouritz, Hartebeeskuil, Klein Brak, Groot Brak, Keurbooms and a number of small tributaries of the above-mentioned water courses. "/>
    <s v="Western Cape"/>
    <s v="Endemic to South Africa"/>
    <s v="South Africa"/>
    <s v="Flat landscape with slow-flowing (in place meandering) lowland rivers fringed on banks "/>
    <s v="Identical to the climate of the surrounding lowland vegetation, and due to the large geographical span of the scattered patches of this vegetation unit, it typically encompasses winter rainfall as well as transitional winter-summer rainfall in both facies (with prevalence of either). The local MAP spans 320 mm (Breede River Valley) to 700 (Garden Route) while the MAT spans 15.9°C (Overberg) to 17.2°C (Garden Route). See also climate diagram for AZa 2 Cape Lowland Alluvial Vegetation (Figure 13.2)."/>
    <s v="Alluvial fine sandy, silty and clayey soils over Quaternary sediments, largely derived from weathering of Table Mountain sandstone, Bokkeveld Group shales and Cape Granite (specifically the George Batholith). The streams are fed mainly during the winter-rainfall season. An important factor on the flood regime are the numerous dams built for water storage, which can simulate features of a natural flood regime by means of several quick releases of water from the reservoir."/>
    <x v="367"/>
    <n v="118.72"/>
    <n v="116.18640000000001"/>
    <s v="NP"/>
    <x v="3"/>
    <x v="1"/>
    <s v="EN↔EN"/>
    <s v="B1i_rod, B1i_inv"/>
    <s v="Unchanged"/>
  </r>
  <r>
    <s v="Terrestrial"/>
    <s v="AZa4"/>
    <s v="Upper Gariep Alluvial Vegetation"/>
    <s v="Alluvial Vegetation"/>
    <x v="5"/>
    <s v="T5"/>
    <s v="T5.1"/>
    <s v="Free State and Northern Cape Provinces: Broad alluvia of the Orange River, lower Caledon as well as lower stretches of the Vaal, Riet and Modder Rivers as far as Groblershoop. These river stretches are surrounded by vegetation units of broad transitional regions between the dry facies of the Savanna and Grassland and northern regions of the Nama-Karoo Biome. "/>
    <s v="Northern Cape, Free State"/>
    <s v="Endemic to South Africa"/>
    <s v="South Africa"/>
    <s v="Flat alluvial terraces"/>
    <s v="Bimodal (equinoctial) climate with a major peak in March and with a lesser peak in November–December. The overall MAP is 325 mm (range 230–600 mm for Prieska and Wepener, respectively). MAT for the entire area averages 17°C (range 19.3–15.4°C for Prieska and Aliwal North, respectively). See also climate diagram for AZa 4 Upper Gariep Alluvial Vegetation (Figure 13.2)."/>
    <s v="Recent alluvial deposits underlain mostly by Karoo Supergroup sediments and tillites, supporting soils typical of Ia group land types. Subject to flooding, especially in summer."/>
    <x v="368"/>
    <n v="1257.51"/>
    <n v="1248.2552000000001"/>
    <s v="PP"/>
    <x v="0"/>
    <x v="0"/>
    <s v="LC↔LC"/>
    <m/>
    <s v="Unchanged"/>
  </r>
  <r>
    <s v="Terrestrial"/>
    <s v="AZd1"/>
    <s v="Namib Seashore Vegetation"/>
    <s v="Seashore Vegetation"/>
    <x v="5"/>
    <s v="MT2"/>
    <s v="MT2.1"/>
    <s v="Northern Cape Province: Richtersveld coast, between the Holgat River and Orange River mouth. Larger portion of this unit extends further north along the Sperrgebiet coast into Namibia."/>
    <s v="Northern Cape"/>
    <s v="Endemic to South Africa"/>
    <s v="South Africa"/>
    <s v="Slightly sloping beach and adjacent moving and fixed sand dunes "/>
    <s v="Hostile, arid coast with the lowest precipitation in South Africa (45 mm at Alexander Bay). Fog is almost always present in winter at night and in the early morning. Because of the exceptionally low rainfall, the vegetation depends largely on sea fog as a source of moisture. MAT 17.2°C at Alexander Bay (see also climate diagram in Figure 6.2). Temperature does not vary greatly between winter and summer."/>
    <s v="Recent marine sandy sediments forming beaches and coastal dunes (Strandveld Formation) and overlying Gariep Supergroup metasediments and metavolcanics. Not subjected to submersion, but under constant maritime influence (sea spray)."/>
    <x v="369"/>
    <n v="0.35"/>
    <n v="0.31559999999999999"/>
    <s v="NP"/>
    <x v="2"/>
    <x v="2"/>
    <s v="CR↔CR"/>
    <s v="A3_nat, B1i_rod, B2i_rod"/>
    <s v="Unchanged"/>
  </r>
  <r>
    <s v="Terrestrial"/>
    <s v="AZi1"/>
    <s v="Namaqualand Riviere"/>
    <s v="Inland Saline Vegetation"/>
    <x v="5"/>
    <s v="T5"/>
    <s v="T5.2"/>
    <s v="Northern and Western Cape Provinces: Along dry riverbeds throughout Namaqualand, but especially the Buffels, Bitter, Spoeg, Groen, Sout, Doring Rivers and lower reaches of the Olifants River. Within this unit we also classify alluvia of intermittent rivers of the Hantam region. "/>
    <s v="Northern Cape, Western Cape"/>
    <s v="Endemic to South Africa"/>
    <s v="South Africa"/>
    <s v="riverbeds and banks of intermittent rivers"/>
    <s v="Arid, seasonal climate with MAP around 150 mm (with 100 mm on the coast and 250 mm on the Hantam Plateau). Most of the erratic rainfall occurs between June and August. Hot summers (marked by extremely high evapotranspiration) and cool winters, with fairly frequent frost. MAT 18.1°C (range 15.7°C for Hantam Plateau and 18.5°C for Knersvlakte). See also climate diagram for AZi 1 Namaqualand Riviere (Figure 13.2)."/>
    <s v="Alluvial sandy soils on Quaternary fluviatile sediments that overlie Namibian-age sediments and Mokolian gneisses. Seasonally wet (late winter). The riverbed sometimes carries torrential flood waters. In summer, patches of crystallised salt film may cover the soil surface in slight, clayey depressions."/>
    <x v="370"/>
    <n v="1207.1500000000001"/>
    <n v="1200.0740000000001"/>
    <s v="PP"/>
    <x v="0"/>
    <x v="0"/>
    <s v="LC↔LC"/>
    <m/>
    <s v="Unchanged"/>
  </r>
  <r>
    <s v="Terrestrial"/>
    <s v="CB3"/>
    <s v="KwaZulu-Natal Coastal Belt Grassland"/>
    <s v="Indian Ocean Coastal Belt"/>
    <x v="7"/>
    <s v="T4"/>
    <s v="T4.2"/>
    <s v="KwaZulu-Natal Province: Long and in places broad coastal strip along the KwaZulu-Natal coast, from near Mtunzini in the north, via Durban to Margate and just short of Port Edward in the south. "/>
    <s v="KwaZulu-Natal"/>
    <s v="Endemic to South Africa"/>
    <s v="South Africa"/>
    <s v="Highly dissected undulating coastal plains "/>
    <s v="Summer rainfall, but with some rainfall also in winter. High air humidity. No incidence of frost. Mean maximum and minimum monthly temperatures for Durban (airport) are 32.6°C and 5.8C and for Port Shepstone 30.6°C and 8.8°C (both for January and July, respectively). See also climate diagram for CB 3 KwaZulu-Natal Coastal Belt (Figure 11.2)."/>
    <s v="Ordovician Natal Group sandstone, Dwyka tillite, Ecca shale and Mapumulo gneiss (Mokolian) dominate the landscapes of the KwaZulu-Natal Coastal Belt. Weathering of old dunes has produced the red sand, called the Berea Red Sand, in places. The soils supported by the above-mentioned rocks are shallow over hard sandstones and deeper over younger, softer rocks. Fa land type dominates the area, while Ab land type is only of minor importance."/>
    <x v="371"/>
    <n v="695.98"/>
    <n v="672.51840000000004"/>
    <s v="NP"/>
    <x v="3"/>
    <x v="1"/>
    <s v="EN↔EN"/>
    <s v="A3_nat, A3_kzn, A2b, B1i_rod"/>
    <s v="Unchanged"/>
  </r>
  <r>
    <s v="Terrestrial"/>
    <s v="FFb4"/>
    <s v="Central Coastal Shale Band Vegetation"/>
    <s v="Southern Fynbos Bioregion"/>
    <x v="4"/>
    <s v="T3"/>
    <s v="T3.2"/>
    <s v="estern Cape Province: A virtually continuous band traversing the entire length of the Langeberg, with bands in the eastern regions of the Outeniqua Mountains and of the Grootberg-Amandelbosberg as well as some areas, for example Die Bergies, west of Mossel Bay. The extent of the shale band in the Outeniqua Mountains has not been adequately mapped and its eastern boundary remains unknown.  See also Figure 4.78 featuring the simplified distribution of this unit."/>
    <s v="Western Cape"/>
    <s v="Endemic to South Africa"/>
    <s v="South Africa"/>
    <s v="A narrow 80–200 m linear feature (wider in places), smooth and flat in profile compared to surrounding areas."/>
    <s v="MAP 150–440 mm (mean: 285 mm), even throughout the year. Mean daily maximum and minimum temperatures 30.0°C and 2.3°C for January and July, respectively. Frost incidence 10–30 days per year. See also climate diagram for FRs 15 Swartberg Shale Renosterveld (Figure 4.101)."/>
    <s v="Clays derived from shale band of the Cedarberg Formation. Land types mainly Ib, Ic and Db."/>
    <x v="372"/>
    <n v="55.06"/>
    <n v="54.065199999999997"/>
    <s v="WP"/>
    <x v="0"/>
    <x v="0"/>
    <s v="LC↔LC"/>
    <m/>
    <s v="Unchanged"/>
  </r>
  <r>
    <s v="Terrestrial"/>
    <s v="FFb5"/>
    <s v="Eastern Inland Shale Band Vegetation"/>
    <s v="Eastern Fynbos-Renosterveld Bioregion"/>
    <x v="4"/>
    <s v="T3"/>
    <s v="T3.2"/>
    <s v="Eastern and Western Cape Provinces: Shale bands of the Kougaberge and Baviaanskloofberge with parallel occurrences to the south but remaining north of the Langkloof. Also on Antoniesberg, south of Willowmore. See also Figure 4.78 featuring the simplified distribution of this unit."/>
    <s v="Eastern Cape, Western Cape"/>
    <s v="Endemic to South Africa"/>
    <s v="South Africa"/>
    <s v="A narrow 80–200 m (greater widths in the uppermost Baviaanskloof area), linear, smooth and flat landscape"/>
    <s v="MAP 230–780 mm (mean: 420 mm), with no clear peak and a slight low from December to February. Mean daily maximum and minimum temperatures 29.9°C and 2.6°C for January and July, respectively. Frost incidence 10–30 days per year. See also climate diagram for FFh 3 Swartberg Shale Fynbos (Figure 4.68)."/>
    <s v="Clays derived from shale of the Cedarberg Formation. Land types mainly Ib, Fa, Fb and Ic."/>
    <x v="373"/>
    <n v="96.24"/>
    <n v="95.790800000000004"/>
    <s v="WP"/>
    <x v="0"/>
    <x v="0"/>
    <s v="LC↔LC"/>
    <m/>
    <s v="Unchanged"/>
  </r>
  <r>
    <s v="Terrestrial"/>
    <s v="FFg5"/>
    <s v="Garden Route Granite Fynbos"/>
    <s v="Eastern Fynbos-Renosterveld Bioregion"/>
    <x v="4"/>
    <s v="T3"/>
    <s v="T3.2"/>
    <s v="Western Cape Province: Garden Route—three main blocks south of the Outeniqua Mountains on the coastal plain from Botterberg west of Brandwaghoogte (south of Robinson Pass) to Groot Brak River; the largest block from Groot Brak River to Woodfield near the Wilderness (with a few strips along the coast from Bothastrand to the Wilderness); lastly, north of the lakes from Woodville to Hoogekraal Pass, west of Karatara. "/>
    <s v="Western Cape"/>
    <s v="Endemic to South Africa"/>
    <s v="South Africa"/>
    <s v="Moderately undulating plains and undulating hills on the coastal forelands."/>
    <s v="MAP 350–880 mm (mean: 600 mm), with a slight low in early winter. Mean daily maximum and minimum temperatures 27.8°C and 6.8°C for January–February and July, respectively. Frost incidence 2 or 3 days per year. See also climate diagram for FFg 5 Garden Route Granite Fynbos (Figure 4.92)."/>
    <s v="George Batholith of the Cape Granite Suite. Deep, prismacutanic- and pedocutanic-dominated soils typical of Db land types (mainly)."/>
    <x v="374"/>
    <n v="182.97"/>
    <n v="177.68119999999999"/>
    <s v="NP"/>
    <x v="2"/>
    <x v="2"/>
    <s v="CR↔CR"/>
    <s v="B1i_rod, B1i_inv"/>
    <s v="Unchanged"/>
  </r>
  <r>
    <s v="Terrestrial"/>
    <s v="FFs25"/>
    <s v="North Kammanassie Sandstone Fynbos"/>
    <s v="Western Fynbos-Renosterveld Bioregion"/>
    <x v="4"/>
    <s v="T3"/>
    <s v="T3.2"/>
    <s v="Western Cape Province: On northern slopes of the Kammanassie Mountains with an extension on to Keurfonteinrant between Dysselsdorp and Uniondale. "/>
    <s v="Western Cape"/>
    <s v="Endemic to South Africa"/>
    <s v="South Africa"/>
    <s v="Steep to gentle, rugged northern slopes with extensive upland plateau. "/>
    <s v="MAP 290–940 mm (mean: 485 mm), peaking slightly in March, but otherwise even with a low from December to February. Mean daily maximum and minimum temperatures 29.1°C and 2.0°C for January and July, respectively. Frost incidence 10–40 days per year. See also climate diagram for FFs 25 North Kammanassie Sandstone Fynbos (Figure 4.21)."/>
    <s v="Acidic lithosol soils derived from Ordovician sandstones of the Table Mountain Group (Cape Supergroup). Land types mainly Ic, Ib and Fc."/>
    <x v="375"/>
    <n v="331.03"/>
    <n v="330.90480000000002"/>
    <s v="WP"/>
    <x v="0"/>
    <x v="0"/>
    <s v="LC↔LC"/>
    <m/>
    <s v="Unchanged"/>
  </r>
  <r>
    <s v="Terrestrial"/>
    <s v="FFs28"/>
    <s v="Kouga Grassy Sandstone Fynbos"/>
    <s v="Eastern Fynbos-Renosterveld Bioregion"/>
    <x v="4"/>
    <s v="T3"/>
    <s v="T3.2"/>
    <s v="Western and Eastern Cape Provinces: Between Uniondale and Uitenhage, generally surrounding FFs 27 Kouga Sandstone Fynbos at lower altitudes and often on northerly aspects. Along the lower flanks of the Kouga Mountains in the Langkloof north of Joubertina and the northern and lower slopes of the Suuranysberge to the low mountains and flats north of Humansdorp. Along the lower slopes of the Kouga and Baviaanspoort Mountains in Baviaanspoort as well as the northern slopes of the Baviaanspoort Mountains and the northern and lower slopes of the Groot Winterhoekberge, Elandsberge and Van Stadensberg including the valleys of the upper reaches of the Elands and Kwa-Zunga Rivers. Also on various ridges embedded in FRs 16 Uniondale Shale Renosterveld south to east of Willowmore including Antoniesberg and Witberg. "/>
    <s v="Eastern Cape, Western Cape"/>
    <s v="Endemic to South Africa"/>
    <s v="South Africa"/>
    <m/>
    <s v="MAP 270–800 mm (mean: 540 mm), evenly throughout the year with a slight peak in March and October–November. Mean daily maximum and minimum temperatures 27.0°C and 4.2°C for February and July, respectively. Frost incidence 2–10 days per year. See also climate diagram for FFs 28 Kouga Grassy Sandstone Fynbos (Figure 4.21)."/>
    <s v="Acidic lithosol soils derived from sandstones of the Table Mountain Group as well as quartzitic sandstones of the Witteberg Group (Nardouw Subgroup). Glenrosa and Mispah forms prominent. Land types mainly Ib and Fa. "/>
    <x v="376"/>
    <n v="3707.98"/>
    <n v="3696.4011999999998"/>
    <s v="WP"/>
    <x v="0"/>
    <x v="0"/>
    <s v="LC↔LC"/>
    <m/>
    <s v="Unchanged"/>
  </r>
  <r>
    <s v="Terrestrial"/>
    <s v="FFs29"/>
    <s v="Algoa Sandstone Fynbos"/>
    <s v="Eastern Fynbos-Renosterveld Bioregion"/>
    <x v="4"/>
    <s v="T3"/>
    <s v="T3.2"/>
    <s v="Eastern Cape Province: Coastal flats at Port Elizabeth from Van Stadens River in the west to Southdene-Summerstrand in the east, located mostly some kilometres from the coast and close to the coast at only Maitland River Mouth and urbanised Summerstrand. "/>
    <s v="Eastern Cape"/>
    <s v="Endemic to South Africa"/>
    <s v="South Africa"/>
    <s v="Flat to slightly undulating plain "/>
    <s v="MAP 560–890 mm (mean: 680 mm), evenly throughout the year, with a slight peak in March and October. Mean daily maximum and minimum temperatures 25.2°C and 7.6°C for February and July, respectively. Frost incidence about 3 days per year. See also climate diagram for FFs 29 Algoa Sandstone Fynbos (Figure 4.21)."/>
    <s v="Acidic lithosol soils derived from Ordovician sandstones of the Table Mountain Group (Cape Supergroup). Land types mainly Db and Ha."/>
    <x v="377"/>
    <n v="139.93"/>
    <n v="131.702"/>
    <s v="PP"/>
    <x v="2"/>
    <x v="2"/>
    <s v="CR↔CR"/>
    <s v="B1i_rod, B1iii_sp"/>
    <s v="Unchanged"/>
  </r>
  <r>
    <s v="Terrestrial"/>
    <s v="FRs11"/>
    <s v="Western Ruens Shale Renosterveld"/>
    <s v="East Coast Renosterveld Bioregion"/>
    <x v="4"/>
    <s v="T3"/>
    <s v="T3.2"/>
    <s v="Western Cape Province: Western parts of the Rûens region (Overberg)—from Bot River and Villiersdorp eastwards, surrounding the Caledon Swartberg, and approximately to a line between Napier and Genadendal. "/>
    <s v="Western Cape"/>
    <s v="Endemic to South Africa"/>
    <s v="South Africa"/>
    <s v="Moderately undulating plains"/>
    <s v="MAP 360–700 mm (mean: 490 mm), with a peak in winter (May to August). Mean daily maximum and minimum temperatures 26.9°C and 6.1°C for February and July, respectively. Frost incidence about 3 days per year. See also climate diagram for FRs 11 Western Rûens Shale Renosterveld (Figure 4.101)."/>
    <s v="Clays and loams derived from Bokkeveld Group shales, particularly the Ceres Subgroup. Glenrosa and Mispah forms are dominant. Land types mainly Fb and Fa."/>
    <x v="378"/>
    <n v="159.22999999999999"/>
    <n v="153.0608"/>
    <s v="NP"/>
    <x v="2"/>
    <x v="2"/>
    <s v="CR↔CR"/>
    <s v="B1i_rod, B1iii_sp"/>
    <s v="Unchanged"/>
  </r>
  <r>
    <s v="Terrestrial"/>
    <s v="FRs12"/>
    <s v="Central Ruens Shale Renosterveld"/>
    <s v="East Coast Renosterveld Bioregion"/>
    <x v="4"/>
    <s v="T3"/>
    <s v="T3.2"/>
    <s v="Western Cape Province: Central parts of the Rûens region (Overberg) from Greyton and Stormsvlei (and Bromberg) to Napier and Bredasdorp and centred on Klipdale and Protem; also on the coastal flats southeast of Bredasdorp towards Arniston. Fragmented outliers are found on the southern part of the Agulhas Plain between Soetendalsvlei and Waskraalsvlei. "/>
    <s v="Western Cape"/>
    <s v="Endemic to South Africa"/>
    <s v="South Africa"/>
    <s v="Moderately undulating plains and pans"/>
    <s v="MAP 300–480 mm (mean: 380 mm), with a slight peak in winter (August), 49% of rain falling from May to August. Mean daily maximum and minimum temperatures 27.3°C and 5.6°C for January and July, respectively. Frost incidence about 3 days per year. See also climate diagram for FRs 12 Central Rûens Shale Renosterveld (Figure 4.101)."/>
    <s v="Clays and loams derived from Bokkeveld Group shales, with Glenrosa and Mispah forms dominant. Land types mainly Fb."/>
    <x v="379"/>
    <n v="204.23"/>
    <n v="195.70840000000001"/>
    <s v="NP"/>
    <x v="2"/>
    <x v="2"/>
    <s v="CR↔CR"/>
    <s v="A3_nat"/>
    <s v="Unchanged"/>
  </r>
  <r>
    <s v="Terrestrial"/>
    <s v="FS3"/>
    <s v="Saldanha Flats Strandveld"/>
    <s v="West Strandveld Bioregion"/>
    <x v="4"/>
    <s v="T3"/>
    <s v="T3.2"/>
    <s v="Western Cape Province: Extensive coastal flats from St Helena Bay and the southern banks of the Great Berg River near its mouth in the north to Saldanha and Langebaan in the south, with the southernmost extension at the coast near Yzerfontein and Rietduin. "/>
    <s v="Western Cape"/>
    <s v="Endemic to South Africa"/>
    <s v="South Africa"/>
    <m/>
    <s v="Mainly cyclonic rainfall varying from approximately 250 mm in the north to 380 mm in the south (overall MAP: 300 mm), almost exclusively in winter. Mean daily maximum and minimum temperatures 26.6°C and 7.9°C for February and July, respectively. Mean monthly maximum and minimum temperatures for Langebaanweg 36.5°C and 2.2°C for January/February and July/August, respectively. Advective sea fog and dew contribute to the moisture balance in summer and autumn. Frost infrequent. Strong southeasterly winds typical of the summer period, northerly winds more frequent in the winter months, especially between May and August. See also climate diagram for FS 3 Saldanha Flats Strandveld (Figure 4.128)."/>
    <s v="The main geology is shallow calcareous sand over a fossiliferous Pleistocene limestone hardpan layer along an old marine terrace. The hardpan of the Sandveld Group is exposed in places while farmers often rip the hardpan and accumulate rock piles in cultivated fields. The Sandveld Group overlies the Cape Granites as well as the Malmesbury Group metasediments into which the granites intruded. Dominant land type Hb (almost 50%), followed by Db and Ha."/>
    <x v="380"/>
    <n v="594.11"/>
    <n v="580.77"/>
    <s v="PP"/>
    <x v="3"/>
    <x v="1"/>
    <s v="EN↔EN"/>
    <s v="B1i_rod, B1iii_sp"/>
    <s v="Unchanged"/>
  </r>
  <r>
    <s v="Terrestrial"/>
    <s v="FS4"/>
    <s v="Saldanha Limestone Strandveld"/>
    <s v="West Strandveld Bioregion"/>
    <x v="4"/>
    <s v="T3"/>
    <s v="T3.2"/>
    <s v="Western Cape Province: Very limited area with a larger patch on the Kliprug ridge between Saldanha and Paternoster, with several smaller outliers including those between Saldanha and north of Club Mykonos on the Langebaan Lagoon. Unmapped are small outcrops at Yzerfontein and on the tip of Langebaan Peninsula. "/>
    <s v="Western Cape"/>
    <s v="Endemic to South Africa"/>
    <s v="South Africa"/>
    <s v="Slightly undulating ridges and steeper coastal slopes"/>
    <s v="Mainly cyclonic rainfall varying from approximately 250 mm in the north to 350 mm in the south, almost exclusively in winter (overall MAP is around 300 mm). Mean daily maximum and minimum temperatures 25.3°C and 8.0°C for February and July/August, respectively. For other climate characteristics, see FS 2 Saldanha Granite Strandveld as well the climate diagram for FS 4 Saldanha Limestone Strandveld (Figure 4.128)."/>
    <s v="Shallow sandy soil on hardpan Tertiary limestone of the Sandveld Group. Dominant land types Fc and Hb."/>
    <x v="381"/>
    <n v="49.84"/>
    <n v="49.477200000000003"/>
    <s v="MP"/>
    <x v="2"/>
    <x v="2"/>
    <s v="CR↔CR"/>
    <s v="B1iii_sp"/>
    <s v="Unchanged"/>
  </r>
  <r>
    <s v="Terrestrial"/>
    <s v="FS9"/>
    <s v="Groot Brak Dune Strandveld"/>
    <s v="South Strandveld Bioregion"/>
    <x v="4"/>
    <s v="T3"/>
    <s v="T3.2"/>
    <s v="Western Cape Province: Coastal stretches between the mouth of the Gouritz River as far east as Victoria Bay near the Wilderness, with by far the largest area covering the flats north of Mossel Bay (along the lower reaches of the Groot Brak, Klein Brak and Hartenbos Rivers) and extending up to 17 km from the coast. "/>
    <s v="Western Cape"/>
    <s v="Endemic to South Africa"/>
    <s v="South Africa"/>
    <s v="Flats, undulating landscapes (stabilised dunes) and steep coastal slopes"/>
    <s v="MAP varies between approximately 350 mm in the west to 750 mm in the east, with approximately 40% of the rain falling in summer (October–March) and 60% in winter (April–September). Mean daily maximum and minimum temperatures 26.8°C and 7.7°C for February and July, respectively. Mean monthly maximum and minimum temperatures for Cape St Blaize 29.0°C and 7.1°C for April and August, respectively. See also climate diagram for FS 9 Groot Brak Dune Strandveld (Figure 4.128)."/>
    <s v="Mostly underlain by the clastic sedimentary rocks of the Kirkwood Formation (Mesozoic Uitenhage Group). In the east, quartzite, schist and phyllite of the Kaaimans Group (Namibian Erathem) and Cape Granite (edges of high coastal cliffs) are also present. In parts along the coast, these rocks are covered by the unconsolidated dune sand of the Strandveld Formation (Bredasdorp Group). Most important land types Db and Dc."/>
    <x v="382"/>
    <n v="12.63"/>
    <n v="12.378"/>
    <s v="NP"/>
    <x v="2"/>
    <x v="2"/>
    <s v="CR↔CR"/>
    <s v="B1i_rod, B1i_inv, B2i_rod, B2i_inv"/>
    <s v="Unchanged"/>
  </r>
  <r>
    <s v="Terrestrial"/>
    <s v="Gd4"/>
    <s v="Southern Drakensberg Highland Grassland"/>
    <s v="Drakensberg Grassland Bioregion"/>
    <x v="0"/>
    <s v="T4"/>
    <s v="T4.5"/>
    <s v="Eastern Cape and KwaZulu-Natal Provinces: An intricate system of patches and corridors across the highest mountains and ridges of the Stormberg, from Molteno to the surrounds of Dordrecht, also including the elevated broad valley of the Kraairivier (near Barkly East) and its tributaries. Further occurring in a broad band (and abutting onto Gd 8 Lesotho Highland Basalt Grassland at upper boundary) on steep slopes of head-valleys fringing the edge of the southern Drakensberg Escarpment covering the regions north and northwest of Indwe, Elliot, Ugie, Maclear, Mt Fletcher (all Eastern Cape) as far as Matatiele (KwaZulu-Natal). From about the Ramatseliso Nek (pass) north of Matatiele the upper boundary of this unit is formed by the Gd 7 uKhahlamba Basalt Grassland—from here the Gd 4 Southern Drakensberg Highland Grassland follows a system of high northwest-southeast-tending ridges as far north as the southeastern extension of the Giant’s Castle buttress (KwaThabamnyana). "/>
    <s v="KwaZulu-Natal, Eastern Cape"/>
    <s v="Endemic to South Africa"/>
    <s v="South Africa"/>
    <s v="Steeply sloping mountainous areas on and below the summit of the Great Escarpment"/>
    <s v="Summer rainfall, with very dry winters. MAP 780 mm (500–1 120 mm), increasing from west to east to close to the southern border of Lesotho. Northeast of the latter region MAP increases with increasing elevation. The coefficient of variation of MAP 16–31% across the unit, with the highest values in the region around the Stormberg Plateau. Temperature regime cool-temperate (MAT around 13°C), typically montane, with cool day-time temperatures throughout the year and the potential for cold conditions at any time. Winter frost is common (30–90 days, average 54 days), incidence increasing with elevation. The areas of high altitude regularly receive snow in winter, sometimes in considerable quantities as a result of clashes of water-laden eastbound fronts with high-altitude cold air masses. See also climate diagram for Gd 4 Southern Drakensberg Highland Grassland (Figure 8.11)."/>
    <s v="Sandstones of the Clarens Formation and sandstones, siltstones and mudstones of the Elliot Formation (both formations belonging to the Stormberg Group, Karoo Supergroup) as well as the basaltic lava flows of the Drakensberg Group. Soils on the steep escarpment slopes tend to be deep and fine-grained, typical of land types Fa, Fb and Ea."/>
    <x v="383"/>
    <n v="6014.89"/>
    <n v="5993.6872000000003"/>
    <s v="PP"/>
    <x v="0"/>
    <x v="0"/>
    <s v="LC↔LC"/>
    <m/>
    <s v="Unchanged"/>
  </r>
  <r>
    <s v="Terrestrial"/>
    <s v="Gh10"/>
    <s v="Vaal-Vet Sandy Grassland"/>
    <s v="Dry Highveld Grassland Bioregion"/>
    <x v="0"/>
    <s v="T4"/>
    <s v="T4.5"/>
    <s v="North-West and Free State Provinces: South of Lichtenburg and Ventersdorp, stretching southwards to Klerksdorp, Leeudoringstad, Bothaville and to the Brandfort area north of Bloemfontein. "/>
    <s v="Free State, North West"/>
    <s v="Endemic to South Africa"/>
    <s v="South Africa"/>
    <s v="Plains-dominated landscape"/>
    <s v="Warm-temperate, summer-rainfall climate, with overall MAP of 530 mm. High summer temperatures. Severe frost (37 days per year on average) occurs in winter. See also climate diagram for Gh 12 Vaal-Vet Sandy Grassland (Figure 8.23)."/>
    <s v="Aeolian and colluvial sand overlying sandstone, mudstone and shale of the Karoo Supergroup (mostly the Ecca Group) as well as older Ventersdorp Supergroup andesite and basement gneiss in the north. Soil forms are mostly Avalon, Westleigh and Clovelly. Dominant land type Bd, closely followed by Bc, Ae and Ba."/>
    <x v="384"/>
    <n v="6331.64"/>
    <n v="5813.0068000000001"/>
    <s v="NP"/>
    <x v="3"/>
    <x v="1"/>
    <s v="EN↔EN"/>
    <s v="A3_nat"/>
    <s v="Unchanged"/>
  </r>
  <r>
    <s v="Terrestrial"/>
    <s v="NKl1"/>
    <s v="Gamka Karoo"/>
    <s v="Lower Karoo Bioregion"/>
    <x v="6"/>
    <s v="T5"/>
    <s v="T5.1"/>
    <s v="Western Cape and Eastern Cape Provinces and marginally into the Northern Cape Province: Large basin between the Great Escarpment (Nuweveld Mountains) in the north and northwest and Cape Fold Belt Mountains (mostly Swartberg Mountains) in the south. From approximately the edge of the Gamka basin catchment area (i.e. of the Dwyka River tributary) in the west to about the Kariega River in the east. "/>
    <s v="Eastern Cape, Western Cape"/>
    <s v="Endemic to South Africa"/>
    <s v="South Africa"/>
    <s v="Extremely irregular to slightly undulating plains "/>
    <s v="One of the most arid units of the Nama-Karoo Biome. Rainfall mainly in autumn and summer, with a marked peak in March and low levels of cyclonic rain in winter. This region is in the rainshadow of Cape Fold Belt mountains in the south, MAP ranging from about 100 mm in some areas between the Dwyka and Gamka Rivers to about 240 mm against the Great Escarpment. Mean maximum and minimum monthly temperatures in Beaufort West are 38.7°C and –3.2°C for January and July, respectively. Strong northwesterly winds occur in winter. See also climate diagram for NKl 1 Gamka Karoo (Figure 7.2)."/>
    <s v="Mudstones and sandstones of the Beaufort Group (Adelaide Subgroup) with some Ecca (Fort Brown Formation) shales supporting very shallow and stony soils of the Glenrosa and/or Mispah forms, typical of Fc land type."/>
    <x v="385"/>
    <n v="20118.75"/>
    <n v="20074.7356"/>
    <s v="PP"/>
    <x v="0"/>
    <x v="0"/>
    <s v="LC↔LC"/>
    <m/>
    <s v="Unchanged"/>
  </r>
  <r>
    <s v="Terrestrial"/>
    <s v="SKk1"/>
    <s v="Northern Knersvlakte Vygieveld"/>
    <s v="Knersvlakte Bioregion"/>
    <x v="3"/>
    <s v="T5"/>
    <s v="T5.2"/>
    <s v="Western and Northern Cape Provinces: Knersvlakte (southern part of Namaqualand), situated roughly between Nuwerus and the escarpment in the east and the Sout River in the north. Only a small portion of this unit is found in the Northern Cape (in the upper valleys of the Kamdanie River and Krom River, west of Loeriesfontein). "/>
    <s v="Northern Cape, Western Cape"/>
    <s v="Endemic to South Africa"/>
    <s v="South Africa"/>
    <s v="Slightly undulating landscape"/>
    <s v="Winter-rainfall climate with dry, hot summers and mild, rainy winters. MAP estimated to be 127 mm. The lowest temperatures in winter are 5–10°C, while the highest temperatures in summer are 30–35°C. Winters are mild, with rare occurrence of frost (on average 5 days per year). See also climate diagram for SKk 1 Northern Knersvlakte Vygieveld (Figure 5.53)."/>
    <s v="Mostly Cenozoic alluvium and calcrete that overlies the mudstone, siltstone and sandstone of the Knersvlakte Subgroup (Vanrhynsdorp Group, Namibian Erathem) as well as gneiss of the Stalhoek Complex (Mokolian). Low stone content, soils acid to neutral, shallow to deep, where shallow bedrock or duripan crusts underly. Heuweltjies occur in places. Some 80% of the area falls within Ag land type, while Fc land type is the second most important one."/>
    <x v="386"/>
    <n v="1670.23"/>
    <n v="1666.8707999999999"/>
    <s v="MP"/>
    <x v="0"/>
    <x v="0"/>
    <s v="LC↔LC"/>
    <m/>
    <s v="Unchanged"/>
  </r>
  <r>
    <s v="Terrestrial"/>
    <s v="SKv11"/>
    <s v="Eastern Little Karoo"/>
    <s v="Rainshadow Valley Karoo Bioregion"/>
    <x v="3"/>
    <s v="T5"/>
    <s v="T5.2"/>
    <s v="Western Cape Province: Eastern basin of the Little Karoo from Calitzdorp in the west as far as Oudtshoorn in the east. The unit continues in a series of narrow belts (alternating with the Willowmore Gwarrieveld unit from the surrounds of Dysselsdorp as far west as the N2 road. A narrow belt of the Eastern Little Karoo fringes the southern flanks of the Kammanassie Mountains along the Kammanassie River as far west as Uniondale. "/>
    <s v="Western Cape"/>
    <s v="Endemic to South Africa"/>
    <s v="South Africa"/>
    <s v="Irregularly flat plains and undulating piedmont hills "/>
    <s v="Aseasonal rainfall (MAP almost 290 mm) with slight optimum in March and pronounced dip in December to January (summer). MAT is about 17°C and frost occurs only 9 days per year. See also climate diagram for SKv 11 Eastern Little Karoo (Figure 5.65)."/>
    <s v="Fossiliferous shales, mudstones and siltstones of the Devonian Bokkeveld Group (Ceres and Traka Subgroups). Also present are mudstones and sandstones as well as subordinate shale of the Kirkwood Formation together with conglomerates of the Enon Formation (both of the Mesozoic Uitenhage Group). Soils developing over these substrates are of varied structure and texture, but mainly loamy-silty and deep in places. Ag and Fc land types are equally important (and dominant) in the region."/>
    <x v="387"/>
    <n v="1379.67"/>
    <n v="1369.2056"/>
    <s v="PP"/>
    <x v="3"/>
    <x v="1"/>
    <s v="EN↔EN"/>
    <s v="D1_elk"/>
    <s v="Unchanged"/>
  </r>
  <r>
    <s v="Terrestrial"/>
    <s v="SKv6"/>
    <s v="Koedoesberge-Moordenaars Karoo"/>
    <s v="Rainshadow Valley Karoo Bioregion"/>
    <x v="3"/>
    <s v="T5"/>
    <s v="T5.2"/>
    <s v="Western Cape and Northern Cape (smaller portion) Provinces: Koedoesberge and Pienaar se Berg low mountain ranges bordering on southern Tanqua Karoo and separated by the Klein Roggeveld Mountains from the Moordenaars Karoo in the broad area of Laingsburg and Merweville. The unit also includes the Doesberg region east of Laingsburg and piedmonts of the Elandsberg as far as beyond the Gamkapoort Dam at Excelsior (west of Prince Albert). "/>
    <s v="Western Cape"/>
    <s v="Endemic to South Africa"/>
    <s v="South Africa"/>
    <s v="Slightly undulating to hilly landscape "/>
    <s v="Probability of rain is given for the entire year, but it is higher in winter. MAP slightly above 200 mm. There are two slight rainfall optima: one in March and another spread from May to August. MAT close to 16°C and incidence of frost relatively high (30 days). See also climate diagram for SKv 6 Koedoesberge-Moordenaars Karoo (Figure 5.65)."/>
    <s v="Mudstone (mainly), shale and sandstone of the Adelaide Subgroup (Beaufort Group), accompanied by sandstone, shale and mudstone of the Permian Waterford Formation (Ecca Group) and sandstone and shale of other Ecca Group Formations as well as Dwyka Group diamictites (all of the Karoo Supergroup). This geology gives rise to shallow, skeletal soils. Region is classified as Fc land type (to a large extent), with Ib land type playing a subordinate role."/>
    <x v="388"/>
    <n v="4683.0200000000004"/>
    <n v="4674.8752000000004"/>
    <s v="NP"/>
    <x v="0"/>
    <x v="0"/>
    <s v="LC↔LC"/>
    <m/>
    <s v="Unchanged"/>
  </r>
  <r>
    <s v="Terrestrial"/>
    <s v="SVl13"/>
    <s v="Barberton Serpentine Sourveld"/>
    <s v="Lowveld Bioregion"/>
    <x v="1"/>
    <s v="T4"/>
    <s v="T4.2"/>
    <s v="Altitude 350–1 400 m."/>
    <s v="Mpumalanga"/>
    <s v="Endemic to South Africa"/>
    <s v="South Africa"/>
    <s v="Soils derived from ultramafic lavas (including komatiites and serpentinites"/>
    <s v="Small Trees: Acacia caffra, A. davyi, Faurea rochetiana, Pavetta edentula. Succulent Tree: Aloe marlothii subsp. marlothii (d). Tall Shrubs: Erythroxylum delagoense, Tephrosia elongata. Low Shrubs: Gnidia caffra (d), G. sericocephala, Helichrysum kraussii, Jamesbrittenia grandiflora, Jatropha latifolia var. latifolia, Pearsonia sessilifolia, Rhus rogersii, Thunbergia atriplicifolia. Herbaceous Climbers: Rhynchosia minima, R. totta. Graminoids: Loudetia simplex (d), Themeda triandra (d), Andropogon schirensis, Bewsia biflora, Cymbopogon caesius, Diheteropogon amplectens, Eragrostis capensis, E. racemosa, Heteropogon contortus, Panicum natalense. Herbs: Helichrysum nudifolium var. pilosellum, Hemizygia persimilis, Rabdosiella calycina, Rhynchosia monophylla, Senecio coronatus, S. venosus, Vernonia natalensis, V. sutherlandii. Geophytic Herb: Cheilanthes involuta. "/>
    <s v="Summer rainfall with dry winters. MAP about 600–1 150 mm. Frost infrequent. See also climate diagram for SVl 13 Barberton Serpentine Sourveld."/>
    <x v="389"/>
    <n v="72.819999999999993"/>
    <n v="72.506799999999998"/>
    <s v="WP"/>
    <x v="0"/>
    <x v="0"/>
    <s v="LC↔LC"/>
    <m/>
    <s v="Unchanged"/>
  </r>
  <r>
    <s v="Terrestrial"/>
    <s v="SVl26"/>
    <s v="Muzi Palm Veld and Wooded Grassland"/>
    <s v="Lowveld Bioregion"/>
    <x v="1"/>
    <s v="T4"/>
    <s v="T4.2"/>
    <s v="KwaZulu-Natal Province: on the coastal plain in the Maputaland region east of the Pongola River sandwiched between SV1 18 Tembe Sandy Bushveld, Eastern Maputaland Pallid Sandy Bushveld and CB 1 Maputaland Coastal Belt. Altitude 40 - 90 m."/>
    <s v="KwaZulu-Natal"/>
    <s v="Mozambique"/>
    <s v="South Africa"/>
    <s v="On ancient coastal dune cordons on gently undulating terrain and dry basins all associated with the Muzi Swamps and Muzi Stream (an ancient shoreline) draining north and south into the Pongola River and Mkuzi River respectively"/>
    <s v="0"/>
    <s v="Quaternary sediments of marine origin – mainly grey regic to reddish redistributed sand dunes. Grey brown to orange grey dystric regosols. Land type mainly Ha"/>
    <x v="390"/>
    <n v="524.64"/>
    <n v="510.36840000000001"/>
    <s v="PP"/>
    <x v="2"/>
    <x v="2"/>
    <s v="CR↔CR"/>
    <s v="B1i_rod"/>
    <s v="Unchanged"/>
  </r>
  <r>
    <s v="Terrestrial"/>
    <s v="CB6"/>
    <s v="KwaZulu-Natal Coastal Belt Thornveld"/>
    <s v="Indian Ocean Coastal Belt"/>
    <x v="7"/>
    <s v="T4"/>
    <s v="T4.2"/>
    <s v="KwaZulu-Natal Province: From near Mandini in the north to Oribi Gorge in the south. Altitude 30-500 m."/>
    <s v="KwaZulu-Natal"/>
    <s v="Endemic to South Africa"/>
    <s v="South Africa"/>
    <s v="Steep valley sides and hilly landscape mainly associated with drier larger river valleys in the rain shadow of the rain bearing frontal weather systems from the east coast"/>
    <s v="0"/>
    <m/>
    <x v="391"/>
    <n v="416.98"/>
    <n v="411.44959999999998"/>
    <s v="NP"/>
    <x v="3"/>
    <x v="1"/>
    <s v="EN↔EN"/>
    <s v="B1i_rod, B1i_inv"/>
    <s v="Unchanged"/>
  </r>
  <r>
    <s v="Terrestrial"/>
    <s v="FFs32"/>
    <s v="Nardouw Sandstone Fynbos"/>
    <s v="Western Fynbos-Renosterveld Bioregion"/>
    <x v="4"/>
    <s v="T3"/>
    <s v="T3.2"/>
    <s v="0"/>
    <s v="Northern Cape, Western Cape"/>
    <s v="Endemic to South Africa"/>
    <s v="South Africa"/>
    <m/>
    <s v="0"/>
    <m/>
    <x v="392"/>
    <n v="361.44"/>
    <n v="354.36320000000001"/>
    <s v="NP"/>
    <x v="2"/>
    <x v="2"/>
    <s v="CR↔CR"/>
    <s v="B1i_rod"/>
    <s v="Unchanged"/>
  </r>
  <r>
    <s v="Terrestrial"/>
    <s v="FRs20"/>
    <s v="Citrusdal Shale Renosterveld"/>
    <s v="Eastern Fynbos-Renosterveld Bioregion"/>
    <x v="4"/>
    <s v="T3"/>
    <s v="T3.2"/>
    <s v="0"/>
    <s v="Western Cape"/>
    <s v="Endemic to South Africa"/>
    <s v="South Africa"/>
    <m/>
    <s v="0"/>
    <m/>
    <x v="393"/>
    <n v="11.82"/>
    <n v="11.4216"/>
    <s v="NP"/>
    <x v="2"/>
    <x v="2"/>
    <s v="CR↔CR"/>
    <s v="B1i_rod"/>
    <s v="Unchanged"/>
  </r>
  <r>
    <s v="Terrestrial"/>
    <s v="Gm30"/>
    <s v="Steenkampsberg Montane Grassland"/>
    <s v="Mesic Highveld Grassland Bioregion"/>
    <x v="0"/>
    <s v="T4"/>
    <s v="T4.5"/>
    <s v="Occurring along the Steenkampsberg escarpment that extends from the headwaters of the Waterval River in mountains north-west of Lydenburg, extending southwards through Dullstroom towards Belfast, then eastwards through Machadodorp to Bambi and Elandshoogte."/>
    <s v="Mpumalanga, Limpopo"/>
    <s v="Endemic to South Africa"/>
    <s v="South Africa"/>
    <s v="mountainous with plateau grasslands, mountain slopes and shallow valleys"/>
    <s v="0"/>
    <s v="The geology broadly forms part of the Pretoria Group, with the Dullstroom, Steenkampsberg, Lakenvlei, Vermont, Magaliesberg, Silverton, Strubenkop, Daspoort,  Hekpoort, and Timeball Hill Formations running from the west through to the east. The Pretoria Group is commonly intersected by the intrusive Transvaal Diabase in the form of dykes and sills. The resulting rocks are predominantly comprised of quartzite, shale, dolerite, diabase and basalt. Soils are shallow to deep, well-drained; either dystrophic and/or mesotrophic depending on geology. Soil derived from quartzite results in sandy, white dystrophic soils with high humus content."/>
    <x v="394"/>
    <n v="2645.28"/>
    <n v="2611.2055999999998"/>
    <s v="PP"/>
    <x v="0"/>
    <x v="0"/>
    <s v="LC↔LC"/>
    <m/>
    <s v="Unchanged"/>
  </r>
  <r>
    <s v="Terrestrial"/>
    <s v="Gm31"/>
    <s v="Long Tom Pass Montane Grassland"/>
    <s v="Mesic Highveld Grassland Bioregion"/>
    <x v="0"/>
    <s v="T4"/>
    <s v="T4.5"/>
    <s v="Occurring along the escarpment east of Lydenburg, from Morgenzon Reserve just north of Crystal Springs Mountain Lodge, Pilgrim's Rest, southwards to the Schoemanskloof. The lower altitude limit is around 1650 m in the north (where it is drier), dropping to around 1500 m in the south."/>
    <s v="Mpumalanga, Limpopo"/>
    <s v="Endemic to South Africa"/>
    <s v="South Africa"/>
    <s v="diverse physiography, which includes subalpine peaks, level terraces and rolling plains in the higher lying areas with steeply sloping mountain slopes"/>
    <s v="0"/>
    <s v="The geology forms part of the Pretoria Group, which predominantly consists of shale and quartzite in the Rooihoogte, Timeball Hill and Boshoek Formations, and the distinctive volcanic elements of the Hekpoort Andesite Formations which are on the summits of the highest lying areas. The Pretoria Group is commonly intersected by the intrusive Transvaal Diabase in the form of dykes and sills. The mountainous terrain results in shallow soils with pockets of silty clay loam. Soils are well drained clay loams with a fine sand-grade in the topsoil. "/>
    <x v="395"/>
    <n v="539.80999999999995"/>
    <n v="535.92399999999998"/>
    <s v="WP"/>
    <x v="0"/>
    <x v="0"/>
    <s v="LC↔LC"/>
    <m/>
    <s v="Unchanged"/>
  </r>
  <r>
    <s v="Terrestrial"/>
    <s v="Gs19"/>
    <s v="Dry Coast Hinterland Grassland"/>
    <s v="Sub-Escarpment Grassland Bioregion"/>
    <x v="0"/>
    <s v="T4"/>
    <s v="T4.5"/>
    <s v="KwaZulu-Natal and Eastern Cape Provinces: From Melmoth in the north to near Libode in the former Transkei (including Camperdown, Umlaas Road, Eston, Bisi, iZingolweni, Ngqeleni near Mthatha) generally occurring above the SVs 3 KwaZulu-Natal Hinterland Thornveld, SVs 7 Bisho Thornveld and the SVs 6 Eastern Valley Bushveld. Altitude 450 - 900 m."/>
    <s v="KwaZulu-Natal, Eastern Cape"/>
    <s v="Endemic to South Africa"/>
    <s v="South Africa"/>
    <s v="Undulating plains and hilly landscape mainly associated with drier coast hinterland valleys in the rain-shadow of the rain-bearing frontal weather systems from the east coast"/>
    <s v="0"/>
    <s v="Acid, leached heavy soils are derived from Karoo Super group sediments (including significant Dwyka tillites) and intrusive Karoo dolerites"/>
    <x v="396"/>
    <n v="1359.32"/>
    <n v="1334.6324"/>
    <s v="NP"/>
    <x v="1"/>
    <x v="3"/>
    <s v="VU↔VU"/>
    <s v="A3_nat, B1i_rod"/>
    <s v="Unchanged"/>
  </r>
  <r>
    <s v="Terrestrial"/>
    <s v="Gs20"/>
    <s v="Moist Coast Hinterland Grassland"/>
    <s v="Sub-Escarpment Grassland Bioregion"/>
    <x v="0"/>
    <s v="T4"/>
    <s v="T4.5"/>
    <s v="KwaZulu-Natal and Eastern Cape Provinces: From near Melmoth in the north to near Libode in the south (including Eshowe, New Hanover, Thornville, Richmond, Harding, Lusikisiki) generally occurring below Gs 9 Midlands Mistbelt Grassland. Altitude 450 - 900 m."/>
    <s v="KwaZulu-Natal, Eastern Cape"/>
    <s v="Endemic to South Africa"/>
    <s v="South Africa"/>
    <m/>
    <s v="0"/>
    <s v="Acid, leached heavy soils are derived from Karoo Supergroup sediments (including significant Dwyka tillites) and intrusive Karoo dolerites. Shallow sandy soils are derived from Natal Group Sandstone"/>
    <x v="397"/>
    <n v="2293.33"/>
    <n v="2257.5124000000001"/>
    <s v="NP"/>
    <x v="1"/>
    <x v="3"/>
    <s v="VU↔VU"/>
    <s v="A3_nat, B1i_rod"/>
    <s v="Unchanged"/>
  </r>
  <r>
    <s v="Terrestrial"/>
    <s v="SVl25"/>
    <s v="Maputaland Pallid Sandy Bushveld"/>
    <s v="Lowveld Bioregion"/>
    <x v="1"/>
    <s v="T4"/>
    <s v="T4.2"/>
    <s v="KwaZulu-Natal Province: on the coastal plain in the Maputaland region east of the Pongola River. North of the Mkuzi River it is aligned with the Muzi swamp and its water catchment and to the south it extends to near the town of Hluhluwe sandwiched between SV1 18 Tembe Sandy Bushveld and CB 1 Maputaland Coastal Belt. This unit surrounds most of the Muzi Palm Veld and Wooded Grassland. Altitude 10 - 90 m, mostly between 40 – 80 m."/>
    <s v="KwaZulu-Natal"/>
    <s v="Mozambique"/>
    <s v="South Africa"/>
    <s v="ancient coastal dune cordons on gently undulating terrain"/>
    <s v="0"/>
    <s v="Quaternary sediments of marine origin –mainly grey regic to reddish redistributed sand dunes. Grey dystrophic regosols. Land type mainly Ha. "/>
    <x v="398"/>
    <n v="477.97"/>
    <n v="472.8152"/>
    <s v="MP"/>
    <x v="0"/>
    <x v="0"/>
    <s v="LC↔LC"/>
    <m/>
    <s v="Unchanged"/>
  </r>
  <r>
    <s v="Terrestrial"/>
    <s v="AT16"/>
    <s v="Albany Bontveld"/>
    <s v="Albany Thicket"/>
    <x v="9"/>
    <s v="T1"/>
    <s v="T1.2"/>
    <s v="This vegetation type occurs in the Eastern Cape Province, to the north and northeast of Grahamstown; mainly on flat-topped hills between Table Hill and the southern end of the Ecca Pass."/>
    <s v="Eastern Cape"/>
    <s v="Endemic to South Africa"/>
    <s v="South Africa"/>
    <s v="Crests and upper slopes of flat-topped hills"/>
    <s v="Non-seasonal rainfall dominates the region with MAP between 475 mm and 527 mm. Frost is present for approximately 2 to 4 days per year. The mean monthly maximum temperature is 26.6 °C in February and the mean monthly minimum is 5.2 °C in July. Altitude ranges from 435 - 672 masl. "/>
    <m/>
    <x v="399"/>
    <n v="51.28"/>
    <n v="51.162399999999998"/>
    <s v="PP"/>
    <x v="0"/>
    <x v="0"/>
    <s v="LC↔LC"/>
    <m/>
    <s v="Unchanged"/>
  </r>
  <r>
    <s v="Terrestrial"/>
    <s v="AT17"/>
    <s v="Albany Mesic Thicket"/>
    <s v="Albany Thicket"/>
    <x v="9"/>
    <s v="T1"/>
    <s v="T1.2"/>
    <s v="This vegetation type occurs in the Eastern Cape Province, mainly in moist sites along the river valleys of the Bushmans, Kariega, Kowie, Kleinemonde and Kap Rivers from near the Great Fish River Mouth to Kenton-on-Sea, extending inland up these valleys to the Zuurberg Mountains near Alicedale and Grahamstown. Also occurs in incised, moist valleys around Nanaga."/>
    <s v="Eastern Cape"/>
    <s v="Endemic to South Africa"/>
    <s v="South Africa"/>
    <m/>
    <s v="Non-seasonal rainfall dominates the region with MAP between 422 mm and 734 mm. Frost is present for approximately 0 to 5 days per year. The mean monthly maximum temperature is 26.95 °C in February and the mean monthly minimum is 7.8 °C in July. Altitude ranges from 1 - 848 masl. "/>
    <m/>
    <x v="400"/>
    <n v="579.07000000000005"/>
    <n v="576.53039999999999"/>
    <s v="MP"/>
    <x v="0"/>
    <x v="0"/>
    <s v="LC↔LC"/>
    <m/>
    <s v="Unchanged"/>
  </r>
  <r>
    <s v="Terrestrial"/>
    <s v="AT18"/>
    <s v="Albany Valley Thicket"/>
    <s v="Albany Thicket"/>
    <x v="9"/>
    <s v="T1"/>
    <s v="T1.2"/>
    <s v="This vegetation type occurs in the Eastern Cape Province, mainly on the forelands of the Albany Region where it occurs along the middle to upper reaches of the river valleys of the Bushmans, Kariega, Kowie, Kleinemonde and Kap Rivers, extending past the Zuurberg Mountains north- and eastward of Alicedale and Riebeeck East. Also in open valleys around Nanaga."/>
    <s v="Eastern Cape"/>
    <s v="Endemic to South Africa"/>
    <s v="South Africa"/>
    <m/>
    <s v="Non-seasonal rainfall dominates the region with MAP between 362 mm and 657 mm. Frost is present for approximately 0 to 16 days per year. The mean monthly maximum temperature is 27.57 °C in February and the mean monthly minimum is 6.1 °C in July. Altitude ranges from 9 - 916 masl. "/>
    <m/>
    <x v="401"/>
    <n v="1038.0999999999999"/>
    <n v="1034.6744000000001"/>
    <s v="MP"/>
    <x v="0"/>
    <x v="0"/>
    <s v="LC↔LC"/>
    <m/>
    <s v="Unchanged"/>
  </r>
  <r>
    <s v="Terrestrial"/>
    <s v="AT19"/>
    <s v="Baviaans Valley Thicket"/>
    <s v="Albany Thicket"/>
    <x v="9"/>
    <s v="T1"/>
    <s v="T1.2"/>
    <s v="This vegetation type occurs in the Eastern Cape Province, on the lower slopes and ridges from Willowmore/Perdepoort in the west, to the Klein Winterhoek/Zuurberg Mountains (northwest of Kirkwood) in the east including some narrow northern edges of the Baviaanskloof and Groot Winterhoek Mountains, as well as the thicket of the central and upper Baviaanskloof and river valleys in the Kouga Mountains."/>
    <s v="Eastern Cape"/>
    <s v="Endemic to South Africa"/>
    <s v="South Africa"/>
    <m/>
    <s v="Non-seasonal rainfall dominates the region with MAP between 153 mm and 620 mm. Frost is present for approximately 2 to 50 days per year. The mean monthly maximum temperature is 29.2 °C in February and the mean monthly minimum is 3.2 °C in July. Altitude ranges from 121 - 1447 masl. "/>
    <m/>
    <x v="402"/>
    <n v="1062.6500000000001"/>
    <n v="1061.9251999999999"/>
    <s v="WP"/>
    <x v="0"/>
    <x v="0"/>
    <s v="LC↔LC"/>
    <m/>
    <s v="Unchanged"/>
  </r>
  <r>
    <s v="Terrestrial"/>
    <s v="AT20"/>
    <s v="Bethelsdorp Bontveld"/>
    <s v="Albany Thicket"/>
    <x v="9"/>
    <s v="T1"/>
    <s v="T1.2"/>
    <s v="This vegetation type occurs in the Eastern Cape Province, northwest of Port Elizabeth; mainly in valleys incising the plateau along the southern margin of the Swartkops River basin, but also in the Baakens River valley."/>
    <s v="Eastern Cape"/>
    <s v="Endemic to South Africa"/>
    <s v="South Africa"/>
    <s v="Occurs on steep slopes of deeply incised valleys"/>
    <s v="Non-seasonal rainfall dominates the region with MAP between 530 mm and 586 mm. Frost is present for approximately 3 days per year. The mean monthly maximum temperature is 25.4 °C in February and the mean monthly minimum is 7.6 °C in July. Altitude ranges from 15 - 215 masl. "/>
    <m/>
    <x v="403"/>
    <n v="20.18"/>
    <n v="19.952400000000001"/>
    <s v="NP"/>
    <x v="0"/>
    <x v="0"/>
    <s v="LC↔LC"/>
    <m/>
    <s v="Unchanged"/>
  </r>
  <r>
    <s v="Terrestrial"/>
    <s v="AT21"/>
    <s v="Buffels Mesic Thicket"/>
    <s v="Albany Thicket"/>
    <x v="9"/>
    <s v="T1"/>
    <s v="T1.2"/>
    <s v="This vegetation type occurs in the Eastern Cape Province, in the major river valleys between East London and Kei Mouth, including those of the Buffels, Nahoon, Gqunube, Kwelera, and Kei rivers, stretching between 30 and 50 km inland (including some areas around King William’s Town and Komga), and a small area in the Kei River Valley between about 10 and 20 km from the coast."/>
    <s v="Eastern Cape"/>
    <s v="Endemic to South Africa"/>
    <s v="South Africa"/>
    <m/>
    <s v="Non-seasonal rainfall dominates the region with MAP between 621 mm and 988 mm. Frost is present for approximately 0 to 3 days a year. The mean monthly maximum temperature is 26.1 °C in February and the mean monthly minimum is 8.36 °C in July. Altitude ranges from 4 - 624 masl. "/>
    <m/>
    <x v="404"/>
    <n v="312.20999999999998"/>
    <n v="310.90839999999997"/>
    <s v="PP"/>
    <x v="0"/>
    <x v="0"/>
    <s v="LC↔LC"/>
    <m/>
    <s v="Unchanged"/>
  </r>
  <r>
    <s v="Terrestrial"/>
    <s v="AT22"/>
    <s v="Buffels Valley Thicket"/>
    <s v="Albany Thicket"/>
    <x v="9"/>
    <s v="T1"/>
    <s v="T1.2"/>
    <s v="This vegetation type occurs in the Eastern Cape Province, in the upper stretches of the Buffels River Valley between about 30 and 60 km from the coast, and in the upper Keiskamma River Valley around Keiskammahoek."/>
    <s v="Eastern Cape"/>
    <s v="Endemic to South Africa"/>
    <s v="South Africa"/>
    <m/>
    <s v="Non-seasonal rainfall dominates the region with MAP between 547 mm and 1022 mm. Frost is present for approximately 2 to 8 days a year. The mean monthly maximum temperature is 26.9 °C in February and the mean monthly minimum is 5.8 °C in July. Altitude ranges from 211 - 918 masl. "/>
    <m/>
    <x v="405"/>
    <n v="94.26"/>
    <n v="92.447199999999995"/>
    <s v="NP"/>
    <x v="2"/>
    <x v="2"/>
    <s v="CR↔CR"/>
    <s v="B1i_rod"/>
    <s v="Unchanged"/>
  </r>
  <r>
    <s v="Terrestrial"/>
    <s v="AT23"/>
    <s v="Crossroads Grassland Thicket"/>
    <s v="Albany Thicket"/>
    <x v="9"/>
    <s v="T1"/>
    <s v="T1.2"/>
    <s v="This vegetation type occurs in the Eastern Cape Province. Occurring in fragmented bands about 10 km inland of the Keiskamma River Mouth, stretching northwestward to just north of Doubledrift. Also some smaller areas east and north of The Haven."/>
    <s v="Eastern Cape"/>
    <s v="Endemic to South Africa"/>
    <s v="South Africa"/>
    <m/>
    <s v="Non-seasonal rainfall dominates the region, with MAP between 376 mm and 675 mm. Frost is present approximately 3 days per year. The mean monthly maximum is 26.98 °C in February and the mean monthly minimum is 7.15 °C in July. Altitude ranges from 65 – 676 masl."/>
    <m/>
    <x v="406"/>
    <n v="269.07"/>
    <n v="268.26"/>
    <s v="MP"/>
    <x v="0"/>
    <x v="0"/>
    <s v="LC↔LC"/>
    <m/>
    <s v="Unchanged"/>
  </r>
  <r>
    <s v="Terrestrial"/>
    <s v="AT24"/>
    <s v="Doubledrift Karroid Thicket"/>
    <s v="Albany Thicket"/>
    <x v="9"/>
    <s v="T1"/>
    <s v="T1.2"/>
    <s v="This vegetation type occurs in the Eastern Cape Province, occurring in fragmented bands in the broad valley between the Zuurberg Mountains and Great Escarpment, from south of Somerset East toward Xhesi near the lower reaches of the Keiskamma River. Two major areas are centered around Middleton in the west and Peddie in the east, with smaller areas in the vicinity of Dagaboersnek."/>
    <s v="Eastern Cape"/>
    <s v="Endemic to South Africa"/>
    <s v="South Africa"/>
    <m/>
    <s v="Non-seasonal rainfall dominates the region, with MAP between 314 mm and 840 mm. Frost is present between 0 and 22 days per year. The mean monthly maximum is 27.71 °C in February and the mean monthly minimum is 5.95 °C in July. Altitude ranges from 6 – 993 masl."/>
    <m/>
    <x v="407"/>
    <n v="2605.1"/>
    <n v="2598.0259999999998"/>
    <s v="PP"/>
    <x v="0"/>
    <x v="0"/>
    <s v="LC↔LC"/>
    <m/>
    <s v="Unchanged"/>
  </r>
  <r>
    <s v="Terrestrial"/>
    <s v="AT25"/>
    <s v="Eastern Gwarrieveld"/>
    <s v="Albany Thicket"/>
    <x v="9"/>
    <s v="T1"/>
    <s v="T1.2"/>
    <s v="This vegetation type occurs in the Eastern Cape Province in two irregular and fragmented bands in the south of the Camdeboo Plains; the first associated with valleys along the Groot Rivier and Klein Winterhoek Mountains, from Honeyville in the west and extending eastward toward Kirkwood; the second extending eastward from the Tierberg area (between Aberdeen and Klipplaat), crossing the Sundays River north of Jansenville to Westondale (south of Pearston)."/>
    <s v="Eastern Cape"/>
    <s v="Endemic to South Africa"/>
    <s v="South Africa"/>
    <s v="Hills and gentle slopes"/>
    <s v="Non-seasonal rainfall dominates the region, with optimal rainfall in March and MAP between 155 mm and 413 mm. Frost is present between 3 and 39 days per year. The mean monthly maximum is 30.39 °C in January and the mean monthly minimum is 30.03 °C in July. Altitude ranges from 233 – 1137 masl."/>
    <m/>
    <x v="408"/>
    <n v="2114.14"/>
    <n v="2109.2375999999999"/>
    <s v="MP"/>
    <x v="0"/>
    <x v="0"/>
    <s v="LC↔LC"/>
    <m/>
    <s v="Unchanged"/>
  </r>
  <r>
    <s v="Terrestrial"/>
    <s v="AT26"/>
    <s v="Elands Forest Thicket"/>
    <s v="Albany Thicket"/>
    <x v="9"/>
    <s v="T1"/>
    <s v="T1.2"/>
    <s v="This vegetation type occurs in the Eastern Cape Province. Between St Franics Bay and Uitenhage; associated with moderate slopes around the Elands River, Seekoei River, and Kromme River."/>
    <s v="Eastern Cape"/>
    <s v="Endemic to South Africa"/>
    <s v="South Africa"/>
    <m/>
    <s v="Non-seasonal rainfall dominates the region, with MAP between 543 mm and 788 mm. Frost is present approximately 3 days per year. The mean monthly maximum is 25.44 °C in February and the mean monthly minimum is 7.22 °C in July. Altitude ranges from 5 – 383 masl."/>
    <m/>
    <x v="409"/>
    <n v="30.35"/>
    <n v="30.108000000000001"/>
    <s v="PP"/>
    <x v="0"/>
    <x v="0"/>
    <s v="LC↔LC"/>
    <m/>
    <s v="Unchanged"/>
  </r>
  <r>
    <s v="Terrestrial"/>
    <s v="AT27"/>
    <s v="Escarpment Arid Thicket"/>
    <s v="Albany Thicket"/>
    <x v="9"/>
    <s v="T1"/>
    <s v="T1.2"/>
    <s v="This vegetation type occurs in the Eastern Cape Province, occurring along the south-facing slopes of the Great Escarpment, mainly centred around Cradock and Graaf-Reinet, but stretching westward to Aberdeen. An isolated patch occurs south of Bruintjieshoogte (near Pearston)."/>
    <s v="Eastern Cape"/>
    <s v="Endemic to South Africa"/>
    <s v="South Africa"/>
    <m/>
    <s v="Non-seasonal rainfall dominates the region, with MAP between 206 mm and 515 mm. Frost is present between 8 and 52 days per year. The mean monthly maximum is 29.75 °C in January and the mean monthly minimum is 2.18 °C in July. Altitude ranges from 555 – 1568 masl."/>
    <m/>
    <x v="410"/>
    <n v="1232.3"/>
    <n v="1230.8191999999999"/>
    <s v="WP"/>
    <x v="0"/>
    <x v="0"/>
    <s v="LC↔LC"/>
    <m/>
    <s v="Unchanged"/>
  </r>
  <r>
    <s v="Terrestrial"/>
    <s v="AT28"/>
    <s v="Escarpment Mesic Thicket"/>
    <s v="Albany Thicket"/>
    <x v="9"/>
    <s v="T1"/>
    <s v="T1.2"/>
    <s v="This vegetation type occurs in the Eastern Cape Province, along the steep southern slopes of the Amathole, Winterberg and Swaershoek Mountains, spanning from Keiskammahoek in the east to just north of Pearston (Aasvoëlberg) in the west."/>
    <s v="Eastern Cape"/>
    <s v="Endemic to South Africa"/>
    <s v="South Africa"/>
    <m/>
    <s v="Non-seasonal rainfall dominates the region, with MAP between 352 mm and 1179 mm. Frost is present between 3 and 43 days per year. The mean monthly maximum is 27.56 °C in January and the mean monthly minimum is 3.86 °C in July. Altitude ranges from 454 – 1702 masl."/>
    <m/>
    <x v="411"/>
    <n v="910.02"/>
    <n v="908.16279999999995"/>
    <s v="PP"/>
    <x v="0"/>
    <x v="0"/>
    <s v="LC↔LC"/>
    <m/>
    <s v="Unchanged"/>
  </r>
  <r>
    <s v="Terrestrial"/>
    <s v="AT29"/>
    <s v="Escarpment Valley Thicket"/>
    <s v="Albany Thicket"/>
    <x v="9"/>
    <s v="T1"/>
    <s v="T1.2"/>
    <s v="This vegetation type occurs in the Eastern Cape Province and is one large but dissected patch occurring along the south-facing slopes of the Great Escarpment, from Bruintjieshoogte in the east via the Coetzeeberg Mountains toward Graaff-Reinet."/>
    <s v="Eastern Cape"/>
    <s v="Endemic to South Africa"/>
    <s v="South Africa"/>
    <m/>
    <s v="Non-seasonal rainfall dominates the region, with MAP between 272 mm and 565 mm. Frost is present between 14 and 45 days per year. The mean monthly maximum is 29.85 °C in January and the mean monthly minimum is 2.50 °C in July. Altitude ranges from 686 – 1617 masl."/>
    <m/>
    <x v="412"/>
    <n v="769.25"/>
    <n v="768.05039999999997"/>
    <s v="WP"/>
    <x v="0"/>
    <x v="0"/>
    <s v="LC↔LC"/>
    <m/>
    <s v="Unchanged"/>
  </r>
  <r>
    <s v="Terrestrial"/>
    <s v="AT30"/>
    <s v="Fish Arid Thicket"/>
    <s v="Albany Thicket"/>
    <x v="9"/>
    <s v="T1"/>
    <s v="T1.2"/>
    <s v="This vegetation type occurs in the Eastern Cape Province. The vegetation type is one large patch surrounded mainly by AT32 Fish Valley Thicket in the valley of the Great Fish River (north of Grahamstown) and spans a broad band from around Pigott’s (Carlisle) Bridge in the west to around Committees Drift in the east."/>
    <s v="Eastern Cape"/>
    <s v="Endemic to South Africa"/>
    <s v="South Africa"/>
    <m/>
    <s v="Non-seasonal rainfall dominates the region, with MAP between 331 mm and 521 mm. Frost is present approximately 3 days per year. The mean monthly maximum is 28.10 °C in February and the mean monthly minimum is 6.81 °C in July. Altitude ranges from 40 – 611 masl."/>
    <m/>
    <x v="413"/>
    <n v="627.82000000000005"/>
    <n v="625.30679999999995"/>
    <s v="WP"/>
    <x v="0"/>
    <x v="0"/>
    <s v="LC↔LC"/>
    <m/>
    <s v="Unchanged"/>
  </r>
  <r>
    <s v="Terrestrial"/>
    <s v="AT31"/>
    <s v="Fish Mesic Thicket"/>
    <s v="Albany Thicket"/>
    <x v="9"/>
    <s v="T1"/>
    <s v="T1.2"/>
    <s v="This vegetation type occurs in the Eastern Cape Province, in lower reaches of river valleys, primarily in the Great Fish River Valley and its tributaries, but also in smaller valleys eastward up to the Ngculura River south-east of Wesley. Generally occurring within 20 - 40 km of the coast, but a small isolated patch occurs further inland near Breakfast Vlei."/>
    <s v="Eastern Cape"/>
    <s v="Endemic to South Africa"/>
    <s v="South Africa"/>
    <m/>
    <s v="Non-seasonal rainfall dominates the region, with MAP between 463 mm and 655 mm. Frost is present approximately 3 days per year. The mean monthly maximum is 26.72 °C in February and the mean monthly minimum is 8.25 °C in July. Altitude ranges from 7 - 973 masl."/>
    <m/>
    <x v="414"/>
    <n v="211.25"/>
    <n v="210.13919999999999"/>
    <s v="PP"/>
    <x v="0"/>
    <x v="0"/>
    <s v="LC↔LC"/>
    <m/>
    <s v="Unchanged"/>
  </r>
  <r>
    <s v="Terrestrial"/>
    <s v="AT32"/>
    <s v="Fish Valley Thicket"/>
    <s v="Albany Thicket"/>
    <x v="9"/>
    <s v="T1"/>
    <s v="T1.2"/>
    <s v="This vegetation type occurs in the Eastern Cape Province. Mainly in the lower reaches of the Great Fish  River Valleys south of the Great Escarpment,  northwards to Cookhouse and into the southernmost part of the Cradock District. Also includes parts of the Little Fish River Valley, occurring northward from here to near Pearston and eastward to near Jansenville. Isolated patches occur in the Koonap River Valley near Adelaide, and in the Kat River Valley north of Fort Beaufort."/>
    <s v="Eastern Cape"/>
    <s v="Endemic to South Africa"/>
    <s v="South Africa"/>
    <m/>
    <s v="Non-seasonal rainfall dominates the region, with MAP between 244 mm and 884 mm. Frost is present between 0 and 61 days per year. The mean monthly maximum is 28.30 °C in January and the mean monthly minimum is 4.60 °C in July. Altitude ranges from 1 - 1724 masl."/>
    <m/>
    <x v="415"/>
    <n v="3457.97"/>
    <n v="3450.6923999999999"/>
    <s v="MP"/>
    <x v="0"/>
    <x v="0"/>
    <s v="LC↔LC"/>
    <m/>
    <s v="Unchanged"/>
  </r>
  <r>
    <s v="Terrestrial"/>
    <s v="AT33"/>
    <s v="Gamka Arid Thicket"/>
    <s v="Albany Thicket"/>
    <x v="9"/>
    <s v="T1"/>
    <s v="T1.2"/>
    <s v="This vegetation type occurs in the Eastern and Western Cape Provinces, along arid ridges and slopes of the Groot Swartberg Mountains. An extensive band occurs along the northern slopes of this mountain range, extending from near the Gamkaskloof eastward over 180 km to the Aasvoëlberg near Willowmore. More isolated patches occur on ridges around the Tierberg north-east of Prince Albert, on north-facing slopes around Meiringspoort, and arid slopes north of Calitzdorp."/>
    <s v="Eastern Cape, Western Cape"/>
    <s v="Endemic to South Africa"/>
    <s v="South Africa"/>
    <m/>
    <s v="Non-seasonal rainfall dominates the region, with MAP between 86 mm and 376 mm. Frost is present between 3 and 41 days per year. The mean monthly maximum is 30.79 °C in January and the mean monthly minimum is 3.16 °C in July. Altitude ranges from 216 - 1265 masl."/>
    <m/>
    <x v="416"/>
    <n v="484.97"/>
    <n v="484.0616"/>
    <s v="PP"/>
    <x v="0"/>
    <x v="0"/>
    <s v="LC↔LC"/>
    <m/>
    <s v="Unchanged"/>
  </r>
  <r>
    <s v="Terrestrial"/>
    <s v="AT34"/>
    <s v="Gamka Valley Thicket"/>
    <s v="Albany Thicket"/>
    <x v="9"/>
    <s v="T1"/>
    <s v="T1.2"/>
    <s v="Western Cape Province. Occurs north of Oudtshoorn along the southern foot of the Groot Swartberg Mountains, extending from the Wynands River in the west to the confluence of the Olifants and Groot Abrahams Rivers (south-west of De Rust) in the east."/>
    <s v="Western Cape"/>
    <s v="Endemic to South Africa"/>
    <s v="South Africa"/>
    <m/>
    <s v="Non-seasonal rainfall dominates the region, with MAP between 243 mm and 466 mm. Frost is present between 3 and 11 days per year. The mean monthly maximum is 29.74 °C in January and the mean monthly minimum is 5.44 °C in July. Altitude ranges from 3 - 662 masl."/>
    <m/>
    <x v="417"/>
    <n v="161.9"/>
    <n v="161.6764"/>
    <s v="NP"/>
    <x v="0"/>
    <x v="0"/>
    <s v="LC↔LC"/>
    <m/>
    <s v="Unchanged"/>
  </r>
  <r>
    <s v="Terrestrial"/>
    <s v="AT35"/>
    <s v="Geluk Grassland Thicket"/>
    <s v="Albany Thicket"/>
    <x v="9"/>
    <s v="T1"/>
    <s v="T1.2"/>
    <s v="This vegetation type occurs in the Eastern Cape Province. Restricted to two small patches just north of Maurice Hill between Nanaga and Alexandria."/>
    <s v="Eastern Cape"/>
    <s v="Endemic to South Africa"/>
    <s v="South Africa"/>
    <m/>
    <s v="Non-seasonal rainfall dominates the region, with MAP between 525 mm and 609 mm. Frost is present approximately 3 days per year. The mean monthly maximum is 27.00 °C in February and the mean monthly minimum is 7.11 °C in July. Altitude ranges from 266 - 414 masl."/>
    <m/>
    <x v="418"/>
    <n v="18.55"/>
    <n v="18.3856"/>
    <s v="MP"/>
    <x v="0"/>
    <x v="0"/>
    <s v="LC↔LC"/>
    <m/>
    <s v="Unchanged"/>
  </r>
  <r>
    <s v="Terrestrial"/>
    <s v="AT36"/>
    <s v="Goukamma Dune Thicket"/>
    <s v="Albany Thicket"/>
    <x v="9"/>
    <s v="MT2"/>
    <s v="MT2.1"/>
    <s v="This vegetation type occurs in the Western Cape Province. In coastal stretches from Victoria Bay near Wilderness to the Knysna Heads, with smaller areas along the coast from Robberg Peninsula near Plettenberg Bay eastward to Keurboomstrand."/>
    <s v="Western Cape"/>
    <s v="Endemic to South Africa"/>
    <s v="South Africa"/>
    <m/>
    <s v="Non-seasonal rainfall dominates the region with MAP between 588 mm and 859 mm. Frost is present for approximately 3 days per year. The mean monthly maximum is 26.67 °C in February and the mean monthly minimum is 7.92 °C in July. Altitude ranges from 1 - 203 masl."/>
    <m/>
    <x v="419"/>
    <n v="64.709999999999994"/>
    <n v="29.7712"/>
    <s v="WP"/>
    <x v="0"/>
    <x v="2"/>
    <s v="LC → CR"/>
    <s v="B1i_rod"/>
    <s v="Uplisted"/>
  </r>
  <r>
    <s v="Terrestrial"/>
    <s v="AT37"/>
    <s v="Gouritz Valley Thicket"/>
    <s v="Albany Thicket"/>
    <x v="9"/>
    <s v="T1"/>
    <s v="T1.2"/>
    <s v="This vegetation type occurs in the Western Cape Province. Primarily in the lower stretches of the Gouritz River Valley (between Herbertsdale and Gouritz Mouth), with smaller patches in the lower Goekoe River Valley (between Riversdale and Still Bay)."/>
    <s v="Western Cape"/>
    <s v="Endemic to South Africa"/>
    <s v="South Africa"/>
    <s v="Steep slopes of deeply incised valleys of rivers flowing mainly in a north-south direction and dissecting the Southern Cape coastal peneplain"/>
    <s v="Non-seasonal rainfall dominates the region with MAP between 401 mm and 477 mm. Frost is present for approximately 3 days per year. The mean monthly maximum is 26.33 °C in January and the mean monthly minimum is 6.00 °C in July. Altitude ranges from 4 - 99 masl. "/>
    <m/>
    <x v="420"/>
    <n v="107.38"/>
    <n v="106.1092"/>
    <s v="NP"/>
    <x v="2"/>
    <x v="2"/>
    <s v="CR↔CR"/>
    <s v="B1i_rod"/>
    <s v="Unchanged"/>
  </r>
  <r>
    <s v="Terrestrial"/>
    <s v="AT38"/>
    <s v="Grahamstown Grassland Thicket"/>
    <s v="Albany Thicket"/>
    <x v="9"/>
    <s v="T1"/>
    <s v="T1.2"/>
    <s v="This vegetation type occurs in the Eastern Cape Province. Primarily on coastal forelands of the Albany region, spanning from around Grahamstown toward the Great Fish River in the east, Port Alfred and Alexandria in the south, and Sidbury in the west. A small isolated patch also occurs at the southern foot of the Swartwatersberg north of Alicedale."/>
    <s v="Eastern Cape"/>
    <s v="Endemic to South Africa"/>
    <s v="South Africa"/>
    <m/>
    <s v="Non-seasonal rainfall dominates the region with MAP between 376 mm and 696 mm. Frost is present for 0 to 5 days per year. The mean monthly maximum is 26.90 °C in February and the mean monthly minimum is 6.96 °C in July. Altitude ranges from 24 - 733 masl. "/>
    <m/>
    <x v="421"/>
    <n v="857.9"/>
    <n v="849.88160000000005"/>
    <s v="MP"/>
    <x v="0"/>
    <x v="0"/>
    <s v="LC↔LC"/>
    <m/>
    <s v="Unchanged"/>
  </r>
  <r>
    <s v="Terrestrial"/>
    <s v="AT39"/>
    <s v="Grassridge Bontveld"/>
    <s v="Albany Thicket"/>
    <x v="9"/>
    <s v="T1"/>
    <s v="T1.2"/>
    <s v="This vegetation type occurs in the Eastern Cape Province. Predominantly occurs northeast of Port Elizabeth just inland of Algoa Bay, mainly around Coega, but also in small patches near Addo Elephant National Park (Zuurkop, Pentzhorn &amp; Olivier 1974)."/>
    <s v="Eastern Cape"/>
    <s v="Endemic to South Africa"/>
    <s v="South Africa"/>
    <s v="On moderately undulating plains"/>
    <s v="Non-seasonal rainfall dominates the region with optimal rainfall months in March and October. MAP is between 402 mm and 501 mm. Frost is present for approximately 3 days per year. The mean monthly maximum is 27.12 °C in February and the mean monthly minimum is 7.47 °C in July. Altitude ranges from 0 -399 masl. "/>
    <m/>
    <x v="422"/>
    <n v="220.02"/>
    <n v="217.00880000000001"/>
    <s v="PP"/>
    <x v="0"/>
    <x v="0"/>
    <s v="LC↔LC"/>
    <m/>
    <s v="Unchanged"/>
  </r>
  <r>
    <s v="Terrestrial"/>
    <s v="AT40"/>
    <s v="Hartenbos Dune Thicket"/>
    <s v="Albany Thicket"/>
    <x v="9"/>
    <s v="MT2"/>
    <s v="MT2.1"/>
    <s v="This vegetation type occurs in the Western Cape Province. In coastal stretches from the Duiwenhoks River Mouth eastward to Glentana near the Great Brak River."/>
    <s v="Western Cape"/>
    <s v="Endemic to South Africa"/>
    <s v="South Africa"/>
    <m/>
    <s v="Non-seasonal rainfall dominates the region, with MAP between 261 mm and 666 mm. Frost is present for approximately 3 days per year. The mean monthly maximum is 25.19 °C in February and the mean monthly minimum is 6.47 °C in July. Altitude ranges from 0 - 273 masl."/>
    <m/>
    <x v="423"/>
    <n v="515.95000000000005"/>
    <n v="463.14600000000002"/>
    <s v="PP"/>
    <x v="3"/>
    <x v="1"/>
    <s v="EN↔EN"/>
    <s v="B1iii_sp"/>
    <s v="Unchanged"/>
  </r>
  <r>
    <s v="Terrestrial"/>
    <s v="AT41"/>
    <s v="Kasouga Dune Thicket"/>
    <s v="Albany Thicket"/>
    <x v="9"/>
    <s v="T1"/>
    <s v="T1.2"/>
    <s v="This vegetation type occurs in the Eastern Cape Province. In coastal stretches from the Sundays River Mouth eastward to the Great Fish River Mouth."/>
    <s v="Eastern Cape"/>
    <s v="Endemic to South Africa"/>
    <s v="South Africa"/>
    <m/>
    <s v="Non-seasonal rainfall dominates the region, with MAP between 389 mm and 795 mm. Frost typically not present. The mean monthly maximum is 26.31 °C in February and the mean monthly minimum is 8.83 °C in July. Altitude ranges from 1 - 277 masl. "/>
    <m/>
    <x v="424"/>
    <n v="209.88"/>
    <n v="207.96799999999999"/>
    <s v="MP"/>
    <x v="0"/>
    <x v="0"/>
    <s v="LC↔LC"/>
    <m/>
    <s v="Unchanged"/>
  </r>
  <r>
    <s v="Terrestrial"/>
    <s v="AT42"/>
    <s v="Koedoeskloof Karroid Thicket"/>
    <s v="Albany Thicket"/>
    <x v="9"/>
    <s v="T1"/>
    <s v="T1.2"/>
    <s v="This vegetation type occurs in the Eastern Cape Province in fragmented patches north and southwest of Addo Elephant National Park just above the lower Sundays River Valley."/>
    <s v="Eastern Cape"/>
    <s v="Endemic to South Africa"/>
    <s v="South Africa"/>
    <m/>
    <s v="Non-seasonal rainfall dominates the region, with MAP between 369 mm and 441 mm. Frost is present for approximately 3 days per year. The mean monthly maximum is 28.17 °C in February and the mean monthly minimum is 6.89 °C in July. Altitude ranges from 23 - 226 masl. "/>
    <m/>
    <x v="425"/>
    <n v="53.35"/>
    <n v="51.723199999999999"/>
    <s v="NP"/>
    <x v="0"/>
    <x v="0"/>
    <s v="LC↔LC"/>
    <m/>
    <s v="Unchanged"/>
  </r>
  <r>
    <s v="Terrestrial"/>
    <s v="AT43"/>
    <s v="Mons Ruber Fynbos Thicket"/>
    <s v="Albany Thicket"/>
    <x v="9"/>
    <s v="T3"/>
    <s v="T3.2"/>
    <s v="This vegetation type occurs in the Western Cape Province, in a fragmented band along the southern foot of the Groot Swartberg Mountains, stretching from Calitzdorp eastward to Schoemanspoort (north of Oudtshoorn), and from De Rust eastward to Barandas."/>
    <s v="Western Cape"/>
    <s v="Endemic to South Africa"/>
    <s v="South Africa"/>
    <m/>
    <s v="Non-seasonal rainfall dominates the region, with MAP between 156 mm and 492 mm. Frost is present for approximately 4 to 15 days per year. The mean monthly maximum is 31.33 °C in January and the mean monthly minimum is 4.17 °C in July. Altitude ranges from 339 - 882 masl. "/>
    <m/>
    <x v="426"/>
    <n v="266.86"/>
    <n v="265.8272"/>
    <s v="NP"/>
    <x v="0"/>
    <x v="0"/>
    <s v="LC↔LC"/>
    <m/>
    <s v="Unchanged"/>
  </r>
  <r>
    <s v="Terrestrial"/>
    <s v="AT44"/>
    <s v="Motherwell Karroid Thicket"/>
    <s v="Albany Thicket"/>
    <x v="9"/>
    <s v="T1"/>
    <s v="T1.2"/>
    <s v="This vegetation type occurs in the Eastern Cape Province. Northwest of Port Elizabeth just inland of Algoa Bay; mainly between Port Elizabeth and Uitenhage, but also around Coega."/>
    <s v="Eastern Cape"/>
    <s v="Endemic to South Africa"/>
    <s v="South Africa"/>
    <s v="Occurs mostly on moderately undulating plains just above the floodplains of the local rivers"/>
    <s v="Non-seasonal rainfall dominates the region, with MAP between 426 mm and 599 mm. Frost is present for approximately 3 days per year. The mean monthly maximum is 26.22 °C in February and the mean monthly minimum is 7.69 °C in July. Altitude ranges from 3 - 207 masl."/>
    <m/>
    <x v="427"/>
    <n v="65.95"/>
    <n v="63.247199999999999"/>
    <s v="NP"/>
    <x v="2"/>
    <x v="2"/>
    <s v="CR↔CR"/>
    <s v="B1i_rod"/>
    <s v="Unchanged"/>
  </r>
  <r>
    <s v="Terrestrial"/>
    <s v="AT45"/>
    <s v="Nanaga Savanna Thicket"/>
    <s v="Albany Thicket"/>
    <x v="9"/>
    <s v="T1"/>
    <s v="T1.2"/>
    <s v="This vegetation type occurs in the Eastern Cape Province. Most extensive on the Kwaggavlakte, spanning from near Addo Heights in the west to Glenview (north of Alexandria) in the east, and northward to Paterson. Also in the Nanaga area, extending southward to near the coast and eastward to near Diepkloof. Other minor areas occur around Salem/Farmer's Field, and around the Busmans River Valley between Alicedale and Eagle's Crag."/>
    <s v="Eastern Cape"/>
    <s v="Endemic to South Africa"/>
    <s v="South Africa"/>
    <m/>
    <s v="Non-seasonal rainfall dominates the region, with MAP between 413 mm and 625 mm. Frost is present for approximately 3 days per year. The mean monthly maximum is 27.51 °C in February and the mean monthly minimum is 7.19 °C in July. Altitude ranges from 60 - 419 masl. "/>
    <m/>
    <x v="428"/>
    <n v="433.5"/>
    <n v="430.5496"/>
    <s v="MP"/>
    <x v="0"/>
    <x v="0"/>
    <s v="LC↔LC"/>
    <m/>
    <s v="Unchanged"/>
  </r>
  <r>
    <s v="Terrestrial"/>
    <s v="AT46"/>
    <s v="Oudtshoorn Karroid Thicket"/>
    <s v="Albany Thicket"/>
    <x v="9"/>
    <s v="T1"/>
    <s v="T1.2"/>
    <s v="This vegetation type occurs in the Western Cape Province. Primarily centred around the Olifants River Valley in the Oudtshoorn district, extending from near Calitzdorp eastward to Dysselsdorp. Also occurs in Gamkaskloof, Gamkaspoort and the adjacent valley to the north, stretching eastward to the Oukloofberge near Prince Albert."/>
    <s v="Western Cape"/>
    <s v="Endemic to South Africa"/>
    <s v="South Africa"/>
    <m/>
    <s v="Non-seasonal rainfall dominates the region, with MAP between 115 mm and 526 mm. Frost is present between 3 and 36 days per year. The mean monthly maximum is 31.19 °C in January and the mean monthly minimum is 4.06 °C in July. Altitude ranges from 122 - 1274 masl. "/>
    <m/>
    <x v="429"/>
    <n v="553.82000000000005"/>
    <n v="552.03639999999996"/>
    <s v="WP"/>
    <x v="0"/>
    <x v="0"/>
    <s v="LC↔LC"/>
    <m/>
    <s v="Unchanged"/>
  </r>
  <r>
    <s v="Terrestrial"/>
    <s v="AT47"/>
    <s v="Saltaire Karroid Thicket"/>
    <s v="Albany Thicket"/>
    <x v="9"/>
    <s v="T1"/>
    <s v="T1.2"/>
    <s v="This vegetation type occurs in the Eastern Cape Province. Forming a fragmented band inland of the Zuurberg Mountains, from around Renosterfontein in the west to Alicedale and around Grahamstown in the west."/>
    <s v="Eastern Cape"/>
    <s v="Endemic to South Africa"/>
    <s v="South Africa"/>
    <m/>
    <s v="Non-seasonal rainfall dominates the region, with MAP between 300 mm and 586 mm. Frost is present between 2 and 15 days per year. The mean monthly maximum is 28.59 °C in February and the mean monthly minimum is 4.98 °C in July. Altitude ranges from 275 - 820 masl."/>
    <m/>
    <x v="430"/>
    <n v="890.07"/>
    <n v="886.13040000000001"/>
    <s v="PP"/>
    <x v="0"/>
    <x v="0"/>
    <s v="LC↔LC"/>
    <m/>
    <s v="Unchanged"/>
  </r>
  <r>
    <s v="Terrestrial"/>
    <s v="AT48"/>
    <s v="Sardinia Forest Thicket"/>
    <s v="Albany Thicket"/>
    <x v="9"/>
    <s v="T1"/>
    <s v="T1.2"/>
    <s v="This vegetation type occurs in the Eastern Cape Province. South-east of Port Elizabeth, forming an arc from Seaview in the west to Walmer Heights in the east, and occurring within 2-5 km of the coast."/>
    <s v="Eastern Cape"/>
    <s v="Endemic to South Africa"/>
    <s v="South Africa"/>
    <m/>
    <s v="Non-seasonal rainfall dominates the region, with MAP between 670 mm and 731 mm. Frost is present approximately 3 days per year. The mean monthly maximum is 25.00 °C in February and the mean monthly minimum is 8.17 °C in July. Altitude ranges from 28 - 141 masl. "/>
    <m/>
    <x v="431"/>
    <n v="16.04"/>
    <n v="11.6952"/>
    <s v="NP"/>
    <x v="0"/>
    <x v="2"/>
    <s v="LC → CR"/>
    <s v="B1i_inv"/>
    <s v="Uplisted"/>
  </r>
  <r>
    <s v="Terrestrial"/>
    <s v="AT49"/>
    <s v="Sundays Arid Thicket"/>
    <s v="Albany Thicket"/>
    <x v="9"/>
    <s v="T1"/>
    <s v="T1.2"/>
    <s v="This vegetation type occurs in the Eastern Cape Province. Most extensive in the upper Sundays River Valley, centered around Jansenville and Darlington Dam, with smaller areas west of Klipplaat. Also in dry valleys from Volstruisleegte (north of Willomore) eastward to Steytlerville and Kleinpoort, and the dry valley north of the Baviaanskloof and Groot Winterhoek Mountains from near Boxmoor in the west to near Kirkwood in the east. Smaller isolated patches also occur along the northern slopes of the eastern Swartberg Mountains around Toorwaterpoort, and in the Baviaanskloof between Studtis and Zandvlakte."/>
    <s v="Eastern Cape"/>
    <s v="Endemic to South Africa"/>
    <s v="South Africa"/>
    <m/>
    <s v="Non-seasonal rainfall dominates the region, with MAP between 159 mm and 550 mm. Frost is present between 3 and 44 days per year. The mean monthly maximum is 30.56 °C in January and the mean monthly minimum is 3.74 °C in July. Altitude ranges from 108 - 1467 masl."/>
    <m/>
    <x v="432"/>
    <n v="5544.77"/>
    <n v="5523.9787999999999"/>
    <s v="MP"/>
    <x v="1"/>
    <x v="3"/>
    <s v="VU↔VU"/>
    <s v="D3_step; D3_inv"/>
    <s v="Unchanged"/>
  </r>
  <r>
    <s v="Terrestrial"/>
    <s v="AT50"/>
    <s v="Sundays Mesic Thicket"/>
    <s v="Albany Thicket"/>
    <x v="9"/>
    <s v="T1"/>
    <s v="T1.2"/>
    <s v="This vegetation type occurs in the Eastern Cape Province. Most extensive at the southern foot of the Zuurberg Mountains from Skurweberg near Kirkwood in the west to Nuweposkop near Paterson in the east. Smaller areas occur along the south-eastern slopes of the Groot Winterhoek and Elandsberg Mountains around Uitenhage, in incised valleys around Addo Heights, and in the lower reaches of river valleys and adjacent coastal forelands from the Gamtoos River south-eastward to Krom River Mouth."/>
    <s v="Eastern Cape"/>
    <s v="Endemic to South Africa"/>
    <s v="South Africa"/>
    <m/>
    <s v="Non-seasonal rainfall dominates the region, with MAP between 285 mm and 688 mm. Frost is present between 0 and 7 days per year. The mean monthly maximum is 28.22 °C in February and the mean monthly minimum is 6.45 °C in July. Altitude ranges from 3 - 735 masl. "/>
    <m/>
    <x v="433"/>
    <n v="518.71"/>
    <n v="515.2944"/>
    <s v="WP"/>
    <x v="0"/>
    <x v="0"/>
    <s v="LC↔LC"/>
    <m/>
    <s v="Unchanged"/>
  </r>
  <r>
    <s v="Terrestrial"/>
    <s v="AT51"/>
    <s v="Sundays Valley Thicket"/>
    <s v="Albany Thicket"/>
    <x v="9"/>
    <s v="T1"/>
    <s v="T1.2"/>
    <s v="This vegetation type occurs in the Eastern Cape Province. Primarily in the lower Sundays River Valley, from near Kleinpoort in the west toward Paterson and Colchester in the east. Also centered around Uitenhage in the lower Coega and Swartkops River Valleys, and in the middle reaches of the Gamtoos River Valley and some smaller rivers to the west (e.g. Kabeljous River) south of the Baviaanskloof Mountains."/>
    <s v="Eastern Cape"/>
    <s v="Endemic to South Africa"/>
    <s v="South Africa"/>
    <m/>
    <s v="Non-seasonal rainfall dominates the region, with MAP between 210 mm and 631 mm. Frost is present between 2 and 13 days per year. The mean monthly maximum is 28.09 °C in February and the mean monthly minimum is 6.23 °C in July. Altitude ranges from 2 - 673 masl."/>
    <m/>
    <x v="434"/>
    <n v="1707.25"/>
    <n v="1693.5876000000001"/>
    <s v="MP"/>
    <x v="0"/>
    <x v="0"/>
    <s v="LC↔LC"/>
    <m/>
    <s v="Unchanged"/>
  </r>
  <r>
    <s v="Terrestrial"/>
    <s v="AT52"/>
    <s v="Thorndale Forest Thicket"/>
    <s v="Albany Thicket"/>
    <x v="9"/>
    <s v="T1"/>
    <s v="T1.2"/>
    <s v="This vegetation type occurs in the Eastern Cape Province. Restricted to a single patch west of Alexandria, stretching between Nanaga in the east and Maurice Hill in the west."/>
    <s v="Eastern Cape"/>
    <s v="Endemic to South Africa"/>
    <s v="South Africa"/>
    <m/>
    <s v="Non-seasonal rainfall dominates the region, with MAP between 484 mm and 576 mm. Frost is present between 2 and 13 days per year. The mean monthly maximum is 27.07 °C in February and the mean monthly minimum is 7.29 °C in July. Altitude ranges from 184 - 408 masl."/>
    <m/>
    <x v="435"/>
    <n v="30.38"/>
    <n v="30.225200000000001"/>
    <s v="PP"/>
    <x v="0"/>
    <x v="0"/>
    <s v="LC↔LC"/>
    <m/>
    <s v="Unchanged"/>
  </r>
  <r>
    <s v="Terrestrial"/>
    <s v="AT53"/>
    <s v="Umtiza Forest Thicket"/>
    <s v="Albany Thicket"/>
    <x v="9"/>
    <s v="T1"/>
    <s v="T1.2"/>
    <s v="This vegetation type occurs in the Eastern Cape Province. Restricted to the lower reaches of the Buffalo River Valley, within 12 km of the coast."/>
    <s v="Eastern Cape"/>
    <s v="Endemic to South Africa"/>
    <s v="South Africa"/>
    <m/>
    <s v="Non-seasonal rainfall dominates the region, with MAP between 728 mm and 775 mm. The mean monthly maximum is 26.00 °C in February and the mean monthly minimum is 9.13 °C in July. Altitude ranges from 6 - 208 masl."/>
    <m/>
    <x v="436"/>
    <n v="16.87"/>
    <n v="16.5488"/>
    <s v="WP"/>
    <x v="2"/>
    <x v="2"/>
    <s v="CR↔CR"/>
    <s v="B1i_rod"/>
    <s v="Unchanged"/>
  </r>
  <r>
    <s v="Terrestrial"/>
    <s v="AT54"/>
    <s v="Vanstadens Forest Thicket"/>
    <s v="Albany Thicket"/>
    <x v="9"/>
    <s v="T1"/>
    <s v="T1.2"/>
    <s v="This vegetation type occurs in the Eastern Cape Province. Mainly in valleys of the Elandsberg and Van Stadensberg mountains between Patensie and Uitenhage, and in valleys of the Zuurberg mountains northeast of Kirkwood. Small patches also occur along the Van Stadens River gorge just inland of St Francis Bay."/>
    <s v="Eastern Cape"/>
    <s v="Endemic to South Africa"/>
    <s v="South Africa"/>
    <m/>
    <s v="Non-seasonal rainfall dominates the region, with MAP between 453 mm and 759 mm. Frost is present between 2 and 7 days per year. The mean monthly maximum is 27.53 °C in February and the mean monthly minimum is 5.65 °C in July. Altitude ranges from 13 - 785 masl."/>
    <m/>
    <x v="437"/>
    <n v="184.98"/>
    <n v="184.93879999999999"/>
    <s v="WP"/>
    <x v="0"/>
    <x v="0"/>
    <s v="LC↔LC"/>
    <m/>
    <s v="Unchanged"/>
  </r>
  <r>
    <s v="Terrestrial"/>
    <s v="AT55"/>
    <s v="Western Gwarrieveld"/>
    <s v="Albany Thicket"/>
    <x v="9"/>
    <s v="T1"/>
    <s v="T1.2"/>
    <s v="This vegetation type occurs in the Western Cape Province in the region of the western Little Karoo basin covering the northern, western and southern piedmonts of the Rooiberg Mountains roughly from Ladismith to Vanwyksdorp, as well as the area north of the confluence of the Groot and Gouritz Rivers."/>
    <s v="Western Cape"/>
    <s v="Endemic to South Africa"/>
    <s v="South Africa"/>
    <s v="Low hilly landscapes"/>
    <s v="Non-seasonal rainfall dominates the region, with MAP between 160 mm and 430 mm. Frost is present between 3 and 22 days per year. The mean monthly maximum is 30.61 °C in January and the mean monthly minimum is 4.54 °C in July. Altitude ranges from 62 - 812 masl."/>
    <m/>
    <x v="438"/>
    <n v="743.78"/>
    <n v="741.60040000000004"/>
    <s v="PP"/>
    <x v="0"/>
    <x v="0"/>
    <s v="LC↔LC"/>
    <m/>
    <s v="Unchanged"/>
  </r>
  <r>
    <s v="Terrestrial"/>
    <s v="AT56"/>
    <s v="Hamburg Dune Thicket"/>
    <s v="Albany Thicket"/>
    <x v="9"/>
    <s v="T1"/>
    <s v="T1.2"/>
    <s v="This vegetation type occurs in the Eastern Cape Province. Coastal stretches from the Fish River Mouth to just east of Kei Mouth."/>
    <s v="Eastern Cape"/>
    <s v="Endemic to South Africa"/>
    <s v="South Africa"/>
    <m/>
    <s v="Non-seasonal rainfall dominates the region, with MAP between 524 mm and 951 mm. The mean monthly maximum is 25.94 °C in February and the mean monthly minimum is 9.39 °C in July. Altitude ranges from 1 - 260 masl."/>
    <m/>
    <x v="439"/>
    <n v="471.61"/>
    <n v="466.13560000000001"/>
    <s v="PP"/>
    <x v="0"/>
    <x v="0"/>
    <s v="LC↔LC"/>
    <m/>
    <s v="Unchanged"/>
  </r>
  <r>
    <s v="Terrestrial"/>
    <s v="AT57"/>
    <s v="St Francis Dune Thicket"/>
    <s v="Albany Thicket"/>
    <x v="9"/>
    <s v="MT2"/>
    <s v="MT2.1"/>
    <s v="This vegetation type occurs in the Eastern Cape Province. In coastal stretches from near the Tsitsikamma River Mouth (west of Oyster Bay) eastward to the Sundays River Mouth."/>
    <s v="Eastern Cape"/>
    <s v="Endemic to South Africa"/>
    <s v="South Africa"/>
    <m/>
    <s v="Non-seasonal rainfall dominates the region, with MAP between 397 mm and 868 mm. Frost is present for approximately 3 days per year. The mean monthly maximum is 25.21 °C in February and the mean monthly minimum is 8.31 °C in July. Altitude ranges from 0 - 221 masl."/>
    <m/>
    <x v="440"/>
    <n v="223.28"/>
    <n v="105.4696"/>
    <s v="PP"/>
    <x v="0"/>
    <x v="1"/>
    <s v="LC → EN"/>
    <s v="B1iii_sp, B2iii_sp"/>
    <s v="Uplisted"/>
  </r>
  <r>
    <s v="Terrestrial"/>
    <s v="AT58"/>
    <s v="Willowmore Gwarrieveld"/>
    <s v="Albany Thicket"/>
    <x v="9"/>
    <s v="T1"/>
    <s v="T1.2"/>
    <s v="This vegetation type occurs in the Eastern Cape and Western Cape Provinces. Broad valley between the Droëkloofberge (near Klaarstroom) and Groot Swartberg Mountains and continuing as broad band from Willowmore, along the northern piedmonts of the Baviaanskloof Mountains as far east as Kleinpoort (south of Klein Winterhoek Mountains). A smaller area of this unit also occurs south of the Groot Swartberg, in the valley of the Eastern Little Karoo between Dysselsdorp in the west and the N9 road in the east"/>
    <s v="Eastern Cape, Western Cape"/>
    <s v="Endemic to South Africa"/>
    <s v="South Africa"/>
    <s v="Slightly undulating landscape composed of extensive flats and a series of low hills"/>
    <s v="Non-seasonal rainfall dominates the region, with MAP between 127 mm and 361 mm and optimal rainfall months in March, October and November. Frost is present between 7 and 42 days per year. The mean monthly maximum is 30.21 °C in January and the mean monthly minimum is 2.91 °C in July. Altitude ranges from 290 - 1208 masl."/>
    <m/>
    <x v="441"/>
    <n v="2226.12"/>
    <n v="2221.2528000000002"/>
    <s v="NP"/>
    <x v="0"/>
    <x v="0"/>
    <s v="LC↔LC"/>
    <m/>
    <s v="Unchanged"/>
  </r>
  <r>
    <s v="Terrestrial"/>
    <s v="SVs8"/>
    <s v="South Eastern Coastal Thornveld"/>
    <s v="Sub-Escarpment Savanna Bioregion"/>
    <x v="1"/>
    <s v="T4"/>
    <s v="T4.2"/>
    <s v="This vegetation type occurs in the Eastern Cape Province, along the southeastern seaboard of the Eastern Cape, from the Gamtoos River in the west to the Kei River in the east, typically within 15 - 20 km of the coast (up to 35 km in some areas)."/>
    <s v="Eastern Cape"/>
    <s v="Endemic to South Africa"/>
    <s v="South Africa"/>
    <m/>
    <s v="Non-seasonal rainfall dominates the region, with MAP between 485 mm and 1118 mm. Frost is present approximately 3 days per year. The mean monthly maximum is 26.20 °C in February and the mean monthly minimum is 8.34 °C in July. Altitude ranges from 0 – 541 masl."/>
    <m/>
    <x v="442"/>
    <n v="919.79"/>
    <n v="848.74959999999999"/>
    <s v="PP"/>
    <x v="0"/>
    <x v="1"/>
    <s v="LC → EN"/>
    <s v="B1i_rod"/>
    <s v="Uplisted"/>
  </r>
  <r>
    <s v="Terrestrial"/>
    <s v="SKn7"/>
    <s v="Southern Namaqualand Quartzite Klipkoppe Shrubland"/>
    <s v="Namaqualand Hardeveld Bioregion"/>
    <x v="3"/>
    <s v="T5"/>
    <s v="T5.2"/>
    <s v="This vegetation type occurs in the Western Cape Province on quartzite hills between the Knersvlakte and the southern Kamiesberg foothills. Centred around the towns of Nuwerus and Bitterfontein."/>
    <s v="Northern Cape, Western Cape"/>
    <m/>
    <s v="South Africa"/>
    <m/>
    <s v="Strongly winter rainfall, 150 - 200 mm (possibly 250 mm on peaks). Typically no frost days. Frequent heavy dew especially in winter. Temperatures strongly moderated by persistent coastal breeze especially in the afternoons (mean annual temperatures 11 - 25 °C). Hottest maximum temperatures (&gt; 35 °C) occur in autumn or winter associated with berg winds. Altitude ranges from 69 – 880 masl."/>
    <m/>
    <x v="443"/>
    <n v="909.58"/>
    <n v="907.98479999999995"/>
    <s v="PP"/>
    <x v="0"/>
    <x v="0"/>
    <s v="LC↔LC"/>
    <m/>
    <s v="Unchanged"/>
  </r>
  <r>
    <s v="Terrestrial"/>
    <s v="SKs14"/>
    <s v="Namaqualand Heuweltjie Strandveld"/>
    <s v="Namaqualand Hardeveld Bioregion"/>
    <x v="3"/>
    <s v="T5"/>
    <s v="T5.2"/>
    <s v="Western Cape and Northern Cape Provinces: Patchily distributed throughout the entire length of the west coast Sandveld coastal plain between the Olifants River (Strandfontein) and the Orange River (Alexander Bay). North of Kleinzee this vegetation type is called Richtersveld Sandy Coastal Scorpionstailveld. This vegetation type has the same latitudinal distribution as the coastal and inland Strandveld vegetation types. It usually occurs on the margins of Strandveld such as along the coast, the sides of river valleys or the ecotone between Strandveld and Succulent Karoo Heuweltjieveld proper. At Strandfontein this vegetation type occurs on top of the coastal cliff that is being undercut by the sea exposing the fossilised termitaria that lie in the centre of each heuweltjie structure. The best examples of this vegetation occur at the mouth of the Olifants River between Strandfontein and Weskusmynbou; at the mouths of the Bitter and Spoeg Rivers; and, between Hondeklip Bay and Kleinzee."/>
    <s v="Northern Cape, Western Cape"/>
    <s v="Endemic to South Africa"/>
    <s v="South Africa"/>
    <m/>
    <s v="Strongly winter rainfall, with MAP 100 - 150 mm decreasing towards the north. Typically no frost days. Occasional fog, but frequent heavy dew especially in winter. Temperatures strongly moderated by persistent coastal breeze (mean annual temperatures 12 - 22 °C). Hottest maximum temperatures (&gt;35 °C) in autumn or winter associated with berg winds. Altitude ranges from 1 – 344 masl."/>
    <m/>
    <x v="444"/>
    <n v="647.07000000000005"/>
    <n v="643.88840000000005"/>
    <s v="PP"/>
    <x v="0"/>
    <x v="0"/>
    <s v="LC↔LC"/>
    <m/>
    <s v="Unchanged"/>
  </r>
  <r>
    <s v="Terrestrial"/>
    <s v="AZa3"/>
    <s v="Lower Gariep Alluvial Vegetation"/>
    <s v="Alluvial Vegetation"/>
    <x v="5"/>
    <s v="T5"/>
    <s v="T5.2"/>
    <s v="Northern Cape Province: Broad alluvium (floodplains and islands) of the Orange (Gariep) River between Groblershoop and the mouth into the Atlantic Ocean at Oranjemund (Namibia). This river stretch is embedded within Desert (Oranjemund to roughly Pofadder) and Nama-Karoo (further upstream as far as Groblershoop). "/>
    <s v="Northern Cape"/>
    <s v="Namibia"/>
    <s v="South Africa"/>
    <s v="Flat alluvial terraces and riverine islands"/>
    <s v="Region with very arid (desert) to subarid (semidesert) climate and erratic, unimodal (winter-rainfall) regime in the extreme west (near the Orange River mouth) to bimodal, equinoctial with major peak in March and less pronounced peak in November in the extreme east (near Upington). MAP 40–150 mm and MAT between 15.4°C (Alexander Bay) and 20.5°C (Upington). See also climate diagram for AZa 3 Lower Gariep Alluvial Vegetation (Figure 13.2)."/>
    <s v="Recent alluvial deposits of the Orange River supporting soil forms such as Dundee and Oakleaf. The river cuts through a great variety of Precambrian metamorphic rocks. Ia land type. Subject to floods, especially in summer, caused by high precipitation on the highveld."/>
    <x v="445"/>
    <n v="546.16"/>
    <n v="530.94880000000001"/>
    <s v="PP"/>
    <x v="0"/>
    <x v="0"/>
    <s v="LC↔LC"/>
    <m/>
    <s v="Unchanged"/>
  </r>
  <r>
    <s v="Terrestrial"/>
    <s v="FFb3"/>
    <s v="Central Inland Shale Band Vegetation"/>
    <s v="Western Fynbos-Renosterveld Bioregion"/>
    <x v="4"/>
    <s v="T3"/>
    <s v="T3.2"/>
    <s v="Western Cape Province: Shale bands of the Klein and Groot Swartberge, Touwsberg, Sandberg, Rooiberg, Gamkaberg and Kammanassie. See also Figure 4.78 featuring the simplified distribution of this unit."/>
    <s v="Western Cape"/>
    <s v="Endemic to South Africa"/>
    <s v="South Africa"/>
    <s v="A narrow 80–200 m (wider in places), linear, smooth and flat feature of high-altitude slopes or mountain ridges"/>
    <s v="MAP 140–980 mm (mean: 460 mm), relatively even with a bimodal peak in March and November and a low in December–January. Mean daily maximum and minimum temperatures 28.2°C and 1.7°C for January and July, respectively. Frost incidence 10–40 days per year. See also climate diagram for FFb 3 Central Inland Shale Band Vegetation (Figure 4.77)."/>
    <s v="Clays derived from shale of the Cedarberg Formation. Land types mainly Ic and Ib."/>
    <x v="446"/>
    <n v="97.79"/>
    <n v="97.722800000000007"/>
    <s v="WP"/>
    <x v="0"/>
    <x v="0"/>
    <s v="LC↔LC"/>
    <m/>
    <s v="Unchanged"/>
  </r>
  <r>
    <s v="Terrestrial"/>
    <s v="Gd5"/>
    <s v="Northern Drakensberg Highland Grassland"/>
    <s v="Drakensberg Grassland Bioregion"/>
    <x v="0"/>
    <s v="T4"/>
    <s v="T4.5"/>
    <s v="KwaZulu-Natal and Free State Provinces: Northeastern and eastern slopes of valleys and buttresses of the Drakensberg in KwaZulu-Natal where most of the region is locally known as Little Berg, from Giant’s Castle to slopes in any direction in the surrounds of Clarens in the Free State. "/>
    <s v="KwaZulu-Natal, Free State"/>
    <s v="Endemic to ZA, Ls, Sz"/>
    <s v="South Africa"/>
    <s v="Mountainous region characterised by steep slopes of broad valleys"/>
    <s v="Summer-rainfall region, with MAP broadly ranging from 720–1 630 mm (overall average MAP 1 017 mm). Snowfalls are occasional and last several days. Summer mists frequent. Hot dry winds frequent from July to October. Summers warm and winters cold, with frequent considerably severe frost events. Overall regional MAT 13.4°C. See also climate diagram for Gd 5 Northern Drakensberg Highland Grassland (Figure 8.11)."/>
    <s v="Mudstone and sandstone of the Elliot Formation and sandstone of the Clarens Formation (Stormberg Group, Karoo Supergroup) supporting soils typical of the Fc land type (dominant) as well as Ac and Bb land types (of lesser importance)."/>
    <x v="447"/>
    <n v="1117.53"/>
    <n v="1116.0640000000001"/>
    <s v="WP"/>
    <x v="0"/>
    <x v="0"/>
    <s v="LC↔LC"/>
    <m/>
    <s v="Unchanged"/>
  </r>
  <r>
    <s v="Terrestrial"/>
    <s v="Gh13"/>
    <s v="Klerksdorp Thornveld"/>
    <s v="Dry Highveld Grassland Bioregion"/>
    <x v="0"/>
    <s v="T4"/>
    <s v="T4.5"/>
    <s v="North-West Province: In two sets of patches, one in the Wolmaransstad, Ottosdal and Hartbeesfontein region, and the other from the Botsolano Game Park north of Mafikeng to the vicinity of Madibogo in the south. "/>
    <s v="North West"/>
    <s v="Botswana"/>
    <s v="South Africa"/>
    <s v="Plains or slightly irregular undulating plains"/>
    <s v="Warm-temperate, summer-rainfall region, with overall MAP of 533 mm. Summer temperatures are high. Frequent frosts occur in winter. See also climate diagram for Gh 13 Klerksdorp Thornveld (Figure 8.23)."/>
    <s v="Shale, slate and quartzite of the Pretoria Group with interlaid diabase sills and Hekpoort lava supporting relatively shallow and rocky soils (Glenrosa and Mispah forms), typical of the Fb land type. Equally represented are eutrophic red plinthic soils (Hutton form), derived mainly from a thick succession of volcanics and sediments of the Ventersdorp Supergroup (Bc land type). Bd and Ae of minor occurrence."/>
    <x v="448"/>
    <n v="2234.66"/>
    <n v="2123.8560000000002"/>
    <s v="PP"/>
    <x v="0"/>
    <x v="0"/>
    <s v="LC↔LC"/>
    <m/>
    <s v="Unchanged"/>
  </r>
  <r>
    <s v="Terrestrial"/>
    <s v="Gm12"/>
    <s v="Eastern Highveld Grassland"/>
    <s v="Mesic Highveld Grassland Bioregion"/>
    <x v="0"/>
    <s v="T4"/>
    <s v="T4.5"/>
    <s v="Mpumalanga and Gauteng Provinces: Plains between Belfast in the east and the eastern side of Johannesburg in the west and extending southwards to Bethal, Ermelo and west of Piet Retief. "/>
    <s v="Mpumalanga, Gauteng"/>
    <s v="Endemic to South Africa"/>
    <s v="South Africa"/>
    <s v="Slightly to moderately undulating plains, including some low hills and pan depressions. "/>
    <s v="Strongly seasonal summer rainfall, with very dry winters. MAP 650–900 mm (overall average: 726 mm), MAP relatively uniform across most of this unit, but increases significantly in the extreme southeast. The coefficient of variation in MAP is 25% across most of the unit, but drops to 21% in the east and southeast. Incidence of frost from 13–42 days, but higher at higher elevations. See also climate diagram for Gm 12 Eastern Highveld Grassland (Figure 8.36)."/>
    <s v="Red to yellow sandy soils of the Ba and Bb land types found on shales and sandstones of the Madzaringwe Formation (Karoo Supergroup). Land types Bb (65%) and Ba (30%)."/>
    <x v="449"/>
    <n v="3888.45"/>
    <n v="3707.5023999999999"/>
    <s v="PP"/>
    <x v="3"/>
    <x v="1"/>
    <s v="EN↔EN"/>
    <s v="A3_nat"/>
    <s v="Unchanged"/>
  </r>
  <r>
    <s v="Terrestrial"/>
    <s v="Gm27"/>
    <s v="Strydpoort Summit Sourveld"/>
    <s v="Mesic Highveld Grassland Bioregion"/>
    <x v="0"/>
    <s v="T4"/>
    <s v="T4.5"/>
    <s v="Limpopo Province: A series of isolated patches in high-lying areas of the Strydpoortberge, from Bewaarkloof in the east as far as the mountains just above Mokopane (Potgietersrus) in the west. "/>
    <s v="Limpopo"/>
    <s v="Endemic to South Africa"/>
    <s v="South Africa"/>
    <s v="The landscape has a very broken topography with deeply incised valleys. The slopes are steep and rocky, and sparsely wooded.rocky summits and mountain slopes. "/>
    <s v=" Strongly seasonal, with precipitation in summer. Rainfall 530–870 mm (MAP 686 mm). Frost infrequent. See also climate diagram for Gm 27 Strydpoort Summit Sourveld (Figure 8.36)."/>
    <s v="Acidic sandy soil derived from sandstone, quartzite and shale of the Wolkberg Group and the Black Reef Formation as well as the Pretoria Group in the westernmost parts. In the eastern half of this area a large part is underlain by the Penge Banded Iron Formation of the Chuniespoort Group. All of the above form part of the Transvaal Supergroup. Dominant land type Ib."/>
    <x v="450"/>
    <n v="261.77"/>
    <n v="261.13119999999998"/>
    <s v="WP"/>
    <x v="0"/>
    <x v="0"/>
    <s v="LC↔LC"/>
    <m/>
    <s v="Unchanged"/>
  </r>
  <r>
    <s v="Terrestrial"/>
    <s v="SVk1"/>
    <s v="Mafikeng Bushveld"/>
    <s v="Eastern Kalahari Bushveld Bioregion"/>
    <x v="1"/>
    <s v="T4"/>
    <s v="T4.2"/>
    <s v="North-West Province: West of Mafikeng and south of the Botswana border westwards to around Vergeleë, southwards to Piet Plessis and Setlagole. "/>
    <s v="North West"/>
    <s v="Botswana"/>
    <s v="South Africa"/>
    <m/>
    <s v="Summer rainfall with very dry winters. MAP from about 350 mm in the west to about 520 mm in the east. Frost frequent in winter. Mean monthly maximum and minimum temperatures for Mmabatho 35.6°C and –1.8°C for November and June, respectively. See also climate diagram for SVk 1 Mafikeng Bushveld."/>
    <s v="Aeolian Kalahari sand of Tertiary to Recent age on flat sandy plains, soils deep (&gt;1.2 m). Clovelly and Hutton soil forms. Land types Ah, Ai and Ae."/>
    <x v="451"/>
    <n v="8880.42"/>
    <n v="12001.8192"/>
    <s v="NP"/>
    <x v="0"/>
    <x v="0"/>
    <s v="LC↔LC"/>
    <m/>
    <s v="Unchanged"/>
  </r>
  <r>
    <s v="Terrestrial"/>
    <s v="SVl4"/>
    <s v="Delagoa Lowveld"/>
    <s v="Lowveld Bioregion"/>
    <x v="1"/>
    <s v="T4"/>
    <s v="T4.2"/>
    <s v=" Mpumalanga Province, Swaziland and marginally into KwaZulu-Natal Province: A narrow strip on plains immediately east of the SVl 3 Granite Lowveld from the Nsemani River west of Satara in the Kruger National Park southwards to immediately west of Lower Sabie Camp to the Pomba Guard Post west of Crocodile Bridge Camp to the Strydom Block in the south. Also a band in Swaziland from Mhlume in the north to Onverwacht Border Post in the south, extending marginally into KwaZulu-Natal at Pongola. "/>
    <s v="KwaZulu-Natal, Mpumalanga"/>
    <s v="Endemic to ZA, Ls, Sz"/>
    <s v="South Africa"/>
    <m/>
    <s v="Summer rainfall with dry winters. MAP about 450–850 mm. Generally a frost-free region. See also climate diagram for SVl 4 Delagoa Lowveld."/>
    <s v="Karoo Supergroup shale and lesser sandstone layers are punctuated by sheets and dykes of Jurassic dolerite. Soils (Sterkspruit, Swartland and Estcourt soil forms) are rich in sodium and very susceptible to erosion. Land types include Dc and Ea."/>
    <x v="452"/>
    <n v="1971.36"/>
    <n v="1968.0604000000001"/>
    <s v="WP"/>
    <x v="0"/>
    <x v="0"/>
    <s v="LC↔LC"/>
    <m/>
    <s v="Unchanged"/>
  </r>
  <r>
    <s v="Terrestrial"/>
    <s v="SVl7"/>
    <s v="Gravelotte Rocky Bushveld"/>
    <s v="Lowveld Bioregion"/>
    <x v="1"/>
    <s v="T4"/>
    <s v="T4.2"/>
    <s v="Limpopo Province: The Murchison Range in the Gravelotte area including surrounding mountains and hills including Ga-Mashishimale north of Mica and Seribana, and extending northwards towards Thohoyandou as isolated hills including Mangombe and Sionwe. "/>
    <s v="Limpopo"/>
    <s v="Endemic to South Africa"/>
    <s v="South Africa"/>
    <s v="rocky slopes and inselbergs, contrasting strongly with the surrounding plains."/>
    <s v="Summer rainfall with dry winters. MAP about 500 mm in the east to about 900 mm in the west, with the higher rainfall on the higher mountains. Frost very infrequent. See also climate diagram for SVl 7 Gravelotte Rocky Bushveld."/>
    <s v="The varied geology is largely composed of schist and amphibolite of the Gravelotte and Giyani Groups, with a few quartzitic and granitic hills. Miscellaneous, often shallow, soils with Glenrosa and Mispah forms common. Land types mainly Ib, Fa, Ae and Fb."/>
    <x v="453"/>
    <n v="287.8"/>
    <n v="286.21600000000001"/>
    <s v="MP"/>
    <x v="0"/>
    <x v="0"/>
    <s v="LC↔LC"/>
    <m/>
    <s v="Unchanged"/>
  </r>
  <r>
    <s v="Terrestrial"/>
    <s v="AT15"/>
    <s v="Albany Arid Thicket"/>
    <s v="Albany Thicket"/>
    <x v="9"/>
    <s v="T1"/>
    <s v="T1.2"/>
    <s v="This vegetation type occurs in the Eastern Cape Province. The type is restricted to a single north-facing slope northeast of Grahamstown."/>
    <s v="Eastern Cape"/>
    <s v="Endemic to South Africa"/>
    <s v="South Africa"/>
    <m/>
    <s v="Non-seasonal rainfall dominates the region with MAP between 475 mm and 527 mm. Frost is present for approximately 2 to 3 days per year higher up on the escarpment slopes where snow may occur in winter. The mean monthly maximum (based on Graaf-Reinet) is 27 °C in February and the mean monthly minimum is 6 °C in July. Altitude ranges from 254 - 521 masl. "/>
    <m/>
    <x v="454"/>
    <n v="14.6"/>
    <n v="14.577199999999999"/>
    <s v="PP"/>
    <x v="0"/>
    <x v="0"/>
    <s v="LC↔LC"/>
    <m/>
    <s v="Unchanged"/>
  </r>
  <r>
    <s v="Terrestrial"/>
    <s v="FS10"/>
    <s v="Southwestern Strandveld"/>
    <s v="South Strandveld Bioregion"/>
    <x v="4"/>
    <s v="T3"/>
    <s v="T3.2"/>
    <m/>
    <m/>
    <s v="Endemic to South Africa"/>
    <m/>
    <m/>
    <m/>
    <m/>
    <x v="455"/>
    <m/>
    <n v="305.58640000000003"/>
    <s v="MP"/>
    <x v="4"/>
    <x v="1"/>
    <s v="Not Evaluated → EN"/>
    <s v="B1i_inv"/>
    <s v="New types"/>
  </r>
  <r>
    <s v="Terrestrial"/>
    <s v="FS11"/>
    <s v="Grootbos Strandveld"/>
    <s v="South Strandveld Bioregion"/>
    <x v="4"/>
    <s v="T3"/>
    <s v="T3.2"/>
    <m/>
    <m/>
    <s v="Endemic to South Africa"/>
    <m/>
    <m/>
    <m/>
    <m/>
    <x v="456"/>
    <m/>
    <n v="39.436"/>
    <s v="PP"/>
    <x v="4"/>
    <x v="2"/>
    <s v="Not Evaluated → CR"/>
    <s v="B1i_inv"/>
    <s v="New types"/>
  </r>
  <r>
    <s v="Terrestrial"/>
    <s v="FS12"/>
    <s v="Southeastern Strandveld"/>
    <s v="South Strandveld Bioregion"/>
    <x v="4"/>
    <s v="T3"/>
    <s v="T3.2"/>
    <m/>
    <m/>
    <s v="Endemic to South Africa"/>
    <m/>
    <m/>
    <m/>
    <m/>
    <x v="457"/>
    <m/>
    <n v="91.066000000000003"/>
    <s v="PP"/>
    <x v="4"/>
    <x v="1"/>
    <s v="Not Evaluated → EN"/>
    <s v="B1i_inv, B2i_inv"/>
    <s v="New types"/>
  </r>
  <r>
    <s v="Terrestrial"/>
    <s v="FS13"/>
    <s v="Goukamma Strandveld"/>
    <s v="South Strandveld Bioregion"/>
    <x v="4"/>
    <s v="T3"/>
    <s v="T3.2"/>
    <m/>
    <m/>
    <s v="Endemic to South Africa"/>
    <m/>
    <m/>
    <m/>
    <m/>
    <x v="458"/>
    <m/>
    <n v="35.177999999999997"/>
    <s v="WP"/>
    <x v="4"/>
    <x v="0"/>
    <s v="Not Evaluated → LC"/>
    <m/>
    <s v="New types"/>
  </r>
  <r>
    <s v="Terrestrial"/>
    <s v="FS14"/>
    <s v="St Franscis Strandveld"/>
    <s v="South Strandveld Bioregion"/>
    <x v="4"/>
    <s v="T3"/>
    <s v="T3.2"/>
    <m/>
    <m/>
    <s v="Endemic to South Africa"/>
    <m/>
    <m/>
    <m/>
    <m/>
    <x v="459"/>
    <m/>
    <n v="84.936800000000005"/>
    <s v="PP"/>
    <x v="4"/>
    <x v="2"/>
    <s v="Not Evaluated → CR"/>
    <s v="B1i_inv"/>
    <s v="New types"/>
  </r>
  <r>
    <s v="Terrestrial"/>
    <s v="SVcb29"/>
    <s v="Central Sandy Mountain Bushveld"/>
    <s v="Central Bushveld Bioregion"/>
    <x v="1"/>
    <s v="T4"/>
    <s v="T4.2"/>
    <m/>
    <m/>
    <s v="Endemic to South Africa"/>
    <m/>
    <m/>
    <m/>
    <m/>
    <x v="460"/>
    <m/>
    <n v="373.6336"/>
    <s v="WP"/>
    <x v="4"/>
    <x v="0"/>
    <s v="Not Evaluated → LC"/>
    <m/>
    <s v="New types"/>
  </r>
  <r>
    <s v="Terrestrial"/>
    <s v="SVk17"/>
    <s v="Vryburg Thornveld"/>
    <s v="Eastern Kalahari Bushveld Bioregion"/>
    <x v="1"/>
    <s v="T4"/>
    <s v="T4.1"/>
    <m/>
    <m/>
    <s v="Endemic to South Africa"/>
    <m/>
    <m/>
    <m/>
    <m/>
    <x v="461"/>
    <m/>
    <n v="3751.6592000000001"/>
    <s v="NP"/>
    <x v="4"/>
    <x v="0"/>
    <s v="Not Evaluated → LC"/>
    <m/>
    <s v="New types"/>
  </r>
  <r>
    <s v="Terrestrial"/>
    <s v="SVk18"/>
    <s v="Morokweng Thornveld"/>
    <s v="Eastern Kalahari Bushveld Bioregion"/>
    <x v="1"/>
    <s v="T4"/>
    <s v="T4.1"/>
    <m/>
    <m/>
    <s v="Endemic to South Africa"/>
    <m/>
    <m/>
    <m/>
    <m/>
    <x v="462"/>
    <m/>
    <n v="953.04240000000004"/>
    <s v="NP"/>
    <x v="4"/>
    <x v="0"/>
    <s v="Not Evaluated → LC"/>
    <m/>
    <s v="New type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3">
  <r>
    <s v="AT15"/>
    <s v="LC"/>
    <n v="0"/>
    <s v="LC"/>
    <n v="0"/>
    <s v="LC"/>
    <s v="LC"/>
    <n v="0"/>
    <s v="LC"/>
    <n v="0"/>
    <n v="2.8185635480418299E-2"/>
    <s v="LC"/>
    <m/>
    <s v="A3_nat, A2b, B1i_rod, B1i_inv, B1iii_sp, B2i_rod, B2i_inv, B2iii_sp, D3_step; D3_inv"/>
    <n v="14.6008"/>
    <n v="14.5748"/>
    <n v="0.998219275656128"/>
    <n v="2.5708174513945099E-3"/>
    <n v="0"/>
    <s v="RLE not adjusted"/>
    <m/>
  </r>
  <r>
    <s v="AT16"/>
    <s v="LC"/>
    <n v="5"/>
    <s v="LC"/>
    <n v="2"/>
    <s v="LC"/>
    <s v="LC"/>
    <n v="0"/>
    <s v="LC"/>
    <n v="0"/>
    <n v="1.9255425605103502E-2"/>
    <s v="LC"/>
    <m/>
    <s v="A3_nat, A2b, B1i_rod, B1i_inv, B1iii_sp, B2i_rod, B2i_inv, B2iii_sp, D3_step; D3_inv"/>
    <n v="53.769199999999998"/>
    <n v="51.1648"/>
    <n v="0.95156334853410496"/>
    <n v="3.0602390518435999E-2"/>
    <n v="2"/>
    <s v="RLE not adjusted"/>
    <m/>
  </r>
  <r>
    <s v="AT17"/>
    <s v="LC"/>
    <n v="21"/>
    <s v="LC"/>
    <n v="5"/>
    <s v="LC"/>
    <s v="LC"/>
    <n v="0.1"/>
    <s v="LC"/>
    <n v="3"/>
    <n v="8.2557131463050895E-2"/>
    <s v="LC"/>
    <m/>
    <s v="A3_nat, A2b, B1i_rod, B1i_inv, B1iii_sp, B2i_rod, B2i_inv, B2iii_sp, D3_step; D3_inv"/>
    <n v="729.20280000000002"/>
    <n v="576.74"/>
    <n v="0.79091852088335401"/>
    <n v="0.104223443061363"/>
    <n v="5"/>
    <s v="RLE not adjusted"/>
    <m/>
  </r>
  <r>
    <s v="AT18"/>
    <s v="LC"/>
    <n v="12"/>
    <s v="LC"/>
    <n v="3"/>
    <s v="LC"/>
    <s v="LC"/>
    <n v="0.1"/>
    <s v="LC"/>
    <n v="16"/>
    <n v="7.9381051934918206E-2"/>
    <s v="LC"/>
    <m/>
    <s v="A3_nat, A2b, B1i_rod, B1i_inv, B1iii_sp, B2i_rod, B2i_inv, B2iii_sp, D3_step; D3_inv"/>
    <n v="1175.6312"/>
    <n v="1034.7103999999999"/>
    <n v="0.88013179643411998"/>
    <n v="5.44672084756802E-2"/>
    <n v="3"/>
    <s v="RLE not adjusted"/>
    <m/>
  </r>
  <r>
    <s v="AT19"/>
    <s v="LC"/>
    <n v="1"/>
    <s v="LC"/>
    <n v="1"/>
    <s v="LC"/>
    <s v="LC"/>
    <n v="0"/>
    <s v="LC"/>
    <n v="19"/>
    <n v="1.5070636782057801E-2"/>
    <s v="LC"/>
    <m/>
    <s v="A3_nat, A2b, B1i_rod, B1i_inv, B1iii_sp, B2i_rod, B2i_inv, B2iii_sp, D3_step; D3_inv"/>
    <n v="1077.8671999999999"/>
    <n v="1061.8263999999999"/>
    <n v="0.98511801824937295"/>
    <n v="1.30080257737102E-2"/>
    <n v="1"/>
    <s v="RLE not adjusted"/>
    <m/>
  </r>
  <r>
    <s v="AT20"/>
    <s v="LC"/>
    <n v="48"/>
    <s v="LC"/>
    <n v="16"/>
    <s v="LC"/>
    <s v="LC"/>
    <n v="0.3"/>
    <s v="LC"/>
    <n v="17"/>
    <n v="5.2255819534437302E-2"/>
    <s v="LC"/>
    <m/>
    <s v="A3_nat, A3_nmb, A2b, B1i_rod, B1i_inv, B1iii_sp, B2i_rod, B2i_inv, B2iii_sp, D3_nmb; D3_inv"/>
    <n v="35.516399999999997"/>
    <n v="20.0016"/>
    <n v="0.56316518566070894"/>
    <n v="0.31123390654542199"/>
    <n v="16"/>
    <s v="RLE not adjusted"/>
    <m/>
  </r>
  <r>
    <s v="AT21"/>
    <s v="LC"/>
    <n v="20"/>
    <s v="LC"/>
    <n v="5"/>
    <s v="LC"/>
    <s v="LC"/>
    <n v="0.1"/>
    <s v="LC"/>
    <n v="0"/>
    <n v="0.14204805698081899"/>
    <s v="LC"/>
    <m/>
    <s v="A3_nat, A2b, B1i_rod, B1i_inv, B1iii_sp, B2i_rod, B2i_inv, B2iii_sp, D3_step; D3_inv"/>
    <n v="386.30680000000001"/>
    <n v="310.89760000000001"/>
    <n v="0.80479453118609401"/>
    <n v="9.9536474779369694E-2"/>
    <n v="5"/>
    <s v="RLE not adjusted"/>
    <m/>
  </r>
  <r>
    <s v="AT22"/>
    <s v="VU"/>
    <n v="57"/>
    <s v="LC"/>
    <n v="24"/>
    <s v="CR"/>
    <s v="EN"/>
    <n v="0.5"/>
    <s v="LC"/>
    <n v="5"/>
    <n v="9.9167936551915206E-2"/>
    <s v="CR"/>
    <s v="B1i_rod"/>
    <s v="A3_nat, A2b, B1i_rod, B2i_rod, D3_step; D3_inv"/>
    <n v="215.488"/>
    <n v="92.396799999999999"/>
    <n v="0.42877932877932901"/>
    <n v="0.48852878441455999"/>
    <n v="24"/>
    <s v="RLE not adjusted"/>
    <m/>
  </r>
  <r>
    <s v="AT23"/>
    <s v="LC"/>
    <n v="14"/>
    <s v="LC"/>
    <n v="2"/>
    <s v="LC"/>
    <s v="LC"/>
    <n v="0"/>
    <s v="LC"/>
    <n v="0"/>
    <n v="4.4729453898097403E-5"/>
    <s v="LC"/>
    <m/>
    <s v="A3_nat, A2b, B1i_rod, B1i_inv, B1iii_sp, B2i_rod, B2i_inv, B2iii_sp, D3_step; D3_inv"/>
    <n v="311.19279999999998"/>
    <n v="268.27960000000002"/>
    <n v="0.86210092264345495"/>
    <n v="4.8371985661524598E-2"/>
    <n v="2"/>
    <s v="RLE not adjusted"/>
    <m/>
  </r>
  <r>
    <s v="AT24"/>
    <s v="LC"/>
    <n v="13"/>
    <s v="LC"/>
    <n v="2"/>
    <s v="LC"/>
    <s v="LC"/>
    <n v="0"/>
    <s v="LC"/>
    <n v="0"/>
    <n v="4.72955371389826E-3"/>
    <s v="LC"/>
    <m/>
    <s v="A3_nat, A2b, B1i_rod, B1i_inv, B1iii_sp, B2i_rod, B2i_inv, B2iii_sp, D3_step; D3_inv"/>
    <n v="2976.1347999999998"/>
    <n v="2598.0464000000002"/>
    <n v="0.87295992103583497"/>
    <n v="4.00021369937631E-2"/>
    <n v="2"/>
    <s v="RLE not adjusted"/>
    <m/>
  </r>
  <r>
    <s v="AT25"/>
    <s v="LC"/>
    <n v="1"/>
    <s v="LC"/>
    <n v="1"/>
    <s v="LC"/>
    <s v="LC"/>
    <n v="0"/>
    <s v="LC"/>
    <n v="0"/>
    <n v="2.3013242238696299E-3"/>
    <s v="LC"/>
    <m/>
    <s v="A3_nat, A2b, B1i_rod, B1i_inv, B1iii_sp, B2i_rod, B2i_inv, B2iii_sp, D3_step; D3_inv"/>
    <n v="2128.9656"/>
    <n v="2109.2204000000002"/>
    <n v="0.99072544901617998"/>
    <n v="1.1282613822186901E-2"/>
    <n v="1"/>
    <s v="RLE not adjusted"/>
    <m/>
  </r>
  <r>
    <s v="AT26"/>
    <s v="LC"/>
    <n v="25"/>
    <s v="LC"/>
    <n v="11"/>
    <s v="LC"/>
    <s v="LC"/>
    <n v="0.2"/>
    <s v="LC"/>
    <n v="0"/>
    <n v="0.26400212103135201"/>
    <s v="LC"/>
    <m/>
    <s v="A3_nat, A2b, B1i_rod, B1i_inv, B1iii_sp, B2i_rod, B2i_inv, B2iii_sp, D3_step; D3_inv"/>
    <n v="40.482399999999998"/>
    <n v="30.173999999999999"/>
    <n v="0.74536094697942801"/>
    <n v="0.212253805664014"/>
    <n v="11"/>
    <s v="RLE not adjusted"/>
    <m/>
  </r>
  <r>
    <s v="AT27"/>
    <s v="LC"/>
    <n v="1"/>
    <s v="LC"/>
    <n v="0"/>
    <s v="LC"/>
    <s v="LC"/>
    <n v="0"/>
    <s v="LC"/>
    <n v="33"/>
    <n v="5.3289846980989503E-3"/>
    <s v="LC"/>
    <m/>
    <s v="A3_nat, A2b, B1i_rod, B1i_inv, B1iii_sp, B2i_rod, B2i_inv, B2iii_sp, D3_step; D3_inv"/>
    <n v="1239.9792"/>
    <n v="1230.8535999999999"/>
    <n v="0.99264052171197703"/>
    <n v="9.1002183647370307E-3"/>
    <n v="0"/>
    <s v="RLE not adjusted"/>
    <m/>
  </r>
  <r>
    <s v="AT28"/>
    <s v="LC"/>
    <n v="12"/>
    <s v="LC"/>
    <n v="2"/>
    <s v="LC"/>
    <s v="LC"/>
    <n v="0"/>
    <s v="LC"/>
    <n v="19"/>
    <n v="3.95511279056453E-2"/>
    <s v="LC"/>
    <m/>
    <s v="A3_nat, A2b, B1i_rod, B1i_inv, B1iii_sp, B2i_rod, B2i_inv, B2iii_sp, D3_step; D3_inv"/>
    <n v="1030.5103999999999"/>
    <n v="908.23199999999997"/>
    <n v="0.88134190591380701"/>
    <n v="4.0852478597408703E-2"/>
    <n v="2"/>
    <s v="RLE not adjusted"/>
    <m/>
  </r>
  <r>
    <s v="AT29"/>
    <s v="LC"/>
    <n v="2"/>
    <s v="LC"/>
    <n v="1"/>
    <s v="LC"/>
    <s v="LC"/>
    <n v="0"/>
    <s v="LC"/>
    <n v="43"/>
    <n v="8.7597779328590605E-4"/>
    <s v="LC"/>
    <m/>
    <s v="A3_nat, A2b, B1i_rod, B1i_inv, B1iii_sp, B2i_rod, B2i_inv, B2iii_sp, D3_step; D3_inv"/>
    <n v="784.61400000000003"/>
    <n v="768.05600000000004"/>
    <n v="0.97889662942542399"/>
    <n v="1.4943380364326801E-2"/>
    <n v="1"/>
    <s v="RLE not adjusted"/>
    <m/>
  </r>
  <r>
    <s v="AT30"/>
    <s v="LC"/>
    <n v="7"/>
    <s v="LC"/>
    <n v="2"/>
    <s v="LC"/>
    <s v="LC"/>
    <n v="0"/>
    <s v="LC"/>
    <n v="12"/>
    <n v="5.3859941125071501E-3"/>
    <s v="LC"/>
    <m/>
    <s v="A3_nat, A2b, B1i_rod, B1i_inv, B1iii_sp, B2i_rod, B2i_inv, B2iii_sp, D3_step; D3_inv"/>
    <n v="674.05840000000001"/>
    <n v="625.32560000000001"/>
    <n v="0.92770240679442595"/>
    <n v="4.1645523403068402E-2"/>
    <n v="2"/>
    <s v="RLE not adjusted"/>
    <m/>
  </r>
  <r>
    <s v="AT31"/>
    <s v="LC"/>
    <n v="13"/>
    <s v="LC"/>
    <n v="2"/>
    <s v="LC"/>
    <s v="LC"/>
    <n v="0"/>
    <s v="LC"/>
    <n v="2"/>
    <n v="6.1045880987268999E-2"/>
    <s v="LC"/>
    <m/>
    <s v="A3_nat, A2b, B1i_rod, B1i_inv, B1iii_sp, B2i_rod, B2i_inv, B2iii_sp, D3_step; D3_inv"/>
    <n v="240.80160000000001"/>
    <n v="210.196"/>
    <n v="0.87290117673636702"/>
    <n v="3.01714714867523E-2"/>
    <n v="2"/>
    <s v="RLE not adjusted"/>
    <m/>
  </r>
  <r>
    <s v="AT32"/>
    <s v="LC"/>
    <n v="4"/>
    <s v="LC"/>
    <n v="2"/>
    <s v="LC"/>
    <s v="LC"/>
    <n v="0"/>
    <s v="LC"/>
    <n v="38"/>
    <n v="7.7170048256202904E-3"/>
    <s v="LC"/>
    <m/>
    <s v="A3_nat, A2b, B1i_rod, B1i_inv, B1iii_sp, B2i_rod, B2i_inv, B2iii_sp, D3_step; D3_inv"/>
    <n v="3596.1840000000002"/>
    <n v="3450.6651999999999"/>
    <n v="0.95953521844265999"/>
    <n v="3.43389546128351E-2"/>
    <n v="2"/>
    <s v="RLE not adjusted"/>
    <m/>
  </r>
  <r>
    <s v="AT33"/>
    <s v="LC"/>
    <n v="2"/>
    <s v="LC"/>
    <n v="1"/>
    <s v="LC"/>
    <s v="LC"/>
    <n v="0"/>
    <s v="LC"/>
    <n v="25"/>
    <n v="1.32542704532233E-3"/>
    <s v="LC"/>
    <m/>
    <s v="A3_nat, A2b, B1i_rod, B1i_inv, B1iii_sp, B2i_rod, B2i_inv, B2iii_sp, D3_step; D3_inv"/>
    <n v="491.80560000000003"/>
    <n v="484.07040000000001"/>
    <n v="0.98427183423694198"/>
    <n v="1.55782498341199E-2"/>
    <n v="1"/>
    <s v="RLE not adjusted"/>
    <m/>
  </r>
  <r>
    <s v="AT34"/>
    <s v="LC"/>
    <n v="4"/>
    <s v="LC"/>
    <n v="2"/>
    <s v="LC"/>
    <s v="LC"/>
    <n v="0"/>
    <s v="LC"/>
    <n v="7"/>
    <n v="6.50939545010329E-3"/>
    <s v="LC"/>
    <m/>
    <s v="A3_nat, A3_wc, A2b, B1i_rod, B1i_inv, B1iii_sp, B2i_rod, B2i_inv, B2iii_sp, D3_lk; D3_inv"/>
    <n v="167.52680000000001"/>
    <n v="161.67400000000001"/>
    <n v="0.96506350028771504"/>
    <n v="3.5384367952173701E-2"/>
    <n v="2"/>
    <s v="RLE not adjusted"/>
    <m/>
  </r>
  <r>
    <s v="AT35"/>
    <s v="LC"/>
    <n v="39"/>
    <s v="LC"/>
    <n v="9"/>
    <s v="LC"/>
    <s v="LC"/>
    <n v="0.2"/>
    <s v="LC"/>
    <n v="0"/>
    <n v="3.5244688261929599E-2"/>
    <s v="LC"/>
    <m/>
    <s v="A3_nat, A2b, B1i_rod, B1i_inv, B1iii_sp, B2i_rod, B2i_inv, B2iii_sp, D3_step; D3_inv"/>
    <n v="30.147600000000001"/>
    <n v="18.374400000000001"/>
    <n v="0.609481351749393"/>
    <n v="0.18231622319707999"/>
    <n v="9"/>
    <s v="RLE not adjusted"/>
    <m/>
  </r>
  <r>
    <s v="AT36"/>
    <s v="LC"/>
    <n v="37"/>
    <s v="LC"/>
    <n v="18"/>
    <s v="CR"/>
    <s v="EN"/>
    <n v="0.4"/>
    <s v="LC"/>
    <n v="1"/>
    <n v="0.29535955705473699"/>
    <s v="CR"/>
    <s v="B1i_rod"/>
    <s v="A3_nat, A3_wc, A2b, B1i_rod, B2i_rod, D3_step; D3_inv"/>
    <n v="51.4116"/>
    <n v="29.764399999999998"/>
    <n v="0.57894327350247798"/>
    <n v="0.35102055423670198"/>
    <n v="18"/>
    <s v="RLE not adjusted"/>
    <m/>
  </r>
  <r>
    <s v="AT37"/>
    <s v="LC"/>
    <n v="37"/>
    <s v="LC"/>
    <n v="21"/>
    <s v="CR"/>
    <s v="EN"/>
    <n v="0.4"/>
    <s v="LC"/>
    <n v="1"/>
    <n v="9.9827376958969996E-2"/>
    <s v="CR"/>
    <s v="B1i_rod"/>
    <s v="A3_nat, A3_wc, A2b, B1i_rod, B2i_rod, D3_step; D3_inv"/>
    <n v="176.6464"/>
    <n v="106.1272"/>
    <n v="0.60078892069127898"/>
    <n v="0.41707219888824298"/>
    <n v="21"/>
    <s v="RLE not adjusted"/>
    <m/>
  </r>
  <r>
    <s v="AT38"/>
    <s v="LC"/>
    <n v="34"/>
    <s v="LC"/>
    <n v="10"/>
    <s v="LC"/>
    <s v="LC"/>
    <n v="0.2"/>
    <s v="LC"/>
    <n v="0"/>
    <n v="7.7635092611464895E-2"/>
    <s v="LC"/>
    <m/>
    <s v="A3_nat, A2b, B1i_rod, B1i_inv, B1iii_sp, B2i_rod, B2i_inv, B2iii_sp, D3_step; D3_inv"/>
    <n v="1290.854"/>
    <n v="849.76520000000005"/>
    <n v="0.65829691041744498"/>
    <n v="0.204659056267714"/>
    <n v="10"/>
    <s v="RLE not adjusted"/>
    <m/>
  </r>
  <r>
    <s v="AT39"/>
    <s v="LC"/>
    <n v="12"/>
    <s v="LC"/>
    <n v="6"/>
    <s v="LC"/>
    <s v="LC"/>
    <n v="0.1"/>
    <s v="LC"/>
    <n v="0"/>
    <n v="2.4447885558382201E-2"/>
    <s v="LC"/>
    <m/>
    <s v="A3_nat, A2b, B1i_rod, B1i_inv, B1iii_sp, B2i_rod, B2i_inv, B2iii_sp, D3_step; D3_inv"/>
    <n v="245.8596"/>
    <n v="216.98400000000001"/>
    <n v="0.88255248117218099"/>
    <n v="0.121611595871905"/>
    <n v="6"/>
    <s v="RLE not adjusted"/>
    <m/>
  </r>
  <r>
    <s v="AT40"/>
    <s v="LC"/>
    <n v="18"/>
    <s v="LC"/>
    <n v="12"/>
    <s v="EN"/>
    <s v="VU"/>
    <n v="0.2"/>
    <s v="LC"/>
    <n v="0"/>
    <n v="0.155642110717679"/>
    <s v="EN"/>
    <s v="B1iii_sp"/>
    <s v="A3_nat, A3_wc, A2b, B1iii_sp, B2iii_sp, D3_step; D3_inv"/>
    <n v="596.31719999999996"/>
    <n v="463.16"/>
    <n v="0.77670072236722298"/>
    <n v="0.24190462474493099"/>
    <n v="12"/>
    <s v="RLE not adjusted"/>
    <m/>
  </r>
  <r>
    <s v="AT41"/>
    <s v="LC"/>
    <n v="32"/>
    <s v="LC"/>
    <n v="9"/>
    <s v="LC"/>
    <s v="LC"/>
    <n v="0.2"/>
    <s v="LC"/>
    <n v="1"/>
    <n v="8.0276871209088996E-2"/>
    <s v="LC"/>
    <m/>
    <s v="A3_nat, A2b, B1i_rod, B1i_inv, B1iii_sp, B2i_rod, B2i_inv, B2iii_sp, D3_step; D3_inv"/>
    <n v="307.52159999999998"/>
    <n v="207.8656"/>
    <n v="0.675938210519196"/>
    <n v="0.177893479870498"/>
    <n v="9"/>
    <s v="RLE not adjusted"/>
    <m/>
  </r>
  <r>
    <s v="AT42"/>
    <s v="LC"/>
    <n v="14"/>
    <s v="LC"/>
    <n v="8"/>
    <s v="LC"/>
    <s v="LC"/>
    <n v="0.2"/>
    <s v="LC"/>
    <n v="0"/>
    <n v="2.70015310146452E-2"/>
    <s v="LC"/>
    <m/>
    <s v="A3_nat, A2b, B1i_rod, B1i_inv, B1iii_sp, B2i_rod, B2i_inv, B2iii_sp, D3_step; D3_inv"/>
    <n v="59.856400000000001"/>
    <n v="51.730400000000003"/>
    <n v="0.86424175192627695"/>
    <n v="0.16820398293862401"/>
    <n v="8"/>
    <s v="RLE not adjusted"/>
    <m/>
  </r>
  <r>
    <s v="AT43"/>
    <s v="LC"/>
    <n v="6"/>
    <s v="LC"/>
    <n v="3"/>
    <s v="LC"/>
    <s v="LC"/>
    <n v="0.1"/>
    <s v="LC"/>
    <n v="9"/>
    <n v="3.96599714135259E-3"/>
    <s v="LC"/>
    <m/>
    <s v="A3_nat, A3_wc, A2b, B1i_rod, B1i_inv, B1iii_sp, B2i_rod, B2i_inv, B2iii_sp, D3_lk; D3_inv"/>
    <n v="286.20319999999998"/>
    <n v="265.86"/>
    <n v="0.92892043135786095"/>
    <n v="5.6680695731303903E-2"/>
    <n v="3"/>
    <s v="RLE not adjusted"/>
    <m/>
  </r>
  <r>
    <s v="AT44"/>
    <s v="EN"/>
    <n v="79"/>
    <s v="VU"/>
    <n v="45"/>
    <s v="CR"/>
    <s v="EN"/>
    <n v="0.9"/>
    <s v="LC"/>
    <n v="3"/>
    <n v="3.9560383968432603E-2"/>
    <s v="CR"/>
    <s v="B1i_rod"/>
    <s v="A3_nmb, A2b, B1i_rod, B2i_rod, D3_nmb; D3_inv"/>
    <n v="163.45760000000001"/>
    <n v="63.255200000000002"/>
    <n v="0.386982312232652"/>
    <n v="0.89681043889154399"/>
    <n v="45"/>
    <s v="RLE not adjusted"/>
    <m/>
  </r>
  <r>
    <s v="AT45"/>
    <s v="LC"/>
    <n v="38"/>
    <s v="LC"/>
    <n v="7"/>
    <s v="LC"/>
    <s v="LC"/>
    <n v="0.1"/>
    <s v="LC"/>
    <n v="0"/>
    <n v="2.3112031190185098E-2"/>
    <s v="LC"/>
    <m/>
    <s v="A3_nat, A2b, B1i_rod, B1i_inv, B1iii_sp, B2i_rod, B2i_inv, B2iii_sp, D3_step; D3_inv"/>
    <n v="697.02520000000004"/>
    <n v="430.49439999999998"/>
    <n v="0.61761669448966805"/>
    <n v="0.14522392370610801"/>
    <n v="7"/>
    <s v="RLE not adjusted"/>
    <m/>
  </r>
  <r>
    <s v="AT46"/>
    <s v="LC"/>
    <n v="3"/>
    <s v="LC"/>
    <n v="1"/>
    <s v="LC"/>
    <s v="LC"/>
    <n v="0"/>
    <s v="LC"/>
    <n v="0"/>
    <n v="3.00687160730692E-4"/>
    <s v="LC"/>
    <m/>
    <s v="A3_nat, A3_wc, A2b, B1i_rod, B1i_inv, B1iii_sp, B2i_rod, B2i_inv, B2iii_sp, D3_step; D3_inv"/>
    <n v="571.85760000000005"/>
    <n v="552.06880000000001"/>
    <n v="0.965395580997787"/>
    <n v="2.9322283589749101E-2"/>
    <n v="1"/>
    <s v="RLE not adjusted"/>
    <m/>
  </r>
  <r>
    <s v="AT47"/>
    <s v="LC"/>
    <n v="3"/>
    <s v="LC"/>
    <n v="1"/>
    <s v="LC"/>
    <s v="LC"/>
    <n v="0"/>
    <s v="LC"/>
    <n v="2"/>
    <n v="2.3232992564720199E-3"/>
    <s v="LC"/>
    <m/>
    <s v="A3_nat, A2b, B1i_rod, B1i_inv, B1iii_sp, B2i_rod, B2i_inv, B2iii_sp, D3_step; D3_inv"/>
    <n v="910.57560000000001"/>
    <n v="886.15359999999998"/>
    <n v="0.97317960200119602"/>
    <n v="2.83209655379098E-2"/>
    <n v="1"/>
    <s v="RLE not adjusted"/>
    <m/>
  </r>
  <r>
    <s v="AT48"/>
    <s v="VU"/>
    <n v="63"/>
    <s v="LC"/>
    <n v="8"/>
    <s v="CR"/>
    <s v="EN"/>
    <n v="0.2"/>
    <s v="LC"/>
    <n v="4"/>
    <n v="0.45056110578896902"/>
    <s v="CR"/>
    <s v="B1i_inv"/>
    <s v="A3_nmb, A2b, B1i_inv, B2i_inv, D3_nmb; D3_inv"/>
    <n v="20.376799999999999"/>
    <n v="11.6912"/>
    <n v="0.57375053982961"/>
    <n v="0.15564044213264"/>
    <n v="8"/>
    <s v="RLE not adjusted"/>
    <m/>
  </r>
  <r>
    <s v="AT49"/>
    <s v="LC"/>
    <n v="2"/>
    <s v="LC"/>
    <n v="1"/>
    <s v="LC"/>
    <s v="LC"/>
    <n v="0"/>
    <s v="VU"/>
    <n v="71"/>
    <n v="2.2448889890736702E-3"/>
    <s v="VU"/>
    <s v="D3_step; D3_inv"/>
    <s v="A3_nat, A2b, B1i_rod, B1i_inv, B1iii_sp, B2i_rod, B2i_inv, B2iii_sp, D3_step; D3_inv"/>
    <n v="5647.1167999999998"/>
    <n v="5524.0147999999999"/>
    <n v="0.97820091130397702"/>
    <n v="2.11698181898472E-2"/>
    <n v="1"/>
    <s v="RLE not adjusted"/>
    <m/>
  </r>
  <r>
    <s v="AT50"/>
    <s v="LC"/>
    <n v="11"/>
    <s v="LC"/>
    <n v="3"/>
    <s v="LC"/>
    <s v="LC"/>
    <n v="0.1"/>
    <s v="LC"/>
    <n v="5"/>
    <n v="5.1132774486538198E-2"/>
    <s v="LC"/>
    <m/>
    <s v="A3_nat, A2b, B1i_rod, B1i_inv, B1iii_sp, B2i_rod, B2i_inv, B2iii_sp, D3_step; D3_inv"/>
    <n v="577.54240000000004"/>
    <n v="515.44240000000002"/>
    <n v="0.89247542691237902"/>
    <n v="6.6333308521045894E-2"/>
    <n v="3"/>
    <s v="RLE not adjusted"/>
    <m/>
  </r>
  <r>
    <s v="AT51"/>
    <s v="LC"/>
    <n v="14"/>
    <s v="LC"/>
    <n v="8"/>
    <s v="LC"/>
    <s v="LC"/>
    <n v="0.2"/>
    <s v="LC"/>
    <n v="20"/>
    <n v="6.9590727660086005E-2"/>
    <s v="LC"/>
    <m/>
    <s v="A3_nat, A2b, B1i_rod, B1i_inv, B1iii_sp, B2i_rod, B2i_inv, B2iii_sp, D3_step; D3_inv"/>
    <n v="1963.4028000000001"/>
    <n v="1693.7084"/>
    <n v="0.86263929133644901"/>
    <n v="0.16791322873207101"/>
    <n v="8"/>
    <s v="RLE not adjusted"/>
    <m/>
  </r>
  <r>
    <s v="AT52"/>
    <s v="LC"/>
    <n v="31"/>
    <s v="LC"/>
    <n v="8"/>
    <s v="LC"/>
    <s v="LC"/>
    <n v="0.2"/>
    <s v="LC"/>
    <n v="0"/>
    <n v="6.0644939421194602E-2"/>
    <s v="LC"/>
    <m/>
    <s v="A3_nat, A2b, B1i_rod, B1i_inv, B1iii_sp, B2i_rod, B2i_inv, B2iii_sp, D3_step; D3_inv"/>
    <n v="43.596800000000002"/>
    <n v="30.241599999999998"/>
    <n v="0.69366559013505602"/>
    <n v="0.15452713831298701"/>
    <n v="8"/>
    <s v="RLE not adjusted"/>
    <m/>
  </r>
  <r>
    <s v="AT53"/>
    <s v="LC"/>
    <n v="39"/>
    <s v="LC"/>
    <n v="24"/>
    <s v="CR"/>
    <s v="EN"/>
    <n v="0.5"/>
    <s v="LC"/>
    <n v="0"/>
    <n v="0.16621549765553201"/>
    <s v="CR"/>
    <s v="B1i_rod"/>
    <s v="A3_nat, A2b, B1i_rod, B2i_rod, D3_step; D3_inv"/>
    <n v="27.102799999999998"/>
    <n v="16.549600000000002"/>
    <n v="0.61062325663769101"/>
    <n v="0.47178643984322099"/>
    <n v="24"/>
    <s v="RLE not adjusted"/>
    <m/>
  </r>
  <r>
    <s v="AT54"/>
    <s v="LC"/>
    <n v="2"/>
    <s v="LC"/>
    <n v="1"/>
    <s v="LC"/>
    <s v="LC"/>
    <n v="0"/>
    <s v="LC"/>
    <n v="0"/>
    <n v="8.6628822623353696E-2"/>
    <s v="LC"/>
    <m/>
    <s v="A3_nat, A2b, B1i_rod, B1i_inv, B1iii_sp, B2i_rod, B2i_inv, B2iii_sp, D3_step; D3_inv"/>
    <n v="187.72040000000001"/>
    <n v="184.89920000000001"/>
    <n v="0.98497126577612204"/>
    <n v="1.21417150270118E-2"/>
    <n v="1"/>
    <s v="RLE not adjusted"/>
    <m/>
  </r>
  <r>
    <s v="AT55"/>
    <s v="LC"/>
    <n v="3"/>
    <s v="LC"/>
    <n v="2"/>
    <s v="LC"/>
    <s v="LC"/>
    <n v="0"/>
    <s v="LC"/>
    <n v="13"/>
    <n v="8.26863517357661E-4"/>
    <s v="LC"/>
    <m/>
    <s v="A3_nat, A3_wc, A2b, B1i_rod, B1i_inv, B1iii_sp, B2i_rod, B2i_inv, B2iii_sp, D3_lk; D3_inv"/>
    <n v="760.38720000000001"/>
    <n v="741.59760000000006"/>
    <n v="0.97528943148964098"/>
    <n v="3.30905426088514E-2"/>
    <n v="2"/>
    <s v="RLE not adjusted"/>
    <m/>
  </r>
  <r>
    <s v="AT56"/>
    <s v="LC"/>
    <n v="34"/>
    <s v="LC"/>
    <n v="10"/>
    <s v="LC"/>
    <s v="LC"/>
    <n v="0.2"/>
    <s v="LC"/>
    <n v="0"/>
    <n v="8.7356304077783595E-2"/>
    <s v="LC"/>
    <m/>
    <s v="A3_nat, A2b, B1i_rod, B1i_inv, B1iii_sp, B2i_rod, B2i_inv, B2iii_sp, D3_step; D3_inv"/>
    <n v="701.61760000000004"/>
    <n v="465.94920000000002"/>
    <n v="0.66410705774769596"/>
    <n v="0.20862491918381901"/>
    <n v="10"/>
    <s v="RLE not adjusted"/>
    <m/>
  </r>
  <r>
    <s v="AT57"/>
    <s v="LC"/>
    <n v="23"/>
    <s v="LC"/>
    <n v="9"/>
    <s v="EN"/>
    <s v="EN"/>
    <n v="0.2"/>
    <s v="LC"/>
    <n v="2"/>
    <n v="0.195512067148392"/>
    <s v="EN"/>
    <s v="B1iii_sp, B2iii_sp"/>
    <s v="A3_nat, A2b, B1iii_sp, B2iii_sp, D3_step; D3_inv"/>
    <n v="137.06479999999999"/>
    <n v="105.50960000000001"/>
    <n v="0.76977896586140304"/>
    <n v="0.18206071576482"/>
    <n v="9"/>
    <s v="RLE not adjusted"/>
    <m/>
  </r>
  <r>
    <s v="AT58"/>
    <s v="LC"/>
    <n v="1"/>
    <s v="LC"/>
    <n v="1"/>
    <s v="LC"/>
    <s v="LC"/>
    <n v="0"/>
    <s v="LC"/>
    <n v="0"/>
    <n v="3.3025777033147101E-4"/>
    <s v="LC"/>
    <m/>
    <s v="A3_nat, A2b, B1i_rod, B1i_inv, B1iii_sp, B2i_rod, B2i_inv, B2iii_sp, D3_step; D3_inv"/>
    <n v="2252.3447999999999"/>
    <n v="2221.2952"/>
    <n v="0.98621454406092701"/>
    <n v="1.4390642899381099E-2"/>
    <n v="1"/>
    <s v="RLE not adjusted"/>
    <m/>
  </r>
  <r>
    <s v="AZa1"/>
    <s v="LC"/>
    <n v="1"/>
    <s v="LC"/>
    <n v="1"/>
    <s v="LC"/>
    <s v="LC"/>
    <n v="0"/>
    <s v="LC"/>
    <n v="0"/>
    <n v="2.9142015087865899E-2"/>
    <s v="LC"/>
    <m/>
    <s v="A3_nat, A3_wc, A2b, B1i_rod, B1i_inv, B1iii_sp, B2i_rod, B2i_inv, B2iii_sp, D3_inv"/>
    <n v="18.7044"/>
    <n v="18.186800000000002"/>
    <n v="0.97232736682277998"/>
    <n v="2.2111331921119901E-2"/>
    <n v="1"/>
    <s v="RLE not adjusted"/>
    <m/>
  </r>
  <r>
    <s v="AZa2"/>
    <s v="VU"/>
    <n v="62"/>
    <s v="VU"/>
    <n v="41"/>
    <s v="EN"/>
    <s v="VU"/>
    <n v="0.8"/>
    <s v="LC"/>
    <n v="0"/>
    <n v="0.318271809827463"/>
    <s v="EN"/>
    <s v="B1i_rod, B1i_inv"/>
    <s v="A3_nat, A3_wc, A2b, B1i_rod, B1i_inv, B2i_rod, B2i_inv, D3_inv"/>
    <n v="350.79599999999999"/>
    <n v="116.1724"/>
    <n v="0.33116797226878297"/>
    <n v="0.810900222588813"/>
    <n v="41"/>
    <s v="RLE not adjusted"/>
    <m/>
  </r>
  <r>
    <s v="AZa3"/>
    <s v="LC"/>
    <n v="39"/>
    <s v="LC"/>
    <n v="16"/>
    <s v="LC"/>
    <s v="LC"/>
    <n v="0.3"/>
    <s v="LC"/>
    <n v="0"/>
    <n v="0.11211419712397901"/>
    <s v="LC"/>
    <m/>
    <s v="A3_nat, A2b, B1i_rod, B1i_inv, B1iii_sp, B2i_rod, B2i_inv, B2iii_sp, D3_inv"/>
    <n v="867.58720000000005"/>
    <n v="530.98360000000002"/>
    <n v="0.61202332169031504"/>
    <n v="0.32869547427463602"/>
    <n v="16"/>
    <s v="RLE not adjusted"/>
    <m/>
  </r>
  <r>
    <s v="AZa4"/>
    <s v="LC"/>
    <n v="30"/>
    <s v="LC"/>
    <n v="13"/>
    <s v="LC"/>
    <s v="LC"/>
    <n v="0.3"/>
    <s v="LC"/>
    <n v="0"/>
    <n v="0.10495566850964699"/>
    <s v="LC"/>
    <m/>
    <s v="A3_nat, A2b, B1i_rod, B1i_inv, B1iii_sp, B2i_rod, B2i_inv, B2iii_sp, D3_inv"/>
    <n v="1787.3463999999999"/>
    <n v="1248.4128000000001"/>
    <n v="0.69847277505915994"/>
    <n v="0.26643964013393001"/>
    <n v="13"/>
    <s v="RLE not adjusted"/>
    <m/>
  </r>
  <r>
    <s v="AZa5"/>
    <s v="LC"/>
    <n v="35"/>
    <s v="LC"/>
    <n v="12"/>
    <s v="LC"/>
    <s v="LC"/>
    <n v="0.2"/>
    <s v="LC"/>
    <n v="0"/>
    <n v="1.3777906892845901E-2"/>
    <s v="LC"/>
    <m/>
    <s v="A3_nat, A2b, B1i_rod, B1i_inv, B1iii_sp, B2i_rod, B2i_inv, B2iii_sp, D3_inv"/>
    <n v="3235.1676000000002"/>
    <n v="2106.6480000000001"/>
    <n v="0.65117120980069199"/>
    <n v="0.24364901577722101"/>
    <n v="12"/>
    <s v="RLE not adjusted"/>
    <m/>
  </r>
  <r>
    <s v="AZa6"/>
    <s v="VU"/>
    <n v="56"/>
    <s v="LC"/>
    <n v="24"/>
    <s v="EN"/>
    <s v="LC"/>
    <n v="0.5"/>
    <s v="LC"/>
    <n v="0"/>
    <n v="4.8090127735031601E-2"/>
    <s v="EN"/>
    <s v="B1i_rod"/>
    <s v="A3_nat, A2b, B1i_rod, B2i_rod, B2i_inv, B2iii_sp, D3_step; D3_inv"/>
    <n v="653.40639999999996"/>
    <n v="286.02960000000002"/>
    <n v="0.43775145147032501"/>
    <n v="0.48977032314669999"/>
    <n v="24"/>
    <s v="RLE not adjusted"/>
    <m/>
  </r>
  <r>
    <s v="AZa7"/>
    <s v="LC"/>
    <n v="33"/>
    <s v="LC"/>
    <n v="16"/>
    <s v="LC"/>
    <s v="LC"/>
    <n v="0.3"/>
    <s v="LC"/>
    <n v="0"/>
    <n v="1.4431596188997401E-2"/>
    <s v="LC"/>
    <m/>
    <s v="A3_nat, A2b, B1i_rod, B1i_inv, B1iii_sp, B2i_rod, B2i_inv, B2iii_sp, D3_inv"/>
    <n v="1274.7652"/>
    <n v="859.36440000000005"/>
    <n v="0.67413544078548704"/>
    <n v="0.31563835106850402"/>
    <n v="16"/>
    <s v="RLE not adjusted"/>
    <m/>
  </r>
  <r>
    <s v="AZd1"/>
    <s v="CR"/>
    <n v="95"/>
    <s v="EN"/>
    <n v="75"/>
    <s v="CR"/>
    <s v="CR"/>
    <n v="1.5"/>
    <s v="LC"/>
    <n v="0"/>
    <s v="NA"/>
    <s v="CR"/>
    <s v="A3_nat, B1i_rod, B2i_rod"/>
    <s v="A3_nat, A2b, B1i_rod, B2i_rod, "/>
    <n v="6.4404000000000003"/>
    <n v="0.31719999999999998"/>
    <n v="4.9251599279547899E-2"/>
    <n v="1.4935813034891401"/>
    <n v="75"/>
    <s v="RLE not adjusted"/>
    <m/>
  </r>
  <r>
    <s v="AZd2"/>
    <s v="LC"/>
    <n v="28"/>
    <s v="LC"/>
    <n v="20"/>
    <s v="EN"/>
    <s v="CR"/>
    <n v="0.4"/>
    <s v="LC"/>
    <n v="0"/>
    <s v="NA"/>
    <s v="CR"/>
    <s v="B2i_rod"/>
    <s v="A3_nat, A2b, B1i_rod, B2i_rod, "/>
    <n v="13.215999999999999"/>
    <n v="9.5167999999999999"/>
    <n v="0.72009685230024201"/>
    <n v="0.40534238056917099"/>
    <n v="20"/>
    <s v="RLE not adjusted"/>
    <m/>
  </r>
  <r>
    <s v="AZd3"/>
    <s v="LC"/>
    <n v="2"/>
    <s v="LC"/>
    <n v="1"/>
    <s v="LC"/>
    <s v="LC"/>
    <n v="0"/>
    <s v="LC"/>
    <n v="0"/>
    <n v="1.1486070815901301E-3"/>
    <s v="LC"/>
    <m/>
    <s v="A3_nat, A2b, B1i_rod, B1i_inv, B1iii_sp, B2i_rod, B2i_inv, B2iii_sp, D3_inv"/>
    <n v="220.1216"/>
    <n v="215.21719999999999"/>
    <n v="0.97771958771878797"/>
    <n v="2.24312784052643E-2"/>
    <n v="1"/>
    <s v="RLE not adjusted"/>
    <m/>
  </r>
  <r>
    <s v="AZd4"/>
    <s v="LC"/>
    <n v="6"/>
    <s v="LC"/>
    <n v="3"/>
    <s v="LC"/>
    <s v="LC"/>
    <n v="0.1"/>
    <s v="LC"/>
    <n v="0"/>
    <n v="3.1975637609440403E-4"/>
    <s v="LC"/>
    <m/>
    <s v="A3_nat, A2b, B1i_rod, B1i_inv, B1iii_sp, B2i_rod, B2i_inv, B2iii_sp, D3_inv"/>
    <n v="28.078800000000001"/>
    <n v="26.27"/>
    <n v="0.93558129264783396"/>
    <n v="6.2440310979795098E-2"/>
    <n v="3"/>
    <s v="RLE not adjusted"/>
    <m/>
  </r>
  <r>
    <s v="AZi1"/>
    <s v="LC"/>
    <n v="12"/>
    <s v="LC"/>
    <n v="4"/>
    <s v="LC"/>
    <s v="LC"/>
    <n v="0.1"/>
    <s v="LC"/>
    <n v="0"/>
    <n v="4.2935101234235398E-2"/>
    <s v="LC"/>
    <m/>
    <s v="A3_nat, A2b, B1i_rod, B1i_inv, B1iii_sp, B2i_rod, B2i_inv, B2iii_sp, D3_inv"/>
    <n v="1363.9048"/>
    <n v="1200.1276"/>
    <n v="0.87992035807777802"/>
    <n v="7.1700140843923593E-2"/>
    <n v="4"/>
    <s v="RLE not adjusted"/>
    <m/>
  </r>
  <r>
    <s v="AZi3"/>
    <s v="LC"/>
    <n v="0"/>
    <s v="LC"/>
    <n v="0"/>
    <s v="LC"/>
    <s v="LC"/>
    <n v="0"/>
    <s v="LC"/>
    <n v="0"/>
    <n v="1.2303247794179599E-3"/>
    <s v="LC"/>
    <m/>
    <s v="A3_nat, A2b, B1i_rod, B1i_inv, B1iii_sp, B2i_rod, B2i_inv, B2iii_sp, D3_inv"/>
    <n v="1919.2855999999999"/>
    <n v="1914.6164000000001"/>
    <n v="0.99756721980303498"/>
    <n v="3.0426838253249599E-3"/>
    <n v="0"/>
    <s v="RLE not adjusted"/>
    <m/>
  </r>
  <r>
    <s v="AZi5"/>
    <s v="LC"/>
    <n v="7"/>
    <s v="LC"/>
    <n v="2"/>
    <s v="LC"/>
    <s v="LC"/>
    <n v="0"/>
    <s v="LC"/>
    <n v="0"/>
    <n v="1.1713134131908999E-2"/>
    <s v="LC"/>
    <m/>
    <s v="A3_nat, A2b, B1i_rod, B1i_inv, B1iii_sp, B2i_rod, B2i_inv, B2iii_sp, D3_inv"/>
    <n v="5176.9952000000003"/>
    <n v="4815.0392000000002"/>
    <n v="0.930083767510544"/>
    <n v="3.6984060934340299E-2"/>
    <n v="2"/>
    <s v="RLE not adjusted"/>
    <m/>
  </r>
  <r>
    <s v="AZi6"/>
    <s v="LC"/>
    <n v="14"/>
    <s v="LC"/>
    <n v="5"/>
    <s v="LC"/>
    <s v="LC"/>
    <n v="0.1"/>
    <s v="LC"/>
    <n v="0"/>
    <n v="6.5060531290920803E-3"/>
    <s v="LC"/>
    <m/>
    <s v="A3_nat, A2b, B1i_rod, B1i_inv, B1iii_sp, B2i_rod, B2i_inv, B2iii_sp, D3_inv"/>
    <n v="5302.9359999999997"/>
    <n v="4534.9768000000004"/>
    <n v="0.85518226129827002"/>
    <n v="9.6192739207511396E-2"/>
    <n v="5"/>
    <s v="RLE not adjusted"/>
    <m/>
  </r>
  <r>
    <s v="AZi7"/>
    <s v="LC"/>
    <n v="7"/>
    <s v="LC"/>
    <n v="1"/>
    <s v="LC"/>
    <s v="LC"/>
    <n v="0"/>
    <s v="LC"/>
    <n v="0"/>
    <n v="5.6658914664592698E-3"/>
    <s v="LC"/>
    <m/>
    <s v="A3_nat, A2b, B1i_rod, B1i_inv, B1iii_sp, B2i_rod, B2i_inv, B2iii_sp, D3_inv"/>
    <n v="2130.1055999999999"/>
    <n v="1983.6596"/>
    <n v="0.93124941786923598"/>
    <n v="2.7559459577760299E-2"/>
    <n v="1"/>
    <s v="RLE not adjusted"/>
    <m/>
  </r>
  <r>
    <s v="AZi8"/>
    <s v="VU"/>
    <n v="61"/>
    <s v="VU"/>
    <n v="33"/>
    <s v="EN"/>
    <s v="VU"/>
    <n v="0.7"/>
    <s v="LC"/>
    <n v="0"/>
    <n v="6.5469913777033401E-2"/>
    <s v="EN"/>
    <s v="B1i_rod"/>
    <s v="A3_nat, A3_wc, A2b, B1i_rod, B2i_rod, D3_inv"/>
    <n v="407.17919999999998"/>
    <n v="143.76679999999999"/>
    <n v="0.35307992156770301"/>
    <n v="0.65560286167193205"/>
    <n v="33"/>
    <s v="RLE not adjusted"/>
    <m/>
  </r>
  <r>
    <s v="AZs3"/>
    <s v="LC"/>
    <n v="20"/>
    <s v="LC"/>
    <n v="1"/>
    <s v="LC"/>
    <s v="LC"/>
    <n v="0"/>
    <s v="LC"/>
    <n v="0"/>
    <n v="0.16318075509522201"/>
    <s v="LC"/>
    <m/>
    <s v="A3_nat, A3_kzn, A2b, B1i_rod, B1i_inv, B1iii_sp, B2i_rod, B2i_inv, B2iii_sp, D3_inv"/>
    <n v="12.9664"/>
    <n v="11.972"/>
    <n v="0.92330947680157904"/>
    <n v="2.6604995527876301E-2"/>
    <n v="1"/>
    <s v="RLE not adjusted"/>
    <m/>
  </r>
  <r>
    <s v="CB1"/>
    <s v="VU"/>
    <n v="64"/>
    <s v="VU"/>
    <n v="32"/>
    <s v="EN"/>
    <s v="LC"/>
    <n v="0.6"/>
    <s v="LC"/>
    <n v="0"/>
    <n v="3.5018761681008197E-2"/>
    <s v="EN"/>
    <s v="B1i_rod"/>
    <s v="A3_nat, A3_kzn, A2b, B1i_rod, B2i_rod, B2i_inv, B2iii_sp, D3_inv"/>
    <n v="2355.4843999999998"/>
    <n v="832.548"/>
    <n v="0.35345086556293898"/>
    <n v="0.64550006804606397"/>
    <n v="32"/>
    <s v="RLE not adjusted"/>
    <m/>
  </r>
  <r>
    <s v="CB2"/>
    <s v="VU"/>
    <n v="65"/>
    <s v="VU"/>
    <n v="31"/>
    <s v="EN"/>
    <s v="VU"/>
    <n v="0.6"/>
    <s v="LC"/>
    <n v="0"/>
    <n v="2.7165581685748199E-2"/>
    <s v="EN"/>
    <s v="B1i_rod"/>
    <s v="A3_nat, A3_kzn, A2b, B1i_rod, B2i_rod, D3_inv"/>
    <n v="1122.1012000000001"/>
    <n v="401.05160000000001"/>
    <n v="0.35741125666740198"/>
    <n v="0.62493566747044105"/>
    <n v="31"/>
    <s v="RLE not adjusted"/>
    <m/>
  </r>
  <r>
    <s v="CB3"/>
    <s v="EN"/>
    <n v="82"/>
    <s v="EN"/>
    <n v="63"/>
    <s v="EN"/>
    <s v="LC"/>
    <n v="1.3"/>
    <s v="LC"/>
    <n v="0"/>
    <n v="0.29409948327715901"/>
    <s v="EN"/>
    <s v="A3_nat, A3_kzn, A2b, B1i_rod"/>
    <s v="A3_nat, A3_kzn, A2b, B1i_rod, B2i_rod, B2i_inv, B2iii_sp, D3_inv"/>
    <n v="4141.8068000000003"/>
    <n v="672.31399999999996"/>
    <n v="0.16232384378720899"/>
    <n v="1.25774061909311"/>
    <n v="63"/>
    <s v="RLE not adjusted"/>
    <m/>
  </r>
  <r>
    <s v="CB4"/>
    <s v="VU"/>
    <n v="51"/>
    <s v="LC"/>
    <n v="15"/>
    <s v="LC"/>
    <s v="LC"/>
    <n v="0.3"/>
    <s v="LC"/>
    <n v="0"/>
    <n v="6.0761477632483699E-2"/>
    <s v="VU"/>
    <s v="A3_nat"/>
    <s v="A3_nat, A2b, B1i_rod, B1i_inv, B1iii_sp, B2i_rod, B2i_inv, B2iii_sp, D3_inv"/>
    <n v="1299.9023999999999"/>
    <n v="641.09040000000005"/>
    <n v="0.49318348823727098"/>
    <n v="0.295742388543145"/>
    <n v="15"/>
    <s v="RLE not adjusted"/>
    <m/>
  </r>
  <r>
    <s v="CB5"/>
    <s v="LC"/>
    <n v="46"/>
    <s v="LC"/>
    <n v="18"/>
    <s v="EN"/>
    <s v="VU"/>
    <n v="0.4"/>
    <s v="LC"/>
    <n v="0"/>
    <n v="8.1786571047421305E-2"/>
    <s v="EN"/>
    <s v="B1i_rod"/>
    <s v="A3_nat, A2b, B1i_rod, B2i_rod, D3_inv"/>
    <n v="1650.386"/>
    <n v="899.23320000000001"/>
    <n v="0.54486235341307998"/>
    <n v="0.36168687842500502"/>
    <n v="18"/>
    <s v="RLE not adjusted"/>
    <m/>
  </r>
  <r>
    <s v="CB6"/>
    <s v="VU"/>
    <n v="60"/>
    <s v="LC"/>
    <n v="23"/>
    <s v="EN"/>
    <s v="VU"/>
    <n v="0.5"/>
    <s v="LC"/>
    <n v="0"/>
    <n v="0.35818514781614702"/>
    <s v="EN"/>
    <s v="B1i_rod, B1i_inv"/>
    <s v="A3_nat, A3_kzn, A2b, B1i_rod, B1i_inv, B2i_rod, B2i_inv, D3_inv"/>
    <n v="1121.1792"/>
    <n v="411.51119999999997"/>
    <n v="0.36703427962273999"/>
    <n v="0.46407362191690099"/>
    <n v="23"/>
    <s v="RLE not adjusted"/>
    <m/>
  </r>
  <r>
    <s v="Dg1"/>
    <s v="LC"/>
    <n v="1"/>
    <s v="LC"/>
    <n v="1"/>
    <s v="LC"/>
    <s v="LC"/>
    <n v="0"/>
    <s v="LC"/>
    <n v="0"/>
    <n v="0"/>
    <s v="LC"/>
    <m/>
    <s v="A3_nat, A2b, B1i_rod, B1i_inv, B1iii_sp, B2i_rod, B2i_inv, B2iii_sp, D3_inv"/>
    <n v="335.9332"/>
    <n v="332.89760000000001"/>
    <n v="0.99096367968393695"/>
    <n v="2.5581328140548198E-2"/>
    <n v="1"/>
    <s v="RLE not adjusted"/>
    <m/>
  </r>
  <r>
    <s v="Dg10"/>
    <s v="LC"/>
    <n v="0"/>
    <s v="LC"/>
    <n v="1"/>
    <s v="LC"/>
    <s v="LC"/>
    <n v="0"/>
    <s v="LC"/>
    <n v="0"/>
    <n v="1.6197442991813601E-4"/>
    <s v="LC"/>
    <m/>
    <s v="A3_nat, A2b, B1i_rod, B1i_inv, B1iii_sp, B2i_rod, B2i_inv, B2iii_sp, D3_inv"/>
    <n v="2094.6480000000001"/>
    <n v="2084.2795999999998"/>
    <n v="0.99505005136901303"/>
    <n v="1.1159916081734099E-2"/>
    <n v="1"/>
    <s v="RLE not adjusted"/>
    <m/>
  </r>
  <r>
    <s v="Dg2"/>
    <s v="LC"/>
    <n v="0"/>
    <s v="LC"/>
    <n v="0"/>
    <s v="LC"/>
    <s v="LC"/>
    <n v="0"/>
    <s v="LC"/>
    <n v="0"/>
    <n v="0"/>
    <s v="LC"/>
    <m/>
    <s v="A3_nat, A2b, B1i_rod, B1i_inv, B1iii_sp, B2i_rod, B2i_inv, B2iii_sp, D3_inv"/>
    <n v="361.43"/>
    <n v="361.39319999999998"/>
    <n v="0.99989818222062399"/>
    <n v="2.9743162946055E-4"/>
    <n v="0"/>
    <s v="RLE not adjusted"/>
    <m/>
  </r>
  <r>
    <s v="Dg3"/>
    <s v="LC"/>
    <n v="2"/>
    <s v="LC"/>
    <n v="3"/>
    <s v="LC"/>
    <s v="LC"/>
    <n v="0.1"/>
    <s v="LC"/>
    <n v="0"/>
    <n v="0"/>
    <s v="LC"/>
    <m/>
    <s v="A3_nat, A2b, B1i_rod, B1i_inv, B1iii_sp, B2i_rod, B2i_inv, B2iii_sp, D3_inv"/>
    <n v="160.0684"/>
    <n v="156.46879999999999"/>
    <n v="0.97751211357144796"/>
    <n v="6.3105221499171193E-2"/>
    <n v="3"/>
    <s v="RLE not adjusted"/>
    <m/>
  </r>
  <r>
    <s v="Dg4"/>
    <s v="LC"/>
    <n v="1"/>
    <s v="LC"/>
    <n v="0"/>
    <s v="LC"/>
    <s v="LC"/>
    <n v="0"/>
    <s v="LC"/>
    <n v="0"/>
    <s v="NA"/>
    <s v="LC"/>
    <m/>
    <s v="A3_nat, A2b, B1i_rod, B1i_inv, B1iii_sp, B2i_rod, B2i_inv, B2iii_sp, "/>
    <n v="107.7996"/>
    <n v="107.19280000000001"/>
    <n v="0.99437103662722304"/>
    <n v="9.5098586309521095E-3"/>
    <n v="0"/>
    <s v="RLE not adjusted"/>
    <m/>
  </r>
  <r>
    <s v="Dg5"/>
    <s v="LC"/>
    <n v="0"/>
    <s v="LC"/>
    <n v="0"/>
    <s v="LC"/>
    <s v="LC"/>
    <n v="0"/>
    <s v="LC"/>
    <n v="0"/>
    <n v="0"/>
    <s v="LC"/>
    <m/>
    <s v="A3_nat, A2b, B1i_rod, B1i_inv, B1iii_sp, B2i_rod, B2i_inv, B2iii_sp, D3_inv"/>
    <n v="592.28599999999994"/>
    <n v="591.93439999999998"/>
    <n v="0.99940636786957704"/>
    <n v="1.85510040757317E-3"/>
    <n v="0"/>
    <s v="RLE not adjusted"/>
    <m/>
  </r>
  <r>
    <s v="Dg6"/>
    <s v="LC"/>
    <n v="1"/>
    <s v="LC"/>
    <n v="2"/>
    <s v="LC"/>
    <s v="LC"/>
    <n v="0"/>
    <s v="LC"/>
    <n v="0"/>
    <s v="NA"/>
    <s v="LC"/>
    <m/>
    <s v="A3_nat, A2b, B1i_rod, B1i_inv, B1iii_sp, B2i_rod, B2i_inv, B2iii_sp, "/>
    <n v="8.2235999999999994"/>
    <n v="8.1067999999999998"/>
    <n v="0.98579697456102"/>
    <n v="4.4384454496813899E-2"/>
    <n v="2"/>
    <s v="RLE not adjusted"/>
    <m/>
  </r>
  <r>
    <s v="Dg7"/>
    <s v="LC"/>
    <n v="1"/>
    <s v="LC"/>
    <n v="1"/>
    <s v="LC"/>
    <s v="LC"/>
    <n v="0"/>
    <s v="LC"/>
    <n v="0"/>
    <n v="0"/>
    <s v="LC"/>
    <m/>
    <s v="A3_nat, A2b, B1i_rod, B1i_inv, B1iii_sp, B2i_rod, B2i_inv, B2iii_sp, D3_inv"/>
    <n v="247.00479999999999"/>
    <n v="244.04519999999999"/>
    <n v="0.98801804661285897"/>
    <n v="2.4892806969619999E-2"/>
    <n v="1"/>
    <s v="RLE not adjusted"/>
    <m/>
  </r>
  <r>
    <s v="Dg8"/>
    <s v="LC"/>
    <n v="0"/>
    <s v="LC"/>
    <n v="0"/>
    <s v="LC"/>
    <s v="LC"/>
    <n v="0"/>
    <s v="LC"/>
    <n v="0"/>
    <n v="0"/>
    <s v="LC"/>
    <m/>
    <s v="A3_nat, A2b, B1i_rod, B1i_inv, B1iii_sp, B2i_rod, B2i_inv, B2iii_sp, D3_inv"/>
    <n v="343.19920000000002"/>
    <n v="342.92439999999999"/>
    <n v="0.99919929883286396"/>
    <n v="2.36025264610566E-3"/>
    <n v="0"/>
    <s v="RLE not adjusted"/>
    <m/>
  </r>
  <r>
    <s v="Dg9"/>
    <s v="LC"/>
    <n v="2"/>
    <s v="LC"/>
    <n v="2"/>
    <s v="LC"/>
    <s v="LC"/>
    <n v="0"/>
    <s v="LC"/>
    <n v="0"/>
    <n v="8.6792457868938095E-5"/>
    <s v="LC"/>
    <m/>
    <s v="A3_nat, A2b, B1i_rod, B1i_inv, B1iii_sp, B2i_rod, B2i_inv, B2iii_sp, D3_inv"/>
    <n v="1217.99"/>
    <n v="1198.2608"/>
    <n v="0.98380183745350902"/>
    <n v="3.2934937705610803E-2"/>
    <n v="2"/>
    <s v="RLE not adjusted"/>
    <m/>
  </r>
  <r>
    <s v="Dn1"/>
    <s v="CR"/>
    <n v="92"/>
    <s v="EN"/>
    <n v="61"/>
    <s v="CR"/>
    <s v="CR"/>
    <n v="1.2"/>
    <s v="LC"/>
    <n v="0"/>
    <n v="0"/>
    <s v="CR"/>
    <s v="A3_nat, B1i_rod, B2i_rod"/>
    <s v="A3_nat, A2b, B1i_rod, B2i_rod, D3_inv"/>
    <n v="17.0928"/>
    <n v="1.3532"/>
    <n v="7.91678367499766E-2"/>
    <n v="1.21430507861919"/>
    <n v="61"/>
    <s v="RLE not adjusted"/>
    <m/>
  </r>
  <r>
    <s v="Dn2"/>
    <s v="LC"/>
    <n v="35"/>
    <s v="VU"/>
    <n v="30"/>
    <s v="CR"/>
    <s v="CR"/>
    <n v="0.6"/>
    <s v="LC"/>
    <n v="0"/>
    <s v="NA"/>
    <s v="CR"/>
    <s v="B1i_rod, B2i_rod"/>
    <s v="A3_nat, A2b, B1i_rod, B2i_rod, "/>
    <n v="1.5427999999999999"/>
    <n v="1.01"/>
    <n v="0.654653876069484"/>
    <n v="0.59676385773790397"/>
    <n v="30"/>
    <s v="RLE not adjusted"/>
    <m/>
  </r>
  <r>
    <s v="Dn3"/>
    <s v="LC"/>
    <n v="12"/>
    <s v="LC"/>
    <n v="6"/>
    <s v="LC"/>
    <s v="LC"/>
    <n v="0.1"/>
    <s v="LC"/>
    <n v="0"/>
    <n v="0"/>
    <s v="LC"/>
    <m/>
    <s v="A3_nat, A2b, B1i_rod, B1i_inv, B1iii_sp, B2i_rod, B2i_inv, B2iii_sp, D3_inv"/>
    <n v="139.92240000000001"/>
    <n v="122.5984"/>
    <n v="0.87618851592025304"/>
    <n v="0.11990156090673799"/>
    <n v="6"/>
    <s v="RLE not adjusted"/>
    <m/>
  </r>
  <r>
    <s v="Dn4"/>
    <s v="LC"/>
    <n v="10"/>
    <s v="LC"/>
    <n v="5"/>
    <s v="CR"/>
    <s v="EN"/>
    <n v="0.1"/>
    <s v="LC"/>
    <n v="0"/>
    <n v="0"/>
    <s v="CR"/>
    <s v="B1iii_sp"/>
    <s v="A3_nat, A2b, B1iii_sp, B2iii_sp, D3_inv"/>
    <n v="217.01480000000001"/>
    <n v="194.7612"/>
    <n v="0.89745584172139403"/>
    <n v="9.8568206364455402E-2"/>
    <n v="5"/>
    <s v="RLE not adjusted"/>
    <m/>
  </r>
  <r>
    <s v="Dn5"/>
    <s v="LC"/>
    <n v="8"/>
    <s v="LC"/>
    <n v="3"/>
    <s v="LC"/>
    <s v="LC"/>
    <n v="0.1"/>
    <s v="LC"/>
    <n v="0"/>
    <n v="0"/>
    <s v="LC"/>
    <m/>
    <s v="A3_nat, A2b, B1i_rod, B1i_inv, B1iii_sp, B2i_rod, B2i_inv, B2iii_sp, D3_inv"/>
    <n v="418.2756"/>
    <n v="384.40440000000001"/>
    <n v="0.919021812412677"/>
    <n v="6.2885739135577406E-2"/>
    <n v="3"/>
    <s v="RLE not adjusted"/>
    <m/>
  </r>
  <r>
    <s v="FFa1"/>
    <s v="EN"/>
    <n v="71"/>
    <s v="VU"/>
    <n v="42"/>
    <s v="CR"/>
    <s v="EN"/>
    <n v="0.8"/>
    <s v="LC"/>
    <n v="0"/>
    <n v="2.51346227918464E-2"/>
    <s v="CR"/>
    <s v="B1i_rod"/>
    <s v="A3_nat, A2b, B1i_rod, B2i_rod, D3_inv"/>
    <n v="180.0652"/>
    <n v="52.962800000000001"/>
    <n v="0.29413123690752002"/>
    <n v="0.83019402910575202"/>
    <n v="42"/>
    <s v="RLE not adjusted"/>
    <m/>
  </r>
  <r>
    <s v="FFa2"/>
    <s v="VU"/>
    <n v="62"/>
    <s v="VU"/>
    <n v="44"/>
    <s v="EN"/>
    <s v="EN"/>
    <n v="0.9"/>
    <s v="LC"/>
    <n v="0"/>
    <n v="0.16544025380590499"/>
    <s v="EN"/>
    <s v="B1i_rod, B1iii_sp, B2i_rod, B2iii_sp"/>
    <s v="A3_nat, A3_wc, A2b, B1i_rod, B1iii_sp, B2i_rod, B2iii_sp, D3_inv"/>
    <n v="501.64960000000002"/>
    <n v="168.94800000000001"/>
    <n v="0.336784879326127"/>
    <n v="0.87895128450780002"/>
    <n v="44"/>
    <s v="RLE not adjusted"/>
    <m/>
  </r>
  <r>
    <s v="FFa3"/>
    <s v="EN"/>
    <n v="71"/>
    <s v="VU"/>
    <n v="43"/>
    <s v="EN"/>
    <s v="VU"/>
    <n v="0.9"/>
    <s v="LC"/>
    <n v="0"/>
    <n v="0.14908656667610701"/>
    <s v="EN"/>
    <s v="A3_nat, B1i_rod, B1iii_sp"/>
    <s v="A3_nat, A2b, B1i_rod, B1iii_sp, B2i_rod, B2iii_sp, D3_inv"/>
    <n v="477.154"/>
    <n v="136.99959999999999"/>
    <n v="0.28711820502395502"/>
    <n v="0.867968056413707"/>
    <n v="43"/>
    <s v="RLE not adjusted"/>
    <m/>
  </r>
  <r>
    <s v="FFa4"/>
    <s v="CR"/>
    <n v="96"/>
    <s v="CR"/>
    <n v="95"/>
    <s v="CR"/>
    <s v="EN"/>
    <n v="1.9"/>
    <s v="LC"/>
    <n v="21"/>
    <n v="0.19386958219445499"/>
    <s v="CR"/>
    <s v="A3_coct, A2b, B1i_rod, B1iii_sp"/>
    <s v="A3_coct, A2b, B1i_rod, B1iii_sp, B2i_rod, B2iii_sp, D3_coct; D3_inv"/>
    <n v="35.839199999999998"/>
    <n v="5.1219999999999999"/>
    <n v="0.14291613652090401"/>
    <n v="1.9039690894666199"/>
    <n v="95"/>
    <s v="RLE not adjusted"/>
    <m/>
  </r>
  <r>
    <s v="FFb1"/>
    <s v="LC"/>
    <n v="6"/>
    <s v="LC"/>
    <n v="3"/>
    <s v="LC"/>
    <s v="LC"/>
    <n v="0.1"/>
    <s v="LC"/>
    <n v="0"/>
    <n v="6.1667102978330496E-3"/>
    <s v="LC"/>
    <m/>
    <s v="A3_nat, A3_wc, A2b, B1i_rod, B1i_inv, B1iii_sp, B2i_rod, B2i_inv, B2iii_sp, D3_inv"/>
    <n v="279.06880000000001"/>
    <n v="258.22519999999997"/>
    <n v="0.92531017440860497"/>
    <n v="6.4276042298823305E-2"/>
    <n v="3"/>
    <s v="RLE not adjusted"/>
    <m/>
  </r>
  <r>
    <s v="FFb2"/>
    <s v="LC"/>
    <n v="2"/>
    <s v="LC"/>
    <n v="1"/>
    <s v="EN"/>
    <s v="VU"/>
    <n v="0"/>
    <s v="LC"/>
    <n v="0"/>
    <n v="0.109039458125466"/>
    <s v="EN"/>
    <s v="B1iii_sp"/>
    <s v="A3_nat, A3_wc, A2b, B1iii_sp, B2iii_sp, D3_inv"/>
    <n v="134.5308"/>
    <n v="128.20679999999999"/>
    <n v="0.952992177256063"/>
    <n v="2.62102138428605E-2"/>
    <n v="1"/>
    <s v="RLE not adjusted"/>
    <m/>
  </r>
  <r>
    <s v="FFb3"/>
    <s v="LC"/>
    <n v="1"/>
    <s v="LC"/>
    <n v="0"/>
    <s v="LC"/>
    <s v="LC"/>
    <n v="0"/>
    <s v="LC"/>
    <n v="0"/>
    <n v="8.0966729030118693E-3"/>
    <s v="LC"/>
    <m/>
    <s v="A3_nat, A3_wc, A2b, B1i_rod, B1i_inv, B1iii_sp, B2i_rod, B2i_inv, B2iii_sp, D3_step; D3_inv"/>
    <n v="97.877600000000001"/>
    <n v="97.706800000000001"/>
    <n v="0.99825496334196995"/>
    <n v="3.37380536619065E-3"/>
    <n v="0"/>
    <s v="RLE not adjusted"/>
    <m/>
  </r>
  <r>
    <s v="FFb4"/>
    <s v="LC"/>
    <n v="12"/>
    <s v="LC"/>
    <n v="4"/>
    <s v="LC"/>
    <s v="LC"/>
    <n v="0.1"/>
    <s v="LC"/>
    <n v="0"/>
    <n v="0.111882316378328"/>
    <s v="LC"/>
    <m/>
    <s v="A3_nat, A3_wc, A2b, B1i_rod, B1i_inv, B1iii_sp, B2i_rod, B2i_inv, B2iii_sp, D3_inv"/>
    <n v="61.962400000000002"/>
    <n v="54.056800000000003"/>
    <n v="0.87241294720669305"/>
    <n v="7.8472728190848301E-2"/>
    <n v="4"/>
    <s v="RLE not adjusted"/>
    <m/>
  </r>
  <r>
    <s v="FFb5"/>
    <s v="LC"/>
    <n v="12"/>
    <s v="LC"/>
    <n v="3"/>
    <s v="LC"/>
    <s v="LC"/>
    <n v="0.1"/>
    <s v="LC"/>
    <n v="0"/>
    <n v="2.16810539146115E-2"/>
    <s v="LC"/>
    <m/>
    <s v="A3_nat, A2b, B1i_rod, B1i_inv, B1iii_sp, B2i_rod, B2i_inv, B2iii_sp, D3_step; D3_inv"/>
    <n v="108.3896"/>
    <n v="95.825599999999994"/>
    <n v="0.884084819945825"/>
    <n v="5.0273429959627303E-2"/>
    <n v="3"/>
    <s v="RLE not adjusted"/>
    <m/>
  </r>
  <r>
    <s v="FFb6"/>
    <s v="VU"/>
    <n v="62"/>
    <s v="LC"/>
    <n v="24"/>
    <s v="EN"/>
    <s v="EN"/>
    <n v="0.5"/>
    <s v="LC"/>
    <n v="0"/>
    <n v="0.21983053163864999"/>
    <s v="EN"/>
    <s v="B1i_rod, B2i_rod"/>
    <s v="A3_nat, A2b, B1i_rod, B2i_rod, D3_step; D3_inv"/>
    <n v="78.044399999999996"/>
    <n v="29.268000000000001"/>
    <n v="0.37501729784584198"/>
    <n v="0.47667651146629603"/>
    <n v="24"/>
    <s v="RLE not adjusted"/>
    <m/>
  </r>
  <r>
    <s v="FFc1"/>
    <s v="VU"/>
    <n v="50"/>
    <s v="LC"/>
    <n v="28"/>
    <s v="EN"/>
    <s v="VU"/>
    <n v="0.6"/>
    <s v="LC"/>
    <n v="0"/>
    <n v="0.224280701609923"/>
    <s v="EN"/>
    <s v="B1i_rod, B1iii_sp"/>
    <s v="A3_nat, A3_wc, A2b, B1i_rod, B1iii_sp, B2i_rod, B2iii_sp, D3_inv"/>
    <n v="869.16480000000001"/>
    <n v="388.6148"/>
    <n v="0.447112906551209"/>
    <n v="0.55428052019749097"/>
    <n v="28"/>
    <s v="RLE not adjusted"/>
    <m/>
  </r>
  <r>
    <s v="FFd1"/>
    <s v="LC"/>
    <n v="15"/>
    <s v="LC"/>
    <n v="3"/>
    <s v="LC"/>
    <s v="LC"/>
    <n v="0.1"/>
    <s v="LC"/>
    <n v="0"/>
    <n v="1.9362501301194799E-3"/>
    <s v="LC"/>
    <m/>
    <s v="A3_nat, A2b, B1i_rod, B1i_inv, B1iii_sp, B2i_rod, B2i_inv, B2iii_sp, D3_inv"/>
    <n v="1300.9767999999999"/>
    <n v="1106.6751999999999"/>
    <n v="0.85064945047444396"/>
    <n v="5.6699537300901097E-2"/>
    <n v="3"/>
    <s v="RLE not adjusted"/>
    <m/>
  </r>
  <r>
    <s v="FFd10"/>
    <s v="EN"/>
    <n v="70"/>
    <s v="VU"/>
    <n v="33"/>
    <s v="CR"/>
    <s v="EN"/>
    <n v="0.7"/>
    <s v="LC"/>
    <n v="0"/>
    <n v="0.23093766792047299"/>
    <s v="CR"/>
    <s v="B1i_rod"/>
    <s v="A3_nat, A3_wc, A2b, B1i_rod, B2i_rod, D3_step; D3_inv"/>
    <n v="151.6788"/>
    <n v="29.776"/>
    <n v="0.19630956995967799"/>
    <n v="0.668766102124425"/>
    <n v="33"/>
    <s v="RLE not adjusted"/>
    <m/>
  </r>
  <r>
    <s v="FFd11"/>
    <s v="LC"/>
    <n v="22"/>
    <s v="LC"/>
    <n v="12"/>
    <s v="CR"/>
    <s v="EN"/>
    <n v="0.2"/>
    <s v="LC"/>
    <n v="0"/>
    <n v="0.58037148360180502"/>
    <s v="CR"/>
    <s v="B1i_inv"/>
    <s v="A3_nat, A2b, B1i_inv, B2i_inv, D3_step; D3_inv"/>
    <n v="76.61"/>
    <n v="60.018799999999999"/>
    <n v="0.78343297219684105"/>
    <n v="0.241095755607629"/>
    <n v="12"/>
    <s v="RLE not adjusted"/>
    <m/>
  </r>
  <r>
    <s v="FFd2"/>
    <s v="VU"/>
    <n v="57"/>
    <s v="VU"/>
    <n v="41"/>
    <s v="EN"/>
    <s v="VU"/>
    <n v="0.8"/>
    <s v="LC"/>
    <n v="0"/>
    <n v="2.4760765360610299E-2"/>
    <s v="EN"/>
    <s v="B1i_rod"/>
    <s v="A3_nat, A3_wc, A2b, B1i_rod, B2i_rod, D3_inv"/>
    <n v="2055.6608000000001"/>
    <n v="756.9556"/>
    <n v="0.36822981690364498"/>
    <n v="0.82335673099564299"/>
    <n v="41"/>
    <s v="RLE not adjusted"/>
    <m/>
  </r>
  <r>
    <s v="FFd3"/>
    <s v="LC"/>
    <n v="30"/>
    <s v="LC"/>
    <n v="15"/>
    <s v="EN"/>
    <s v="VU"/>
    <n v="0.3"/>
    <s v="LC"/>
    <n v="0"/>
    <n v="7.4760832264864893E-2"/>
    <s v="EN"/>
    <s v="B1iii_sp"/>
    <s v="A3_nat, A3_wc, A2b, B1iii_sp, B2iii_sp, D3_inv"/>
    <n v="1009.5924"/>
    <n v="638.29679999999996"/>
    <n v="0.63223217607422599"/>
    <n v="0.29920706338619601"/>
    <n v="15"/>
    <s v="RLE not adjusted"/>
    <m/>
  </r>
  <r>
    <s v="FFd4"/>
    <s v="VU"/>
    <n v="52"/>
    <s v="LC"/>
    <n v="18"/>
    <s v="EN"/>
    <s v="VU"/>
    <n v="0.4"/>
    <s v="LC"/>
    <n v="0"/>
    <n v="0.36476526701406098"/>
    <s v="EN"/>
    <s v="B1i_rod, B1i_inv, B1iii_sp"/>
    <s v="A3_nat, A2b, B1i_rod, B1i_inv, B1iii_sp, B2i_rod, B2i_inv, B2iii_sp, D3_inv"/>
    <n v="689.04359999999997"/>
    <n v="330.84399999999999"/>
    <n v="0.48014958705080502"/>
    <n v="0.352681209784937"/>
    <n v="18"/>
    <s v="RLE not adjusted"/>
    <m/>
  </r>
  <r>
    <s v="FFd5"/>
    <s v="CR"/>
    <n v="70"/>
    <s v="EN"/>
    <n v="76"/>
    <s v="CR"/>
    <s v="EN"/>
    <n v="1.5"/>
    <s v="LC"/>
    <n v="44"/>
    <n v="0.34509036076789801"/>
    <s v="CR"/>
    <s v="A3_nat, A3_wc, B1i_rod, B1i_inv, B1iii_sp"/>
    <s v="A3_nat, A3_wc, A2b, B1i_rod, B1i_inv, B1iii_sp, B2i_rod, B2i_inv, B2iii_sp, D3_coct; D3_inv"/>
    <n v="556.93359999999996"/>
    <n v="88.866"/>
    <n v="0.15956300715201999"/>
    <n v="1.5127384374941899"/>
    <n v="76"/>
    <s v="RLE not adjusted"/>
    <m/>
  </r>
  <r>
    <s v="FFd6"/>
    <s v="LC"/>
    <n v="36"/>
    <s v="LC"/>
    <n v="23"/>
    <s v="CR"/>
    <s v="EN"/>
    <n v="0.5"/>
    <s v="LC"/>
    <n v="0"/>
    <n v="0.18926304242971201"/>
    <s v="CR"/>
    <s v="B1i_rod, B1iii_sp"/>
    <s v="A3_nat, A3_wc, A2b, B1i_rod, B1iii_sp, B2i_rod, B2iii_sp, D3_inv"/>
    <n v="88.580799999999996"/>
    <n v="51.416800000000002"/>
    <n v="0.58045084262052304"/>
    <n v="0.45663000949919902"/>
    <n v="23"/>
    <s v="RLE not adjusted"/>
    <m/>
  </r>
  <r>
    <s v="FFd7"/>
    <s v="VU"/>
    <n v="52"/>
    <s v="LC"/>
    <n v="16"/>
    <s v="CR"/>
    <s v="EN"/>
    <n v="0.3"/>
    <s v="LC"/>
    <n v="0"/>
    <n v="0.16440119650283899"/>
    <s v="CR"/>
    <s v="B1iii_sp"/>
    <s v="A3_nat, A2b, B1iii_sp, B2iii_sp, D3_inv"/>
    <n v="247.44479999999999"/>
    <n v="119.5484"/>
    <n v="0.48313159136906503"/>
    <n v="0.31655192477703098"/>
    <n v="16"/>
    <s v="RLE not adjusted"/>
    <m/>
  </r>
  <r>
    <s v="FFd8"/>
    <s v="VU"/>
    <n v="51"/>
    <s v="LC"/>
    <n v="12"/>
    <s v="CR"/>
    <s v="EN"/>
    <n v="0.2"/>
    <s v="LC"/>
    <n v="0"/>
    <n v="5.1074179164977702E-2"/>
    <s v="CR"/>
    <s v="B1iii_sp"/>
    <s v="A3_nat, A3_wc, A2b, B1iii_sp, B2iii_sp, D3_inv"/>
    <n v="97.686000000000007"/>
    <n v="43.419199999999996"/>
    <n v="0.44447720246504102"/>
    <n v="0.23668396583874801"/>
    <n v="12"/>
    <s v="RLE not adjusted"/>
    <m/>
  </r>
  <r>
    <s v="FFd9"/>
    <s v="LC"/>
    <n v="41"/>
    <s v="LC"/>
    <n v="17"/>
    <s v="EN"/>
    <s v="VU"/>
    <n v="0.3"/>
    <s v="LC"/>
    <n v="0"/>
    <n v="9.8863798121624893E-2"/>
    <s v="EN"/>
    <s v="B1iii_sp"/>
    <s v="A3_nat, A3_wc, A2b, B1iii_sp, B2iii_sp, D3_inv"/>
    <n v="517.29"/>
    <n v="264.14319999999998"/>
    <n v="0.51062885422103699"/>
    <n v="0.33262800736109999"/>
    <n v="17"/>
    <s v="RLE not adjusted"/>
    <m/>
  </r>
  <r>
    <s v="FFf1"/>
    <s v="VU"/>
    <n v="57"/>
    <s v="LC"/>
    <n v="26"/>
    <s v="EN"/>
    <s v="VU"/>
    <n v="0.5"/>
    <s v="LC"/>
    <n v="0"/>
    <n v="0.25897959463348502"/>
    <s v="EN"/>
    <s v="B1i_rod, B1iii_sp"/>
    <s v="A3_nat, A3_wc, A2b, B1i_rod, B1iii_sp, B2i_rod, B2iii_sp, D3_inv"/>
    <n v="694.00160000000005"/>
    <n v="233.50720000000001"/>
    <n v="0.33646493034021802"/>
    <n v="0.52611774979841697"/>
    <n v="26"/>
    <s v="RLE not adjusted"/>
    <m/>
  </r>
  <r>
    <s v="FFf2"/>
    <s v="VU"/>
    <n v="52"/>
    <s v="LC"/>
    <n v="13"/>
    <s v="CR"/>
    <s v="EN"/>
    <n v="0.3"/>
    <s v="LC"/>
    <n v="0"/>
    <n v="0.214554087530966"/>
    <s v="CR"/>
    <s v="B1iii_sp"/>
    <s v="A3_nat, A2b, B1iii_sp, B2iii_sp, D3_inv"/>
    <n v="40.588000000000001"/>
    <n v="19.376000000000001"/>
    <n v="0.47738247757958002"/>
    <n v="0.25794064169097303"/>
    <n v="13"/>
    <s v="RLE not adjusted"/>
    <m/>
  </r>
  <r>
    <s v="FFg1"/>
    <s v="LC"/>
    <n v="1"/>
    <s v="LC"/>
    <n v="0"/>
    <s v="LC"/>
    <s v="LC"/>
    <n v="0"/>
    <s v="LC"/>
    <n v="0"/>
    <n v="3.2488628979856999E-4"/>
    <s v="LC"/>
    <m/>
    <s v="A3_nat, A2b, B1i_rod, B1i_inv, B1iii_sp, B2i_rod, B2i_inv, B2iii_sp, D3_inv"/>
    <n v="64.817599999999999"/>
    <n v="64.022400000000005"/>
    <n v="0.98773172718520896"/>
    <n v="6.8380743982494304E-3"/>
    <n v="0"/>
    <s v="RLE not adjusted"/>
    <m/>
  </r>
  <r>
    <s v="FFg2"/>
    <s v="LC"/>
    <n v="36"/>
    <s v="LC"/>
    <n v="21"/>
    <s v="EN"/>
    <s v="VU"/>
    <n v="0.4"/>
    <s v="LC"/>
    <n v="0"/>
    <n v="0.18754846777447401"/>
    <s v="EN"/>
    <s v="B1i_rod, B1iii_sp"/>
    <s v="A3_nat, A3_wc, A2b, B1i_rod, B1iii_sp, B2i_rod, B2iii_sp, D3_inv"/>
    <n v="523.98919999999998"/>
    <n v="279.56720000000001"/>
    <n v="0.53353618738706798"/>
    <n v="0.422116895813481"/>
    <n v="21"/>
    <s v="RLE not adjusted"/>
    <m/>
  </r>
  <r>
    <s v="FFg3"/>
    <s v="VU"/>
    <n v="59"/>
    <s v="LC"/>
    <n v="27"/>
    <s v="CR"/>
    <s v="EN"/>
    <n v="0.5"/>
    <s v="LC"/>
    <n v="13"/>
    <n v="0.165513308472057"/>
    <s v="CR"/>
    <s v="B1i_rod, B1iii_sp"/>
    <s v="A3_nat, A3_coct, A2b, B1i_rod, B1iii_sp, B2i_rod, B2iii_sp, D3_coct; D3_inv"/>
    <n v="91.795599999999993"/>
    <n v="31.213200000000001"/>
    <n v="0.34002936959941399"/>
    <n v="0.53302375637755095"/>
    <n v="27"/>
    <s v="RLE not adjusted"/>
    <m/>
  </r>
  <r>
    <s v="FFg4"/>
    <s v="LC"/>
    <n v="14"/>
    <s v="LC"/>
    <n v="6"/>
    <s v="LC"/>
    <s v="LC"/>
    <n v="0.1"/>
    <s v="LC"/>
    <n v="0"/>
    <n v="0.14298449173647301"/>
    <s v="LC"/>
    <m/>
    <s v="A3_nat, A3_wc, A2b, B1i_rod, B1i_inv, B1iii_sp, B2i_rod, B2i_inv, B2iii_sp, D3_inv"/>
    <n v="16.934000000000001"/>
    <n v="14.134399999999999"/>
    <n v="0.83467580016534804"/>
    <n v="0.12652062345561699"/>
    <n v="6"/>
    <s v="RLE not adjusted"/>
    <m/>
  </r>
  <r>
    <s v="FFg5"/>
    <s v="VU"/>
    <n v="56"/>
    <s v="VU"/>
    <n v="38"/>
    <s v="CR"/>
    <s v="EN"/>
    <n v="0.8"/>
    <s v="LC"/>
    <n v="0"/>
    <n v="0.35152804511532099"/>
    <s v="CR"/>
    <s v="B1i_rod, B1i_inv"/>
    <s v="A3_nat, A3_wc, A2b, B1i_rod, B1i_inv, B2i_rod, B2i_inv, D3_step; D3_inv"/>
    <n v="498.22239999999999"/>
    <n v="177.678"/>
    <n v="0.35662386917970801"/>
    <n v="0.76469125411278605"/>
    <n v="38"/>
    <s v="RLE not adjusted"/>
    <m/>
  </r>
  <r>
    <s v="FFh1"/>
    <s v="VU"/>
    <n v="54"/>
    <s v="LC"/>
    <n v="21"/>
    <s v="CR"/>
    <s v="EN"/>
    <n v="0.4"/>
    <s v="LC"/>
    <n v="0"/>
    <n v="2.0883844836709901E-2"/>
    <s v="CR"/>
    <s v="B1i_rod"/>
    <s v="A3_nat, A2b, B1i_rod, B2i_rod, D3_inv"/>
    <n v="427.97719999999998"/>
    <n v="198.7996"/>
    <n v="0.46450979164310602"/>
    <n v="0.41799130618170899"/>
    <n v="21"/>
    <s v="RLE not adjusted"/>
    <m/>
  </r>
  <r>
    <s v="FFh10"/>
    <s v="LC"/>
    <n v="2"/>
    <s v="LC"/>
    <n v="1"/>
    <s v="LC"/>
    <s v="LC"/>
    <n v="0"/>
    <s v="LC"/>
    <n v="0"/>
    <n v="3.52381952909245E-2"/>
    <s v="LC"/>
    <m/>
    <s v="A3_nat, A2b, B1i_rod, B1i_inv, B1iii_sp, B2i_rod, B2i_inv, B2iii_sp, D3_step; D3_inv"/>
    <n v="283.26760000000002"/>
    <n v="277.94839999999999"/>
    <n v="0.98122199644435104"/>
    <n v="1.1626910845833499E-2"/>
    <n v="1"/>
    <s v="RLE not adjusted"/>
    <m/>
  </r>
  <r>
    <s v="FFh11"/>
    <s v="VU"/>
    <n v="58"/>
    <s v="LC"/>
    <n v="19"/>
    <s v="CR"/>
    <s v="CR"/>
    <n v="0.4"/>
    <s v="LC"/>
    <n v="0"/>
    <n v="0.15800849668331199"/>
    <s v="CR"/>
    <s v="B1i_rod, B2i_rod"/>
    <s v="A3_nat, A2b, B1i_rod, B2i_rod, D3_coct; D3_inv"/>
    <n v="12.629200000000001"/>
    <n v="5.3667999999999996"/>
    <n v="0.42495169923669002"/>
    <n v="0.38871304574822202"/>
    <n v="19"/>
    <s v="RLE not adjusted"/>
    <m/>
  </r>
  <r>
    <s v="FFh2"/>
    <s v="LC"/>
    <n v="3"/>
    <s v="LC"/>
    <n v="1"/>
    <s v="LC"/>
    <s v="LC"/>
    <n v="0"/>
    <s v="LC"/>
    <n v="0"/>
    <s v="NA"/>
    <s v="LC"/>
    <m/>
    <s v="A3_nat, A3_wc, A2b, B1i_rod, B1i_inv, B1iii_sp, B2i_rod, B2i_inv, B2iii_sp, "/>
    <n v="106.53400000000001"/>
    <n v="101.2808"/>
    <n v="0.95068992058873203"/>
    <n v="2.36032556079472E-2"/>
    <n v="1"/>
    <s v="RLE not adjusted"/>
    <m/>
  </r>
  <r>
    <s v="FFh3"/>
    <s v="LC"/>
    <n v="9"/>
    <s v="LC"/>
    <n v="5"/>
    <s v="LC"/>
    <s v="LC"/>
    <n v="0.1"/>
    <s v="LC"/>
    <n v="0"/>
    <n v="2.1047276290252701E-2"/>
    <s v="LC"/>
    <m/>
    <s v="A3_nat, A3_wc, A2b, B1i_rod, B1i_inv, B1iii_sp, B2i_rod, B2i_inv, B2iii_sp, D3_step; D3_inv"/>
    <n v="75.126800000000003"/>
    <n v="63.685200000000002"/>
    <n v="0.84770281710388296"/>
    <n v="9.4855569833796893E-2"/>
    <n v="5"/>
    <s v="RLE not adjusted"/>
    <m/>
  </r>
  <r>
    <s v="FFh4"/>
    <s v="LC"/>
    <n v="31"/>
    <s v="LC"/>
    <n v="18"/>
    <s v="EN"/>
    <s v="VU"/>
    <n v="0.4"/>
    <s v="LC"/>
    <n v="0"/>
    <n v="0.123238073909055"/>
    <s v="EN"/>
    <s v="B1i_rod, B1iii_sp"/>
    <s v="A3_nat, A3_wc, A2b, B1i_rod, B1iii_sp, B2i_rod, B2iii_sp, D3_inv"/>
    <n v="316.87599999999998"/>
    <n v="203.61240000000001"/>
    <n v="0.64256175917393599"/>
    <n v="0.36732774536912599"/>
    <n v="18"/>
    <s v="RLE not adjusted"/>
    <m/>
  </r>
  <r>
    <s v="FFh5"/>
    <s v="VU"/>
    <n v="57"/>
    <s v="LC"/>
    <n v="22"/>
    <s v="EN"/>
    <s v="EN"/>
    <n v="0.4"/>
    <s v="LC"/>
    <n v="0"/>
    <n v="0.24194476409666299"/>
    <s v="CR"/>
    <s v="B1i_rod, B2i_rod, B1iii_sp, B2iii_sp"/>
    <s v="A3_nat, A2b, B1i_rod, B1iii_sp, B2i_rod, B2iii_sp, D3_inv"/>
    <n v="84.004400000000004"/>
    <n v="35.802799999999998"/>
    <n v="0.42620148468413599"/>
    <n v="0.44003057326063599"/>
    <n v="22"/>
    <s v="RLE adjusted"/>
    <m/>
  </r>
  <r>
    <s v="FFh6"/>
    <s v="EN"/>
    <n v="76"/>
    <s v="EN"/>
    <n v="50"/>
    <s v="CR"/>
    <s v="EN"/>
    <n v="1"/>
    <s v="LC"/>
    <n v="0"/>
    <n v="0.27035226798593298"/>
    <s v="CR"/>
    <s v="B1i_rod, B1iii_sp"/>
    <s v="A3_nat, A2b, B1i_rod, B1iii_sp, B2i_rod, B2iii_sp, D3_inv"/>
    <n v="279.49160000000001"/>
    <n v="67.108000000000004"/>
    <n v="0.24010739499863301"/>
    <n v="0.99507414178346498"/>
    <n v="50"/>
    <s v="RLE not adjusted"/>
    <m/>
  </r>
  <r>
    <s v="FFh7"/>
    <s v="LC"/>
    <n v="40"/>
    <s v="LC"/>
    <n v="16"/>
    <s v="CR"/>
    <s v="EN"/>
    <n v="0.3"/>
    <s v="LC"/>
    <n v="0"/>
    <n v="0.12669123204837501"/>
    <s v="CR"/>
    <s v="B1iii_sp"/>
    <s v="A3_nat, A3_wc, A2b, B1iii_sp, B2iii_sp, D3_inv"/>
    <n v="266.61799999999999"/>
    <n v="148.17599999999999"/>
    <n v="0.555761426460329"/>
    <n v="0.32626249927470402"/>
    <n v="16"/>
    <s v="RLE not adjusted"/>
    <m/>
  </r>
  <r>
    <s v="FFh8"/>
    <s v="LC"/>
    <n v="15"/>
    <s v="LC"/>
    <n v="7"/>
    <s v="LC"/>
    <s v="LC"/>
    <n v="0.1"/>
    <s v="LC"/>
    <n v="0"/>
    <n v="2.0888487654662901E-2"/>
    <s v="LC"/>
    <m/>
    <s v="A3_nat, A3_wc, A2b, B1i_rod, B1i_inv, B1iii_sp, B2i_rod, B2i_inv, B2iii_sp, D3_inv"/>
    <n v="186.76759999999999"/>
    <n v="144.44319999999999"/>
    <n v="0.77338467699965097"/>
    <n v="0.13207213766069201"/>
    <n v="7"/>
    <s v="RLE not adjusted"/>
    <m/>
  </r>
  <r>
    <s v="FFh9"/>
    <s v="VU"/>
    <n v="57"/>
    <s v="LC"/>
    <n v="28"/>
    <s v="EN"/>
    <s v="VU"/>
    <n v="0.6"/>
    <s v="LC"/>
    <n v="0"/>
    <n v="0.40052542019668003"/>
    <s v="EN"/>
    <s v="B1i_rod, B1i_inv"/>
    <s v="A3_nat, A2b, B1i_rod, B1i_inv, B2i_rod, B2i_inv, D3_step; D3_inv"/>
    <n v="563.63919999999996"/>
    <n v="243.76679999999999"/>
    <n v="0.432487307483227"/>
    <n v="0.55739560666240695"/>
    <n v="28"/>
    <s v="RLE not adjusted"/>
    <m/>
  </r>
  <r>
    <s v="FFl1"/>
    <s v="LC"/>
    <n v="9"/>
    <s v="LC"/>
    <n v="4"/>
    <s v="CR"/>
    <s v="EN"/>
    <n v="0.1"/>
    <s v="LC"/>
    <n v="0"/>
    <n v="0.336300224818258"/>
    <s v="CR"/>
    <s v="B1i_inv, B1iii_sp"/>
    <s v="A3_nat, A3_wc, A2b, B1i_inv, B1iii_sp, B2i_inv, B2iii_sp, D3_inv"/>
    <n v="286.9588"/>
    <n v="257.45240000000001"/>
    <n v="0.89717548303101402"/>
    <n v="8.7179732125865703E-2"/>
    <n v="4"/>
    <s v="RLE not adjusted"/>
    <m/>
  </r>
  <r>
    <s v="FFl2"/>
    <s v="LC"/>
    <n v="4"/>
    <s v="LC"/>
    <n v="2"/>
    <s v="LC"/>
    <s v="LC"/>
    <n v="0"/>
    <s v="LC"/>
    <n v="0"/>
    <n v="0.182478993679664"/>
    <s v="LC"/>
    <m/>
    <s v="A3_nat, A3_wc, A2b, B1i_rod, B1i_inv, B1iii_sp, B2i_rod, B2i_inv, B2iii_sp, D3_inv"/>
    <n v="694.2568"/>
    <n v="661.61040000000003"/>
    <n v="0.952976477868132"/>
    <n v="3.2713410037785801E-2"/>
    <n v="2"/>
    <s v="RLE not adjusted"/>
    <m/>
  </r>
  <r>
    <s v="FFl3"/>
    <s v="LC"/>
    <n v="20"/>
    <s v="LC"/>
    <n v="7"/>
    <s v="LC"/>
    <s v="LC"/>
    <n v="0.1"/>
    <s v="LC"/>
    <n v="0"/>
    <n v="0.136855032196572"/>
    <s v="LC"/>
    <m/>
    <s v="A3_nat, A3_wc, A2b, B1i_rod, B1i_inv, B1iii_sp, B2i_rod, B2i_inv, B2iii_sp, D3_inv"/>
    <n v="791.67359999999996"/>
    <n v="622.36440000000005"/>
    <n v="0.78613762035263002"/>
    <n v="0.139972419530103"/>
    <n v="7"/>
    <s v="RLE not adjusted"/>
    <m/>
  </r>
  <r>
    <s v="FFq1"/>
    <s v="LC"/>
    <n v="0"/>
    <s v="LC"/>
    <n v="0"/>
    <s v="LC"/>
    <s v="LC"/>
    <n v="0"/>
    <s v="LC"/>
    <n v="0"/>
    <s v="NA"/>
    <s v="LC"/>
    <m/>
    <s v="A3_nat, A2b, B1i_rod, B1i_inv, B1iii_sp, B2i_rod, B2i_inv, B2iii_sp, "/>
    <n v="49.024000000000001"/>
    <n v="49.024000000000001"/>
    <n v="1"/>
    <n v="0"/>
    <n v="0"/>
    <s v="RLE not adjusted"/>
    <m/>
  </r>
  <r>
    <s v="FFq2"/>
    <s v="LC"/>
    <n v="1"/>
    <s v="LC"/>
    <n v="1"/>
    <s v="LC"/>
    <s v="LC"/>
    <n v="0"/>
    <s v="LC"/>
    <n v="0"/>
    <n v="4.3625291391721001E-4"/>
    <s v="LC"/>
    <m/>
    <s v="A3_nat, A3_wc, A2b, B1i_rod, B1i_inv, B1iii_sp, B2i_rod, B2i_inv, B2iii_sp, D3_inv"/>
    <n v="1646.1872000000001"/>
    <n v="1617.4104"/>
    <n v="0.98251912054716495"/>
    <n v="1.29545227292766E-2"/>
    <n v="1"/>
    <s v="RLE not adjusted"/>
    <m/>
  </r>
  <r>
    <s v="FFq3"/>
    <s v="LC"/>
    <n v="1"/>
    <s v="LC"/>
    <n v="0"/>
    <s v="LC"/>
    <s v="LC"/>
    <n v="0"/>
    <s v="LC"/>
    <n v="0"/>
    <n v="2.1667397447919801E-4"/>
    <s v="LC"/>
    <m/>
    <s v="A3_nat, A3_wc, A2b, B1i_rod, B1i_inv, B1iii_sp, B2i_rod, B2i_inv, B2iii_sp, D3_inv"/>
    <n v="1268.0852"/>
    <n v="1249.8040000000001"/>
    <n v="0.98558361851396104"/>
    <n v="6.3958877236639997E-3"/>
    <n v="0"/>
    <s v="RLE not adjusted"/>
    <m/>
  </r>
  <r>
    <s v="FFq4"/>
    <s v="LC"/>
    <n v="6"/>
    <s v="LC"/>
    <n v="2"/>
    <s v="LC"/>
    <s v="LC"/>
    <n v="0"/>
    <s v="LC"/>
    <n v="0"/>
    <n v="4.67910925002847E-3"/>
    <s v="LC"/>
    <m/>
    <s v="A3_nat, A3_wc, A2b, B1i_rod, B1i_inv, B1iii_sp, B2i_rod, B2i_inv, B2iii_sp, D3_inv"/>
    <n v="97.855999999999995"/>
    <n v="91.320800000000006"/>
    <n v="0.93321615434924798"/>
    <n v="4.91485233886612E-2"/>
    <n v="2"/>
    <s v="RLE not adjusted"/>
    <m/>
  </r>
  <r>
    <s v="FFq5"/>
    <s v="LC"/>
    <n v="0"/>
    <s v="LC"/>
    <n v="0"/>
    <s v="LC"/>
    <s v="LC"/>
    <n v="0"/>
    <s v="LC"/>
    <n v="1"/>
    <n v="4.4216565889636299E-4"/>
    <s v="LC"/>
    <m/>
    <s v="A3_nat, A2b, B1i_rod, B1i_inv, B1iii_sp, B2i_rod, B2i_inv, B2iii_sp, D3_step; D3_inv"/>
    <n v="388.81079999999997"/>
    <n v="388.31599999999997"/>
    <n v="0.99872740160509899"/>
    <n v="1.4736195080967899E-3"/>
    <n v="0"/>
    <s v="RLE not adjusted"/>
    <m/>
  </r>
  <r>
    <s v="FFq6"/>
    <s v="LC"/>
    <n v="2"/>
    <s v="LC"/>
    <n v="1"/>
    <s v="LC"/>
    <s v="LC"/>
    <n v="0"/>
    <s v="LC"/>
    <n v="0"/>
    <n v="4.7876226117079E-2"/>
    <s v="LC"/>
    <m/>
    <s v="A3_nat, A2b, B1i_rod, B1i_inv, B1iii_sp, B2i_rod, B2i_inv, B2iii_sp, D3_step; D3_inv"/>
    <n v="683.27760000000001"/>
    <n v="668.57399999999996"/>
    <n v="0.97848078145690698"/>
    <n v="2.1532938767652901E-2"/>
    <n v="1"/>
    <s v="RLE not adjusted"/>
    <m/>
  </r>
  <r>
    <s v="FFs1"/>
    <s v="LC"/>
    <n v="21"/>
    <s v="LC"/>
    <n v="9"/>
    <s v="LC"/>
    <s v="LC"/>
    <n v="0.2"/>
    <s v="LC"/>
    <n v="0"/>
    <n v="1.6874531554489602E-2"/>
    <s v="LC"/>
    <m/>
    <s v="A3_nat, A2b, B1i_rod, B1i_inv, B1iii_sp, B2i_rod, B2i_inv, B2iii_sp, D3_inv"/>
    <n v="1014.1516"/>
    <n v="800.52"/>
    <n v="0.78934944243050098"/>
    <n v="0.17293331435797499"/>
    <n v="9"/>
    <s v="RLE not adjusted"/>
    <m/>
  </r>
  <r>
    <s v="FFs10"/>
    <s v="LC"/>
    <n v="3"/>
    <s v="LC"/>
    <n v="1"/>
    <s v="LC"/>
    <s v="LC"/>
    <n v="0"/>
    <s v="LC"/>
    <n v="0"/>
    <n v="6.2214198327672297E-2"/>
    <s v="LC"/>
    <m/>
    <s v="A3_nat, A3_wc, A2b, B1i_rod, B1i_inv, B1iii_sp, B2i_rod, B2i_inv, B2iii_sp, D3_inv"/>
    <n v="1050.6224"/>
    <n v="1008.654"/>
    <n v="0.96005377383920198"/>
    <n v="2.21867265223065E-2"/>
    <n v="1"/>
    <s v="RLE not adjusted"/>
    <m/>
  </r>
  <r>
    <s v="FFs11"/>
    <s v="LC"/>
    <n v="9"/>
    <s v="LC"/>
    <n v="3"/>
    <s v="CR"/>
    <s v="VU"/>
    <n v="0.1"/>
    <s v="LC"/>
    <n v="0"/>
    <n v="4.6841102703846803E-2"/>
    <s v="CR"/>
    <s v="B1iii_sp"/>
    <s v="A3_nat, A3_wc, A2b, B1iii_sp, B2iii_sp, D3_inv"/>
    <n v="914.23479999999995"/>
    <n v="763.51959999999997"/>
    <n v="0.83514606969675598"/>
    <n v="6.6264099549214403E-2"/>
    <n v="3"/>
    <s v="RLE not adjusted"/>
    <m/>
  </r>
  <r>
    <s v="FFs12"/>
    <s v="LC"/>
    <n v="7"/>
    <s v="LC"/>
    <n v="4"/>
    <s v="EN"/>
    <s v="VU"/>
    <n v="0.1"/>
    <s v="LC"/>
    <n v="0"/>
    <n v="0.123548573910526"/>
    <s v="EN"/>
    <s v="B1iii_sp"/>
    <s v="A3_nat, A3_wc, A2b, B1iii_sp, B2iii_sp, D3_inv"/>
    <n v="1179.4079999999999"/>
    <n v="1049.864"/>
    <n v="0.89016184390813002"/>
    <n v="7.1760992991227998E-2"/>
    <n v="4"/>
    <s v="RLE not adjusted"/>
    <m/>
  </r>
  <r>
    <s v="FFs13"/>
    <s v="LC"/>
    <n v="2"/>
    <s v="LC"/>
    <n v="1"/>
    <s v="LC"/>
    <s v="LC"/>
    <n v="0"/>
    <s v="LC"/>
    <n v="0"/>
    <n v="2.4692249210944602E-2"/>
    <s v="LC"/>
    <m/>
    <s v="A3_nat, A3_wc, A2b, B1i_rod, B1i_inv, B1iii_sp, B2i_rod, B2i_inv, B2iii_sp, D3_inv"/>
    <n v="531.50400000000002"/>
    <n v="520.87599999999998"/>
    <n v="0.98000391342304105"/>
    <n v="1.86093835759178E-2"/>
    <n v="1"/>
    <s v="RLE not adjusted"/>
    <m/>
  </r>
  <r>
    <s v="FFs14"/>
    <s v="LC"/>
    <n v="6"/>
    <s v="LC"/>
    <n v="3"/>
    <s v="CR"/>
    <s v="EN"/>
    <n v="0.1"/>
    <s v="LC"/>
    <n v="0"/>
    <n v="0.13876216882834599"/>
    <s v="CR"/>
    <s v="B1iii_sp"/>
    <s v="A3_nat, A3_wc, A2b, B1iii_sp, B2iii_sp, D3_inv"/>
    <n v="358.88279999999997"/>
    <n v="333.10520000000002"/>
    <n v="0.92817265135024596"/>
    <n v="5.1297095295519499E-2"/>
    <n v="3"/>
    <s v="RLE not adjusted"/>
    <m/>
  </r>
  <r>
    <s v="FFs15"/>
    <s v="LC"/>
    <n v="7"/>
    <s v="LC"/>
    <n v="3"/>
    <s v="LC"/>
    <s v="LC"/>
    <n v="0.1"/>
    <s v="LC"/>
    <n v="0"/>
    <n v="2.1840405456217699E-2"/>
    <s v="LC"/>
    <m/>
    <s v="A3_nat, A3_wc, A2b, B1i_rod, B1i_inv, B1iii_sp, B2i_rod, B2i_inv, B2iii_sp, D3_inv"/>
    <n v="993.57759999999996"/>
    <n v="906.35680000000002"/>
    <n v="0.91221541226372305"/>
    <n v="6.8567967713043299E-2"/>
    <n v="3"/>
    <s v="RLE not adjusted"/>
    <m/>
  </r>
  <r>
    <s v="FFs16"/>
    <s v="LC"/>
    <n v="2"/>
    <s v="LC"/>
    <n v="1"/>
    <s v="LC"/>
    <s v="LC"/>
    <n v="0"/>
    <s v="LC"/>
    <n v="0"/>
    <n v="9.8727704140075298E-2"/>
    <s v="LC"/>
    <m/>
    <s v="A3_nat, A3_wc, A2b, B1i_rod, B1i_inv, B1iii_sp, B2i_rod, B2i_inv, B2iii_sp, D3_inv"/>
    <n v="1215.3227999999999"/>
    <n v="1173.3119999999999"/>
    <n v="0.96543239376402701"/>
    <n v="2.1103003396628101E-2"/>
    <n v="1"/>
    <s v="RLE not adjusted"/>
    <m/>
  </r>
  <r>
    <s v="FFs17"/>
    <s v="LC"/>
    <n v="5"/>
    <s v="LC"/>
    <n v="2"/>
    <s v="CR"/>
    <s v="EN"/>
    <n v="0"/>
    <s v="LC"/>
    <n v="0"/>
    <n v="7.6545425540400405E-2"/>
    <s v="CR"/>
    <s v="B1iii_sp"/>
    <s v="A3_nat, A3_wc, A2b, B1iii_sp, B2iii_sp, D3_inv"/>
    <n v="107.4468"/>
    <n v="100.29600000000001"/>
    <n v="0.933447994728554"/>
    <n v="3.9209257815269002E-2"/>
    <n v="2"/>
    <s v="RLE not adjusted"/>
    <m/>
  </r>
  <r>
    <s v="FFs18"/>
    <s v="LC"/>
    <n v="13"/>
    <s v="LC"/>
    <n v="4"/>
    <s v="LC"/>
    <s v="LC"/>
    <n v="0.1"/>
    <s v="LC"/>
    <n v="0"/>
    <n v="6.4775826405089401E-2"/>
    <s v="LC"/>
    <m/>
    <s v="A3_nat, A3_wc, A2b, B1i_rod, B1i_inv, B1iii_sp, B2i_rod, B2i_inv, B2iii_sp, D3_step; D3_inv"/>
    <n v="878.80520000000001"/>
    <n v="732.31640000000004"/>
    <n v="0.83330913381031402"/>
    <n v="8.8077489213796004E-2"/>
    <n v="4"/>
    <s v="RLE not adjusted"/>
    <m/>
  </r>
  <r>
    <s v="FFs19"/>
    <s v="LC"/>
    <n v="23"/>
    <s v="LC"/>
    <n v="8"/>
    <s v="LC"/>
    <s v="LC"/>
    <n v="0.2"/>
    <s v="LC"/>
    <n v="0"/>
    <n v="0.180514896209862"/>
    <s v="LC"/>
    <m/>
    <s v="A3_nat, A3_wc, A2b, B1i_rod, B1i_inv, B1iii_sp, B2i_rod, B2i_inv, B2iii_sp, D3_step; D3_inv"/>
    <n v="1571.0644"/>
    <n v="1047.7295999999999"/>
    <n v="0.66689156727120802"/>
    <n v="0.153444445251182"/>
    <n v="8"/>
    <s v="RLE not adjusted"/>
    <m/>
  </r>
  <r>
    <s v="FFs2"/>
    <s v="LC"/>
    <n v="27"/>
    <s v="LC"/>
    <n v="14"/>
    <s v="LC"/>
    <s v="LC"/>
    <n v="0.3"/>
    <s v="LC"/>
    <n v="0"/>
    <n v="1.6250327902765899E-2"/>
    <s v="LC"/>
    <m/>
    <s v="A3_nat, A3_wc, A2b, B1i_rod, B1i_inv, B1iii_sp, B2i_rod, B2i_inv, B2iii_sp, D3_inv"/>
    <n v="1343.1468"/>
    <n v="937.77800000000002"/>
    <n v="0.698194717062945"/>
    <n v="0.28220426567353901"/>
    <n v="14"/>
    <s v="RLE not adjusted"/>
    <m/>
  </r>
  <r>
    <s v="FFs20"/>
    <s v="LC"/>
    <n v="32"/>
    <s v="LC"/>
    <n v="9"/>
    <s v="LC"/>
    <s v="LC"/>
    <n v="0.2"/>
    <s v="LC"/>
    <n v="0"/>
    <n v="0.19344814441635799"/>
    <s v="LC"/>
    <m/>
    <s v="A3_nat, A2b, B1i_rod, B1i_inv, B1iii_sp, B2i_rod, B2i_inv, B2iii_sp, D3_step; D3_inv"/>
    <n v="2298.4987999999998"/>
    <n v="1567.7116000000001"/>
    <n v="0.68205891601944701"/>
    <n v="0.17041730483321099"/>
    <n v="9"/>
    <s v="RLE not adjusted"/>
    <m/>
  </r>
  <r>
    <s v="FFs21"/>
    <s v="LC"/>
    <n v="0"/>
    <s v="LC"/>
    <n v="0"/>
    <s v="LC"/>
    <s v="LC"/>
    <n v="0"/>
    <s v="LC"/>
    <n v="3"/>
    <n v="2.1947007723585898E-3"/>
    <s v="LC"/>
    <m/>
    <s v="A3_nat, A3_wc, A2b, B1i_rod, B1i_inv, B1iii_sp, B2i_rod, B2i_inv, B2iii_sp, D3_lk; D3_inv"/>
    <n v="318.33960000000002"/>
    <n v="318.03879999999998"/>
    <n v="0.99905509713525997"/>
    <n v="2.0502904028183999E-3"/>
    <n v="0"/>
    <s v="RLE not adjusted"/>
    <m/>
  </r>
  <r>
    <s v="FFs22"/>
    <s v="LC"/>
    <n v="0"/>
    <s v="LC"/>
    <n v="0"/>
    <s v="LC"/>
    <s v="LC"/>
    <n v="0"/>
    <s v="LC"/>
    <n v="1"/>
    <n v="2.8953481371997501E-3"/>
    <s v="LC"/>
    <m/>
    <s v="A3_nat, A3_wc, A2b, B1i_rod, B1i_inv, B1iii_sp, B2i_rod, B2i_inv, B2iii_sp, D3_lk; D3_inv"/>
    <n v="388.32560000000001"/>
    <n v="385.3768"/>
    <n v="0.99240637238441098"/>
    <n v="3.6965455538816201E-3"/>
    <n v="0"/>
    <s v="RLE not adjusted"/>
    <m/>
  </r>
  <r>
    <s v="FFs23"/>
    <s v="LC"/>
    <n v="1"/>
    <s v="LC"/>
    <n v="0"/>
    <s v="LC"/>
    <s v="LC"/>
    <n v="0"/>
    <s v="LC"/>
    <n v="0"/>
    <n v="5.2333744628345303E-4"/>
    <s v="LC"/>
    <m/>
    <s v="A3_nat, A3_wc, A2b, B1i_rod, B1i_inv, B1iii_sp, B2i_rod, B2i_inv, B2iii_sp, D3_inv"/>
    <n v="852.19240000000002"/>
    <n v="846.10799999999995"/>
    <n v="0.99286029774496898"/>
    <n v="6.4647902606792904E-3"/>
    <n v="0"/>
    <s v="RLE not adjusted"/>
    <m/>
  </r>
  <r>
    <s v="FFs24"/>
    <s v="LC"/>
    <n v="0"/>
    <s v="LC"/>
    <n v="0"/>
    <s v="LC"/>
    <s v="LC"/>
    <n v="0"/>
    <s v="LC"/>
    <n v="0"/>
    <n v="3.61947233984676E-3"/>
    <s v="LC"/>
    <m/>
    <s v="A3_nat, A3_wc, A2b, B1i_rod, B1i_inv, B1iii_sp, B2i_rod, B2i_inv, B2iii_sp, D3_inv"/>
    <n v="1084.7883999999999"/>
    <n v="1082.2572"/>
    <n v="0.99766664171556396"/>
    <n v="3.71235364236108E-3"/>
    <n v="0"/>
    <s v="RLE not adjusted"/>
    <m/>
  </r>
  <r>
    <s v="FFs25"/>
    <s v="LC"/>
    <n v="0"/>
    <s v="LC"/>
    <n v="0"/>
    <s v="LC"/>
    <s v="LC"/>
    <n v="0"/>
    <s v="LC"/>
    <n v="0"/>
    <n v="2.53365616496809E-3"/>
    <s v="LC"/>
    <m/>
    <s v="A3_nat, A3_wc, A2b, B1i_rod, B1i_inv, B1iii_sp, B2i_rod, B2i_inv, B2iii_sp, D3_lk; D3_inv"/>
    <n v="332.5684"/>
    <n v="330.90519999999998"/>
    <n v="0.99499892352971597"/>
    <n v="3.6259816184996099E-3"/>
    <n v="0"/>
    <s v="RLE not adjusted"/>
    <m/>
  </r>
  <r>
    <s v="FFs26"/>
    <s v="LC"/>
    <n v="5"/>
    <s v="LC"/>
    <n v="2"/>
    <s v="LC"/>
    <s v="LC"/>
    <n v="0"/>
    <s v="LC"/>
    <n v="0"/>
    <n v="1.91999554137465E-2"/>
    <s v="LC"/>
    <m/>
    <s v="A3_nat, A3_wc, A2b, B1i_rod, B1i_inv, B1iii_sp, B2i_rod, B2i_inv, B2iii_sp, D3_lk; D3_inv"/>
    <n v="304.18439999999998"/>
    <n v="287.084"/>
    <n v="0.94378278438999497"/>
    <n v="3.2271314494366599E-2"/>
    <n v="2"/>
    <s v="RLE not adjusted"/>
    <m/>
  </r>
  <r>
    <s v="FFs27"/>
    <s v="LC"/>
    <n v="10"/>
    <s v="LC"/>
    <n v="3"/>
    <s v="LC"/>
    <s v="LC"/>
    <n v="0.1"/>
    <s v="LC"/>
    <n v="0"/>
    <n v="1.0149094451718301E-2"/>
    <s v="LC"/>
    <m/>
    <s v="A3_nat, A2b, B1i_rod, B1i_inv, B1iii_sp, B2i_rod, B2i_inv, B2iii_sp, D3_step; D3_inv"/>
    <n v="2402.9412000000002"/>
    <n v="2155.9756000000002"/>
    <n v="0.897223619121433"/>
    <n v="5.87123922110903E-2"/>
    <n v="3"/>
    <s v="RLE not adjusted"/>
    <m/>
  </r>
  <r>
    <s v="FFs28"/>
    <s v="LC"/>
    <n v="9"/>
    <s v="LC"/>
    <n v="2"/>
    <s v="LC"/>
    <s v="LC"/>
    <n v="0"/>
    <s v="LC"/>
    <n v="0"/>
    <n v="1.7579476995504599E-2"/>
    <s v="LC"/>
    <m/>
    <s v="A3_nat, A2b, B1i_rod, B1i_inv, B1iii_sp, B2i_rod, B2i_inv, B2iii_sp, D3_step; D3_inv"/>
    <n v="4052.18"/>
    <n v="3696.5036"/>
    <n v="0.91222591296536704"/>
    <n v="4.6238102939345403E-2"/>
    <n v="2"/>
    <s v="RLE not adjusted"/>
    <m/>
  </r>
  <r>
    <s v="FFs29"/>
    <s v="VU"/>
    <n v="65"/>
    <s v="VU"/>
    <n v="31"/>
    <s v="CR"/>
    <s v="EN"/>
    <n v="0.6"/>
    <s v="LC"/>
    <n v="31"/>
    <n v="0.14065181666023699"/>
    <s v="CR"/>
    <s v="B1i_rod, B1iii_sp"/>
    <s v="A3_nat, A3_nmb, A2b, B1i_rod, B1iii_sp, B2i_rod, B2iii_sp, D3_nmb; D3_inv"/>
    <n v="334.19639999999998"/>
    <n v="131.68119999999999"/>
    <n v="0.39402339462663299"/>
    <n v="0.61709086410242697"/>
    <n v="31"/>
    <s v="RLE not adjusted"/>
    <m/>
  </r>
  <r>
    <s v="FFs3"/>
    <s v="LC"/>
    <n v="3"/>
    <s v="LC"/>
    <n v="2"/>
    <s v="LC"/>
    <s v="LC"/>
    <n v="0"/>
    <s v="LC"/>
    <n v="0"/>
    <n v="2.0880260653833398E-2"/>
    <s v="LC"/>
    <m/>
    <s v="A3_nat, A3_wc, A2b, B1i_rod, B1i_inv, B1iii_sp, B2i_rod, B2i_inv, B2iii_sp, D3_inv"/>
    <n v="498.23840000000001"/>
    <n v="469.34280000000001"/>
    <n v="0.94200447014923006"/>
    <n v="3.1998737237409397E-2"/>
    <n v="2"/>
    <s v="RLE not adjusted"/>
    <m/>
  </r>
  <r>
    <s v="FFs30"/>
    <s v="LC"/>
    <n v="0"/>
    <s v="LC"/>
    <n v="0"/>
    <s v="LC"/>
    <s v="LC"/>
    <n v="0"/>
    <s v="LC"/>
    <n v="0"/>
    <n v="2.9348672906372399E-5"/>
    <s v="LC"/>
    <m/>
    <s v="A3_nat, A3_wc, A2b, B1i_rod, B1i_inv, B1iii_sp, B2i_rod, B2i_inv, B2iii_sp, D3_inv"/>
    <n v="37.525199999999998"/>
    <n v="37.480400000000003"/>
    <n v="0.99880613561020304"/>
    <n v="3.73082621811435E-3"/>
    <n v="0"/>
    <s v="RLE not adjusted"/>
    <m/>
  </r>
  <r>
    <s v="FFs31"/>
    <s v="LC"/>
    <n v="0"/>
    <s v="LC"/>
    <n v="0"/>
    <s v="LC"/>
    <s v="LC"/>
    <n v="0"/>
    <s v="LC"/>
    <n v="0"/>
    <n v="1.24040165386887E-4"/>
    <s v="LC"/>
    <m/>
    <s v="A3_nat, A3_wc, A2b, B1i_rod, B1i_inv, B1iii_sp, B2i_rod, B2i_inv, B2iii_sp, D3_step; D3_inv"/>
    <n v="50.834800000000001"/>
    <n v="50.79"/>
    <n v="0.99911871395186003"/>
    <n v="2.75401890043842E-3"/>
    <n v="0"/>
    <s v="RLE not adjusted"/>
    <m/>
  </r>
  <r>
    <s v="FFs32"/>
    <s v="LC"/>
    <n v="35"/>
    <s v="LC"/>
    <n v="22"/>
    <s v="CR"/>
    <s v="EN"/>
    <n v="0.4"/>
    <s v="LC"/>
    <n v="0"/>
    <n v="5.4799036331738497E-3"/>
    <s v="CR"/>
    <s v="B1i_rod"/>
    <s v="A3_nat, A2b, B1i_rod, B2i_rod, D3_inv"/>
    <n v="547.94880000000001"/>
    <n v="354.31279999999998"/>
    <n v="0.64661661819498495"/>
    <n v="0.44287459437252202"/>
    <n v="22"/>
    <s v="RLE not adjusted"/>
    <m/>
  </r>
  <r>
    <s v="FFs4"/>
    <s v="LC"/>
    <n v="10"/>
    <s v="LC"/>
    <n v="4"/>
    <s v="LC"/>
    <s v="LC"/>
    <n v="0.1"/>
    <s v="LC"/>
    <n v="0"/>
    <n v="7.4395855029213203E-3"/>
    <s v="LC"/>
    <m/>
    <s v="A3_nat, A3_wc, A2b, B1i_rod, B1i_inv, B1iii_sp, B2i_rod, B2i_inv, B2iii_sp, D3_inv"/>
    <n v="2523.64"/>
    <n v="2232.7588000000001"/>
    <n v="0.88473744274143695"/>
    <n v="7.0583922325214404E-2"/>
    <n v="4"/>
    <s v="RLE not adjusted"/>
    <m/>
  </r>
  <r>
    <s v="FFs5"/>
    <s v="LC"/>
    <n v="5"/>
    <s v="LC"/>
    <n v="2"/>
    <s v="LC"/>
    <s v="LC"/>
    <n v="0"/>
    <s v="LC"/>
    <n v="0"/>
    <n v="9.5860588420653599E-3"/>
    <s v="LC"/>
    <m/>
    <s v="A3_nat, A3_wc, A2b, B1i_rod, B1i_inv, B1iii_sp, B2i_rod, B2i_inv, B2iii_sp, D3_inv"/>
    <n v="1135.9860000000001"/>
    <n v="1051.0576000000001"/>
    <n v="0.92523816314637697"/>
    <n v="4.3603909371978E-2"/>
    <n v="2"/>
    <s v="RLE not adjusted"/>
    <m/>
  </r>
  <r>
    <s v="FFs6"/>
    <s v="LC"/>
    <n v="10"/>
    <s v="LC"/>
    <n v="5"/>
    <s v="CR"/>
    <s v="EN"/>
    <n v="0.1"/>
    <s v="LC"/>
    <n v="0"/>
    <n v="2.8003862899440499E-2"/>
    <s v="CR"/>
    <s v="B1iii_sp"/>
    <s v="A3_nat, A3_wc, A2b, B1iii_sp, B2iii_sp, D3_inv"/>
    <n v="422.87639999999999"/>
    <n v="370.70600000000002"/>
    <n v="0.87662967240545897"/>
    <n v="0.102175837159518"/>
    <n v="5"/>
    <s v="RLE not adjusted"/>
    <m/>
  </r>
  <r>
    <s v="FFs7"/>
    <s v="LC"/>
    <n v="5"/>
    <s v="LC"/>
    <n v="2"/>
    <s v="LC"/>
    <s v="LC"/>
    <n v="0"/>
    <s v="LC"/>
    <n v="0"/>
    <n v="7.3557707336475899E-3"/>
    <s v="LC"/>
    <m/>
    <s v="A3_nat, A3_wc, A2b, B1i_rod, B1i_inv, B1iii_sp, B2i_rod, B2i_inv, B2iii_sp, D3_inv"/>
    <n v="394.07119999999998"/>
    <n v="371.08280000000002"/>
    <n v="0.94166434898059004"/>
    <n v="3.9334701388881302E-2"/>
    <n v="2"/>
    <s v="RLE not adjusted"/>
    <m/>
  </r>
  <r>
    <s v="FFs8"/>
    <s v="LC"/>
    <n v="1"/>
    <s v="LC"/>
    <n v="1"/>
    <s v="LC"/>
    <s v="LC"/>
    <n v="0"/>
    <s v="LC"/>
    <n v="0"/>
    <n v="1.3422391535142301E-2"/>
    <s v="LC"/>
    <m/>
    <s v="A3_nat, A3_wc, A2b, B1i_rod, B1i_inv, B1iii_sp, B2i_rod, B2i_inv, B2iii_sp, D3_inv"/>
    <n v="319.74639999999999"/>
    <n v="315.73360000000002"/>
    <n v="0.98745005416792797"/>
    <n v="1.2386037414429301E-2"/>
    <n v="1"/>
    <s v="RLE not adjusted"/>
    <m/>
  </r>
  <r>
    <s v="FFs9"/>
    <s v="LC"/>
    <n v="6"/>
    <s v="LC"/>
    <n v="2"/>
    <s v="CR"/>
    <s v="EN"/>
    <n v="0"/>
    <s v="LC"/>
    <n v="1"/>
    <n v="4.05488104842677E-2"/>
    <s v="CR"/>
    <s v="B1iii_sp"/>
    <s v="A3_nat, A3_coct, A2b, B1iii_sp, B2iii_sp, D3_coct; D3_inv"/>
    <n v="219.44640000000001"/>
    <n v="203.27600000000001"/>
    <n v="0.92631275792175205"/>
    <n v="4.9766272796631802E-2"/>
    <n v="2"/>
    <s v="RLE not adjusted"/>
    <m/>
  </r>
  <r>
    <s v="FFt1"/>
    <s v="LC"/>
    <n v="2"/>
    <s v="LC"/>
    <n v="1"/>
    <s v="LC"/>
    <s v="LC"/>
    <n v="0"/>
    <s v="LC"/>
    <n v="0"/>
    <n v="8.0196269484936605E-3"/>
    <s v="LC"/>
    <m/>
    <s v="A3_nat, A3_wc, A2b, B1i_rod, B1i_inv, B1iii_sp, B2i_rod, B2i_inv, B2iii_sp, D3_step; D3_inv"/>
    <n v="404.95440000000002"/>
    <n v="395.74160000000001"/>
    <n v="0.97724978417323005"/>
    <n v="1.55855097941994E-2"/>
    <n v="1"/>
    <s v="RLE not adjusted"/>
    <m/>
  </r>
  <r>
    <s v="FFt2"/>
    <s v="LC"/>
    <n v="14"/>
    <s v="LC"/>
    <n v="2"/>
    <s v="LC"/>
    <s v="LC"/>
    <n v="0"/>
    <s v="LC"/>
    <n v="0"/>
    <n v="2.13536537813349E-2"/>
    <s v="LC"/>
    <m/>
    <s v="A3_nat, A2b, B1i_rod, B1i_inv, B1iii_sp, B2i_rod, B2i_inv, B2iii_sp, D3_step; D3_inv"/>
    <n v="211.16239999999999"/>
    <n v="181.57079999999999"/>
    <n v="0.85986330899819297"/>
    <n v="4.7198288955234299E-2"/>
    <n v="2"/>
    <s v="RLE not adjusted"/>
    <m/>
  </r>
  <r>
    <s v="FOa1"/>
    <s v="LC"/>
    <n v="24"/>
    <s v="LC"/>
    <n v="17"/>
    <s v="LC"/>
    <s v="LC"/>
    <n v="0.3"/>
    <s v="LC"/>
    <n v="0"/>
    <n v="4.6830683991821104E-3"/>
    <s v="VU"/>
    <s v="B2i_rod"/>
    <s v="A3_nat, A2b, B1i_rod, B1i_inv, B1iii_sp, B2i_rod, B2i_inv, B2iii_sp, D3_inv"/>
    <n v="176.51240000000001"/>
    <n v="133.41679999999999"/>
    <n v="0.75584944740426196"/>
    <n v="0.34894045282275199"/>
    <n v="17"/>
    <s v="RLE adjusted"/>
    <m/>
  </r>
  <r>
    <s v="FOz1"/>
    <s v="LC"/>
    <n v="20"/>
    <s v="LC"/>
    <n v="2"/>
    <s v="LC"/>
    <s v="LC"/>
    <n v="0"/>
    <s v="LC"/>
    <n v="0"/>
    <n v="3.2371103364061397E-2"/>
    <s v="LC"/>
    <m/>
    <s v="A3_nat, A2b, B1i_rod, B1i_inv, B1iii_sp, B2i_rod, B2i_inv, B2iii_sp, D3_step; D3_inv"/>
    <n v="788.08280000000002"/>
    <n v="632.21199999999999"/>
    <n v="0.80221519870754698"/>
    <n v="3.4684008136302402E-2"/>
    <n v="2"/>
    <s v="RLE not adjusted"/>
    <m/>
  </r>
  <r>
    <s v="FOz2"/>
    <s v="LC"/>
    <n v="15"/>
    <s v="LC"/>
    <n v="3"/>
    <s v="LC"/>
    <s v="LC"/>
    <n v="0.1"/>
    <s v="LC"/>
    <n v="0"/>
    <n v="2.8036276564953101E-2"/>
    <s v="LC"/>
    <m/>
    <s v="A3_nat, A2b, B1i_rod, B1i_inv, B1iii_sp, B2i_rod, B2i_inv, B2iii_sp, D3_inv"/>
    <n v="214.07320000000001"/>
    <n v="182.42080000000001"/>
    <n v="0.85214216445589597"/>
    <n v="5.1621480574149302E-2"/>
    <n v="3"/>
    <s v="RLE not adjusted"/>
    <m/>
  </r>
  <r>
    <s v="FOz3"/>
    <s v="LC"/>
    <n v="17"/>
    <s v="LC"/>
    <n v="2"/>
    <s v="LC"/>
    <s v="LC"/>
    <n v="0"/>
    <s v="LC"/>
    <n v="0"/>
    <n v="3.85190860825428E-2"/>
    <s v="LC"/>
    <m/>
    <s v="A3_nat, A2b, B1i_rod, B1i_inv, B1iii_sp, B2i_rod, B2i_inv, B2iii_sp, D3_inv"/>
    <n v="1062.2747999999999"/>
    <n v="884.35119999999995"/>
    <n v="0.83250699348228896"/>
    <n v="3.05417904518256E-2"/>
    <n v="2"/>
    <s v="RLE not adjusted"/>
    <m/>
  </r>
  <r>
    <s v="FOz4"/>
    <s v="LC"/>
    <n v="26"/>
    <s v="LC"/>
    <n v="1"/>
    <s v="LC"/>
    <s v="LC"/>
    <n v="0"/>
    <s v="LC"/>
    <n v="0"/>
    <n v="4.3290930336879502E-2"/>
    <s v="LC"/>
    <m/>
    <s v="A3_nat, A2b, B1i_rod, B1i_inv, B1iii_sp, B2i_rod, B2i_inv, B2iii_sp, D3_inv"/>
    <n v="389.35840000000002"/>
    <n v="288.91039999999998"/>
    <n v="0.74201660988950002"/>
    <n v="2.87855062682533E-2"/>
    <n v="1"/>
    <s v="RLE not adjusted"/>
    <m/>
  </r>
  <r>
    <s v="FOz5"/>
    <s v="LC"/>
    <n v="8"/>
    <s v="LC"/>
    <n v="1"/>
    <s v="LC"/>
    <s v="LC"/>
    <n v="0"/>
    <s v="LC"/>
    <n v="0"/>
    <n v="1.3866189579558499E-2"/>
    <s v="LC"/>
    <m/>
    <s v="A3_nat, A2b, B1i_rod, B1i_inv, B1iii_sp, B2i_rod, B2i_inv, B2iii_sp, D3_inv"/>
    <n v="1029.4780000000001"/>
    <n v="946.18640000000005"/>
    <n v="0.91909336576400902"/>
    <n v="2.60574312597362E-2"/>
    <n v="1"/>
    <s v="RLE not adjusted"/>
    <m/>
  </r>
  <r>
    <s v="FOz6"/>
    <s v="LC"/>
    <n v="19"/>
    <s v="LC"/>
    <n v="3"/>
    <s v="LC"/>
    <s v="LC"/>
    <n v="0.1"/>
    <s v="LC"/>
    <n v="0"/>
    <n v="1.4614175690789301E-2"/>
    <s v="LC"/>
    <m/>
    <s v="A3_nat, A2b, B1i_rod, B1i_inv, B1iii_sp, B2i_rod, B2i_inv, B2iii_sp, D3_inv"/>
    <n v="185.23439999999999"/>
    <n v="150.9288"/>
    <n v="0.81479897902333498"/>
    <n v="5.34738376257844E-2"/>
    <n v="3"/>
    <s v="RLE not adjusted"/>
    <m/>
  </r>
  <r>
    <s v="FOz7"/>
    <s v="LC"/>
    <n v="25"/>
    <s v="LC"/>
    <n v="13"/>
    <s v="LC"/>
    <s v="LC"/>
    <n v="0.3"/>
    <s v="LC"/>
    <n v="0"/>
    <n v="3.6081285037491101E-3"/>
    <s v="LC"/>
    <m/>
    <s v="A3_nat, A3_kzn, A2b, B1i_rod, B1i_inv, B1iii_sp, B2i_rod, B2i_inv, B2iii_sp, D3_inv"/>
    <n v="680.32079999999996"/>
    <n v="514.94839999999999"/>
    <n v="0.756919970696177"/>
    <n v="0.25290981371195398"/>
    <n v="13"/>
    <s v="RLE not adjusted"/>
    <m/>
  </r>
  <r>
    <s v="FOz8"/>
    <s v="LC"/>
    <n v="9"/>
    <s v="LC"/>
    <n v="4"/>
    <s v="LC"/>
    <s v="LC"/>
    <n v="0.1"/>
    <s v="LC"/>
    <n v="0"/>
    <n v="5.4862900069274601E-4"/>
    <s v="LC"/>
    <m/>
    <s v="A3_nat, A3_kzn, A2b, B1i_rod, B1i_inv, B1iii_sp, B2i_rod, B2i_inv, B2iii_sp, D3_inv"/>
    <n v="265.43079999999998"/>
    <n v="244.24520000000001"/>
    <n v="0.92018409317984196"/>
    <n v="8.8656749548884306E-2"/>
    <n v="4"/>
    <s v="RLE not adjusted"/>
    <m/>
  </r>
  <r>
    <s v="FOz9"/>
    <s v="LC"/>
    <n v="0"/>
    <s v="LC"/>
    <n v="0"/>
    <s v="LC"/>
    <s v="LC"/>
    <n v="0"/>
    <s v="LC"/>
    <n v="0"/>
    <s v="NA"/>
    <s v="LC"/>
    <m/>
    <s v="A3_nat, A2b, B1i_rod, B1i_inv, B1iii_sp, B2i_rod, B2i_inv, B2iii_sp, "/>
    <n v="81.642799999999994"/>
    <n v="81.260400000000004"/>
    <n v="0.995316182198553"/>
    <n v="4.4603307412152199E-4"/>
    <n v="0"/>
    <s v="RLE not adjusted"/>
    <m/>
  </r>
  <r>
    <s v="FRa1"/>
    <s v="VU"/>
    <n v="57"/>
    <s v="VU"/>
    <n v="41"/>
    <s v="EN"/>
    <s v="VU"/>
    <n v="0.8"/>
    <s v="LC"/>
    <n v="0"/>
    <n v="0.102381329168358"/>
    <s v="EN"/>
    <s v="B1i_rod"/>
    <s v="A3_nat, A3_wc, A2b, B1i_rod, B2i_rod, D3_inv"/>
    <n v="497.67599999999999"/>
    <n v="174.4068"/>
    <n v="0.350442456537989"/>
    <n v="0.82312947580216"/>
    <n v="41"/>
    <s v="RLE not adjusted"/>
    <m/>
  </r>
  <r>
    <s v="FRa2"/>
    <s v="LC"/>
    <n v="35"/>
    <s v="LC"/>
    <n v="17"/>
    <s v="CR"/>
    <s v="EN"/>
    <n v="0.3"/>
    <s v="LC"/>
    <n v="0"/>
    <n v="0.150000547447253"/>
    <s v="CR"/>
    <s v="B1iii_sp"/>
    <s v="A3_nat, A3_wc, A2b, B1iii_sp, B2iii_sp, D3_inv"/>
    <n v="63.072000000000003"/>
    <n v="36.533200000000001"/>
    <n v="0.57923008625063399"/>
    <n v="0.33146349221885102"/>
    <n v="17"/>
    <s v="RLE not adjusted"/>
    <m/>
  </r>
  <r>
    <s v="FRc1"/>
    <s v="EN"/>
    <n v="80"/>
    <s v="EN"/>
    <n v="60"/>
    <s v="EN"/>
    <s v="CR"/>
    <n v="1.2"/>
    <s v="LC"/>
    <n v="0"/>
    <n v="0.102890173410405"/>
    <s v="CR"/>
    <s v="B2i_rod, B2iii_sp"/>
    <s v="A3_nat, A3_wc, A2b, B1i_rod, B1iii_sp, B2i_rod, B2iii_sp, D3_inv"/>
    <n v="101.0616"/>
    <n v="12.802"/>
    <n v="0.126675215907921"/>
    <n v="1.1911724898006499"/>
    <n v="60"/>
    <s v="RLE not adjusted"/>
    <m/>
  </r>
  <r>
    <s v="FRc2"/>
    <s v="EN"/>
    <n v="81"/>
    <s v="EN"/>
    <n v="51"/>
    <s v="EN"/>
    <s v="EN"/>
    <n v="1"/>
    <s v="LC"/>
    <n v="0"/>
    <n v="9.3819751526637199E-2"/>
    <s v="EN"/>
    <s v="A3_nat, A3_wc, A2b, B1i_rod, B1iii_sp, B2i_rod, B2iii_sp"/>
    <s v="A3_nat, A3_wc, A2b, B1i_rod, B1iii_sp, B2i_rod, B2iii_sp, D3_inv"/>
    <n v="209.756"/>
    <n v="28.494"/>
    <n v="0.13584355155514"/>
    <n v="1.0275827954962999"/>
    <n v="51"/>
    <s v="RLE not adjusted"/>
    <m/>
  </r>
  <r>
    <s v="FRd1"/>
    <s v="LC"/>
    <n v="10"/>
    <s v="LC"/>
    <n v="4"/>
    <s v="LC"/>
    <s v="LC"/>
    <n v="0.1"/>
    <s v="LC"/>
    <n v="0"/>
    <n v="2.7479547510210998E-3"/>
    <s v="LC"/>
    <m/>
    <s v="A3_nat, A2b, B1i_rod, B1i_inv, B1iii_sp, B2i_rod, B2i_inv, B2iii_sp, D3_inv"/>
    <n v="219.49440000000001"/>
    <n v="197.23759999999999"/>
    <n v="0.89859969092605496"/>
    <n v="8.0061069954294004E-2"/>
    <n v="4"/>
    <s v="RLE not adjusted"/>
    <m/>
  </r>
  <r>
    <s v="FRd2"/>
    <s v="LC"/>
    <n v="2"/>
    <s v="LC"/>
    <n v="0"/>
    <s v="LC"/>
    <s v="LC"/>
    <n v="0"/>
    <s v="LC"/>
    <n v="0"/>
    <n v="7.2949111096331002E-4"/>
    <s v="LC"/>
    <m/>
    <s v="A3_nat, A2b, B1i_rod, B1i_inv, B1iii_sp, B2i_rod, B2i_inv, B2iii_sp, D3_inv"/>
    <n v="578.92600000000004"/>
    <n v="565.32560000000001"/>
    <n v="0.97650753291439696"/>
    <n v="7.0287680903636501E-3"/>
    <n v="0"/>
    <s v="RLE not adjusted"/>
    <m/>
  </r>
  <r>
    <s v="FRg1"/>
    <s v="LC"/>
    <n v="17"/>
    <s v="LC"/>
    <n v="6"/>
    <s v="LC"/>
    <s v="LC"/>
    <n v="0.1"/>
    <s v="LC"/>
    <n v="0"/>
    <n v="1.0206180673133199E-3"/>
    <s v="LC"/>
    <m/>
    <s v="A3_nat, A2b, B1i_rod, B1i_inv, B1iii_sp, B2i_rod, B2i_inv, B2iii_sp, D3_inv"/>
    <n v="305.53960000000001"/>
    <n v="252.78800000000001"/>
    <n v="0.82734938449876905"/>
    <n v="0.110805522571665"/>
    <n v="6"/>
    <s v="RLE not adjusted"/>
    <m/>
  </r>
  <r>
    <s v="FRg2"/>
    <s v="EN"/>
    <n v="77"/>
    <s v="EN"/>
    <n v="53"/>
    <s v="EN"/>
    <s v="VU"/>
    <n v="1.1000000000000001"/>
    <s v="LC"/>
    <n v="0"/>
    <n v="0.18064563085345001"/>
    <s v="EN"/>
    <s v="A3_nat, A3_wc, A2b, B1i_rod, B1iii_sp"/>
    <s v="A3_nat, A3_wc, A2b, B1i_rod, B1iii_sp, B2i_rod, B2iii_sp, D3_inv"/>
    <n v="951.34079999999994"/>
    <n v="153.8836"/>
    <n v="0.161754441731081"/>
    <n v="1.05818681705967"/>
    <n v="53"/>
    <s v="RLE not adjusted"/>
    <m/>
  </r>
  <r>
    <s v="FRg3"/>
    <s v="LC"/>
    <n v="2"/>
    <s v="LC"/>
    <n v="1"/>
    <s v="LC"/>
    <s v="LC"/>
    <n v="0"/>
    <s v="LC"/>
    <n v="0"/>
    <n v="0.10817598708663401"/>
    <s v="LC"/>
    <m/>
    <s v="A3_nat, A3_wc, A2b, B1i_rod, B1i_inv, B1iii_sp, B2i_rod, B2i_inv, B2iii_sp, D3_inv"/>
    <n v="19.175599999999999"/>
    <n v="18.833200000000001"/>
    <n v="0.98214397463443104"/>
    <n v="2.71733409129188E-2"/>
    <n v="1"/>
    <s v="RLE not adjusted"/>
    <m/>
  </r>
  <r>
    <s v="FRl1"/>
    <s v="LC"/>
    <n v="11"/>
    <s v="LC"/>
    <n v="5"/>
    <s v="LC"/>
    <s v="LC"/>
    <n v="0.1"/>
    <s v="LC"/>
    <n v="21"/>
    <n v="1.9067156141750599E-2"/>
    <s v="LC"/>
    <m/>
    <s v="A3_nat, A3_wc, A2b, B1i_rod, B1i_inv, B1iii_sp, B2i_rod, B2i_inv, B2iii_sp, D3_lk; D3_inv"/>
    <n v="501.68880000000001"/>
    <n v="432.68119999999999"/>
    <n v="0.86244939093717099"/>
    <n v="9.4929978881168206E-2"/>
    <n v="5"/>
    <s v="RLE not adjusted"/>
    <m/>
  </r>
  <r>
    <s v="FRs1"/>
    <s v="LC"/>
    <n v="5"/>
    <s v="LC"/>
    <n v="3"/>
    <s v="LC"/>
    <s v="LC"/>
    <n v="0.1"/>
    <s v="LC"/>
    <n v="0"/>
    <n v="1.39517991659117E-2"/>
    <s v="LC"/>
    <m/>
    <s v="A3_nat, A2b, B1i_rod, B1i_inv, B1iii_sp, B2i_rod, B2i_inv, B2iii_sp, D3_inv"/>
    <n v="207.30600000000001"/>
    <n v="196.04640000000001"/>
    <n v="0.945686087233365"/>
    <n v="6.6595046207177502E-2"/>
    <n v="3"/>
    <s v="RLE not adjusted"/>
    <m/>
  </r>
  <r>
    <s v="FRs10"/>
    <s v="CR"/>
    <n v="90"/>
    <s v="EN"/>
    <n v="61"/>
    <s v="CR"/>
    <s v="CR"/>
    <n v="1.2"/>
    <s v="LC"/>
    <n v="7"/>
    <n v="8.7537800413815106E-2"/>
    <s v="CR"/>
    <s v="A3_nat, A3_coct, B1i_rod, B1iii_sp, B2i_rod, B2iii_sp"/>
    <s v="A3_nat, A3_coct, A2b, B1i_rod, B1iii_sp, B2i_rod, B2iii_sp, D3_coct; D3_inv"/>
    <n v="25.273599999999998"/>
    <n v="2.5131999999999999"/>
    <n v="9.9439731577614598E-2"/>
    <n v="1.2244700416223"/>
    <n v="61"/>
    <s v="RLE not adjusted"/>
    <m/>
  </r>
  <r>
    <s v="FRs11"/>
    <s v="EN"/>
    <n v="84"/>
    <s v="EN"/>
    <n v="54"/>
    <s v="CR"/>
    <s v="VU"/>
    <n v="1.1000000000000001"/>
    <s v="LC"/>
    <n v="0"/>
    <n v="0.175503694236886"/>
    <s v="CR"/>
    <s v="B1i_rod, B1iii_sp"/>
    <s v="A3_nat, A3_wc, A2b, B1i_rod, B1iii_sp, B2i_rod, B2iii_sp, D3_inv"/>
    <n v="1193.6704"/>
    <n v="153.04920000000001"/>
    <n v="0.12821730353705699"/>
    <n v="1.0816430635566501"/>
    <n v="54"/>
    <s v="RLE not adjusted"/>
    <m/>
  </r>
  <r>
    <s v="FRs12"/>
    <s v="CR"/>
    <n v="90"/>
    <s v="EN"/>
    <n v="58"/>
    <s v="EN"/>
    <s v="VU"/>
    <n v="1.2"/>
    <s v="LC"/>
    <n v="0"/>
    <n v="0.13953231697471499"/>
    <s v="CR"/>
    <s v="A3_nat"/>
    <s v="A3_nat, A2b, B1i_rod, B1iii_sp, B2i_rod, B2iii_sp, D3_inv"/>
    <n v="2027.5060000000001"/>
    <n v="195.70519999999999"/>
    <n v="9.6525090431298297E-2"/>
    <n v="1.1639619155480201"/>
    <n v="58"/>
    <s v="RLE not adjusted"/>
    <m/>
  </r>
  <r>
    <s v="FRs13"/>
    <s v="EN"/>
    <n v="82"/>
    <s v="EN"/>
    <n v="54"/>
    <s v="EN"/>
    <s v="VU"/>
    <n v="1.1000000000000001"/>
    <s v="LC"/>
    <n v="0"/>
    <n v="0.11231463957667499"/>
    <s v="EN"/>
    <s v="A3_nat, A3_wc, A2b, B1i_rod, B1iii_sp"/>
    <s v="A3_nat, A3_wc, A2b, B1i_rod, B1iii_sp, B2i_rod, B2iii_sp, D3_inv"/>
    <n v="2762.57"/>
    <n v="397.76560000000001"/>
    <n v="0.143983899050522"/>
    <n v="1.07282581562457"/>
    <n v="54"/>
    <s v="RLE not adjusted"/>
    <m/>
  </r>
  <r>
    <s v="FRs14"/>
    <s v="VU"/>
    <n v="58"/>
    <s v="LC"/>
    <n v="29"/>
    <s v="CR"/>
    <s v="VU"/>
    <n v="0.6"/>
    <s v="LC"/>
    <n v="0"/>
    <n v="0.17641845600547801"/>
    <s v="CR"/>
    <s v="B1i_rod"/>
    <s v="A3_nat, A3_wc, A2b, B1i_rod, B2i_rod, D3_step; D3_inv"/>
    <n v="866.5308"/>
    <n v="326.54520000000002"/>
    <n v="0.37684200030743298"/>
    <n v="0.58949952095379898"/>
    <n v="29"/>
    <s v="RLE not adjusted"/>
    <m/>
  </r>
  <r>
    <s v="FRs15"/>
    <s v="LC"/>
    <n v="4"/>
    <s v="LC"/>
    <n v="1"/>
    <s v="LC"/>
    <s v="LC"/>
    <n v="0"/>
    <s v="LC"/>
    <n v="0"/>
    <n v="2.3111215391834802E-3"/>
    <s v="LC"/>
    <m/>
    <s v="A3_nat, A2b, B1i_rod, B1i_inv, B1iii_sp, B2i_rod, B2i_inv, B2iii_sp, D3_step; D3_inv"/>
    <n v="276.41039999999998"/>
    <n v="264.24400000000003"/>
    <n v="0.95598429002671403"/>
    <n v="2.6119145333529301E-2"/>
    <n v="1"/>
    <s v="RLE not adjusted"/>
    <m/>
  </r>
  <r>
    <s v="FRs16"/>
    <s v="LC"/>
    <n v="18"/>
    <s v="LC"/>
    <n v="5"/>
    <s v="LC"/>
    <s v="LC"/>
    <n v="0.1"/>
    <s v="LC"/>
    <n v="0"/>
    <n v="5.5406275857771596E-3"/>
    <s v="LC"/>
    <m/>
    <s v="A3_nat, A2b, B1i_rod, B1i_inv, B1iii_sp, B2i_rod, B2i_inv, B2iii_sp, D3_step; D3_inv"/>
    <n v="1347.8643999999999"/>
    <n v="1104.1168"/>
    <n v="0.81916014697027395"/>
    <n v="9.4901216934581201E-2"/>
    <n v="5"/>
    <s v="RLE not adjusted"/>
    <m/>
  </r>
  <r>
    <s v="FRs17"/>
    <s v="VU"/>
    <n v="69"/>
    <s v="VU"/>
    <n v="34"/>
    <s v="EN"/>
    <s v="VU"/>
    <n v="0.7"/>
    <s v="LC"/>
    <n v="0"/>
    <n v="0.191890763112291"/>
    <s v="EN"/>
    <s v="B1i_rod"/>
    <s v="A3_nat, A2b, B1i_rod, B2i_rod, D3_step; D3_inv"/>
    <n v="207.13839999999999"/>
    <n v="64.168800000000005"/>
    <n v="0.309787079556471"/>
    <n v="0.67924442005122498"/>
    <n v="34"/>
    <s v="RLE not adjusted"/>
    <m/>
  </r>
  <r>
    <s v="FRs18"/>
    <s v="LC"/>
    <n v="0"/>
    <s v="LC"/>
    <n v="0"/>
    <s v="LC"/>
    <s v="LC"/>
    <n v="0"/>
    <s v="LC"/>
    <n v="0"/>
    <n v="3.0166065030621099E-4"/>
    <s v="LC"/>
    <m/>
    <s v="A3_nat, A2b, B1i_rod, B1i_inv, B1iii_sp, B2i_rod, B2i_inv, B2iii_sp, D3_step; D3_inv"/>
    <n v="118.72239999999999"/>
    <n v="118.6764"/>
    <n v="0.99961254152544099"/>
    <n v="3.0542262065250299E-4"/>
    <n v="0"/>
    <s v="RLE not adjusted"/>
    <m/>
  </r>
  <r>
    <s v="FRs19"/>
    <s v="VU"/>
    <n v="58"/>
    <s v="LC"/>
    <n v="19"/>
    <s v="EN"/>
    <s v="EN"/>
    <n v="0.4"/>
    <s v="LC"/>
    <n v="0"/>
    <n v="6.2382129028781701E-2"/>
    <s v="EN"/>
    <s v="B1i_rod, B2i_rod"/>
    <s v="A3_nat, A2b, B1i_rod, B2i_rod, D3_step; D3_inv"/>
    <n v="373.15"/>
    <n v="155.89080000000001"/>
    <n v="0.41776979766849798"/>
    <n v="0.38235964734495298"/>
    <n v="19"/>
    <s v="RLE not adjusted"/>
    <m/>
  </r>
  <r>
    <s v="FRs2"/>
    <s v="VU"/>
    <n v="52"/>
    <s v="LC"/>
    <n v="18"/>
    <s v="CR"/>
    <s v="EN"/>
    <n v="0.4"/>
    <s v="LC"/>
    <n v="0"/>
    <n v="6.3945776435137998E-3"/>
    <s v="CR"/>
    <s v="B1i_rod"/>
    <s v="A3_nat, A2b, B1i_rod, B2i_rod, D3_inv"/>
    <n v="218.83680000000001"/>
    <n v="104.33839999999999"/>
    <n v="0.47678635403186298"/>
    <n v="0.36985148481386598"/>
    <n v="18"/>
    <s v="RLE not adjusted"/>
    <m/>
  </r>
  <r>
    <s v="FRs20"/>
    <s v="EN"/>
    <n v="76"/>
    <s v="VU"/>
    <n v="45"/>
    <s v="CR"/>
    <s v="EN"/>
    <n v="0.9"/>
    <s v="LC"/>
    <n v="0"/>
    <n v="2.9902423670129099E-2"/>
    <s v="CR"/>
    <s v="B1i_rod"/>
    <s v="A3_nat, A2b, B1i_rod, B2i_rod, D3_inv"/>
    <n v="46.991199999999999"/>
    <n v="11.437200000000001"/>
    <n v="0.243390251791825"/>
    <n v="0.90051471320454102"/>
    <n v="45"/>
    <s v="RLE not adjusted"/>
    <m/>
  </r>
  <r>
    <s v="FRs3"/>
    <s v="LC"/>
    <n v="2"/>
    <s v="LC"/>
    <n v="1"/>
    <s v="LC"/>
    <s v="LC"/>
    <n v="0"/>
    <s v="LC"/>
    <n v="0"/>
    <n v="4.3160261151978799E-4"/>
    <s v="LC"/>
    <m/>
    <s v="A3_nat, A2b, B1i_rod, B1i_inv, B1iii_sp, B2i_rod, B2i_inv, B2iii_sp, D3_inv"/>
    <n v="3217.4720000000002"/>
    <n v="3148.2664"/>
    <n v="0.97849069082807905"/>
    <n v="1.40766264286114E-2"/>
    <n v="1"/>
    <s v="RLE not adjusted"/>
    <m/>
  </r>
  <r>
    <s v="FRs4"/>
    <s v="VU"/>
    <n v="57"/>
    <s v="LC"/>
    <n v="26"/>
    <s v="CR"/>
    <s v="EN"/>
    <n v="0.5"/>
    <s v="LC"/>
    <n v="0"/>
    <n v="2.3302286326322801E-2"/>
    <s v="CR"/>
    <s v="B1i_rod"/>
    <s v="A3_nat, A2b, B1i_rod, B2i_rod, D3_inv"/>
    <n v="491.74959999999999"/>
    <n v="211.3784"/>
    <n v="0.42984966332458602"/>
    <n v="0.52469932827148802"/>
    <n v="26"/>
    <s v="RLE not adjusted"/>
    <m/>
  </r>
  <r>
    <s v="FRs5"/>
    <s v="LC"/>
    <n v="3"/>
    <s v="LC"/>
    <n v="0"/>
    <s v="LC"/>
    <s v="LC"/>
    <n v="0"/>
    <s v="LC"/>
    <n v="0"/>
    <n v="4.9669028808703897E-4"/>
    <s v="LC"/>
    <m/>
    <s v="A3_nat, A2b, B1i_rod, B1i_inv, B1iii_sp, B2i_rod, B2i_inv, B2iii_sp, D3_inv"/>
    <n v="1236.5136"/>
    <n v="1199.1376"/>
    <n v="0.969773078112525"/>
    <n v="8.6343828484939603E-3"/>
    <n v="0"/>
    <s v="RLE not adjusted"/>
    <m/>
  </r>
  <r>
    <s v="FRs6"/>
    <s v="LC"/>
    <n v="9"/>
    <s v="LC"/>
    <n v="3"/>
    <s v="LC"/>
    <s v="LC"/>
    <n v="0.1"/>
    <s v="LC"/>
    <n v="0"/>
    <n v="1.28862732791599E-3"/>
    <s v="LC"/>
    <m/>
    <s v="A3_nat, A3_wc, A2b, B1i_rod, B1i_inv, B1iii_sp, B2i_rod, B2i_inv, B2iii_sp, D3_inv"/>
    <n v="2095.8456000000001"/>
    <n v="1809.9880000000001"/>
    <n v="0.86360751001886804"/>
    <n v="5.1626229629339798E-2"/>
    <n v="3"/>
    <s v="RLE not adjusted"/>
    <m/>
  </r>
  <r>
    <s v="FRs7"/>
    <s v="LC"/>
    <n v="15"/>
    <s v="LC"/>
    <n v="6"/>
    <s v="LC"/>
    <s v="LC"/>
    <n v="0.1"/>
    <s v="LC"/>
    <n v="0"/>
    <n v="7.5536885230692704E-3"/>
    <s v="LC"/>
    <m/>
    <s v="A3_nat, A3_wc, A2b, B1i_rod, B1i_inv, B1iii_sp, B2i_rod, B2i_inv, B2iii_sp, D3_inv"/>
    <n v="1607.8492000000001"/>
    <n v="1293.4608000000001"/>
    <n v="0.80446648852392399"/>
    <n v="0.114728451360096"/>
    <n v="6"/>
    <s v="RLE not adjusted"/>
    <m/>
  </r>
  <r>
    <s v="FRs8"/>
    <s v="LC"/>
    <n v="34"/>
    <s v="LC"/>
    <n v="14"/>
    <s v="EN"/>
    <s v="VU"/>
    <n v="0.3"/>
    <s v="LC"/>
    <n v="0"/>
    <n v="2.6872514522746201E-2"/>
    <s v="EN"/>
    <s v="B1iii_sp"/>
    <s v="A3_nat, A3_wc, A2b, B1iii_sp, B2iii_sp, D3_inv"/>
    <n v="1049.7592"/>
    <n v="616.48119999999994"/>
    <n v="0.58725963058956798"/>
    <n v="0.28187503615698301"/>
    <n v="14"/>
    <s v="RLE not adjusted"/>
    <m/>
  </r>
  <r>
    <s v="FRs9"/>
    <s v="CR"/>
    <n v="90"/>
    <s v="EN"/>
    <n v="62"/>
    <s v="EN"/>
    <s v="LC"/>
    <n v="1.2"/>
    <s v="LC"/>
    <n v="0"/>
    <n v="0.129303040324319"/>
    <s v="CR"/>
    <s v="A3_nat"/>
    <s v="A3_nat, A2b, B1i_rod, B1iii_sp, B2i_rod, B2i_inv, B2iii_sp, D3_inv"/>
    <n v="4963.7543999999998"/>
    <n v="486.23759999999999"/>
    <n v="9.7957626590066599E-2"/>
    <n v="1.23950969813145"/>
    <n v="62"/>
    <s v="RLE not adjusted"/>
    <m/>
  </r>
  <r>
    <s v="FS1"/>
    <s v="LC"/>
    <n v="25"/>
    <s v="LC"/>
    <n v="20"/>
    <s v="CR"/>
    <s v="EN"/>
    <n v="0.4"/>
    <s v="LC"/>
    <n v="0"/>
    <n v="7.5846508787405804E-3"/>
    <s v="CR"/>
    <s v="B1i_rod"/>
    <s v="A3_nat, A3_wc, A2b, B1i_rod, B2i_rod, D3_inv"/>
    <n v="354.27760000000001"/>
    <n v="235.792"/>
    <n v="0.66555717889022603"/>
    <n v="0.39325083526238303"/>
    <n v="20"/>
    <s v="RLE not adjusted"/>
    <m/>
  </r>
  <r>
    <s v="FS10"/>
    <s v="LC"/>
    <n v="6"/>
    <s v="LC"/>
    <n v="3"/>
    <s v="EN"/>
    <s v="VU"/>
    <n v="0.1"/>
    <s v="LC"/>
    <n v="0"/>
    <n v="0.32253372695079602"/>
    <s v="EN"/>
    <s v="B1i_inv"/>
    <s v="A3_nat, A3_wc, A2b, B1i_inv, B2i_inv, D3_inv"/>
    <n v="322.87599999999998"/>
    <n v="305.54199999999997"/>
    <n v="0.94631375512580695"/>
    <n v="6.2524055423696198E-2"/>
    <n v="3"/>
    <s v="RLE not adjusted"/>
    <m/>
  </r>
  <r>
    <s v="FS11"/>
    <s v="LC"/>
    <n v="4"/>
    <s v="LC"/>
    <n v="1"/>
    <s v="CR"/>
    <s v="EN"/>
    <n v="0"/>
    <s v="LC"/>
    <n v="0"/>
    <n v="0.39102362603934299"/>
    <s v="CR"/>
    <s v="B1i_inv"/>
    <s v="A3_nat, A3_wc, A2b, B1i_inv, B2i_inv, D3_inv"/>
    <n v="39.6004"/>
    <n v="39.448"/>
    <n v="0.99615155402470701"/>
    <n v="1.19635046818656E-2"/>
    <n v="1"/>
    <s v="RLE not adjusted"/>
    <m/>
  </r>
  <r>
    <s v="FS12"/>
    <s v="LC"/>
    <n v="24"/>
    <s v="LC"/>
    <n v="12"/>
    <s v="EN"/>
    <s v="EN"/>
    <n v="0.2"/>
    <s v="LC"/>
    <n v="0"/>
    <n v="0.37315177833646901"/>
    <s v="EN"/>
    <s v="B1i_inv, B2i_inv"/>
    <s v="A3_nat, A2b, B1i_inv, B2i_inv, D3_step; D3_inv"/>
    <n v="119.0592"/>
    <n v="91.006399999999999"/>
    <n v="0.76437940117185399"/>
    <n v="0.24311283739142101"/>
    <n v="12"/>
    <s v="RLE not adjusted"/>
    <m/>
  </r>
  <r>
    <s v="FS13"/>
    <s v="LC"/>
    <n v="14"/>
    <s v="LC"/>
    <n v="6"/>
    <s v="LC"/>
    <s v="LC"/>
    <n v="0.1"/>
    <s v="LC"/>
    <n v="2"/>
    <n v="0.166786173615142"/>
    <s v="LC"/>
    <m/>
    <s v="A3_nat, A3_wc, A2b, B1i_rod, B1i_inv, B1iii_sp, B2i_rod, B2i_inv, B2iii_sp, D3_step; D3_inv"/>
    <n v="41.643999999999998"/>
    <n v="35.144399999999997"/>
    <n v="0.84392469503409895"/>
    <n v="0.123757979537406"/>
    <n v="6"/>
    <s v="RLE not adjusted"/>
    <m/>
  </r>
  <r>
    <s v="FS14"/>
    <s v="LC"/>
    <n v="12"/>
    <s v="LC"/>
    <n v="10"/>
    <s v="CR"/>
    <s v="EN"/>
    <n v="0.2"/>
    <s v="LC"/>
    <n v="3"/>
    <n v="0.56478328647253595"/>
    <s v="CR"/>
    <s v="B1i_inv"/>
    <s v="A3_nat, A2b, B1i_inv, B2i_inv, D3_step; D3_inv"/>
    <n v="96.925200000000004"/>
    <n v="84.932400000000001"/>
    <n v="0.87626747223632195"/>
    <n v="0.19077291983585101"/>
    <n v="10"/>
    <s v="RLE not adjusted"/>
    <m/>
  </r>
  <r>
    <s v="FS2"/>
    <s v="EN"/>
    <n v="74"/>
    <s v="VU"/>
    <n v="30"/>
    <s v="CR"/>
    <s v="EN"/>
    <n v="0.6"/>
    <s v="LC"/>
    <n v="0"/>
    <n v="7.0851701820076503E-3"/>
    <s v="CR"/>
    <s v="B1i_rod, B1iii_sp"/>
    <s v="A3_nat, A2b, B1i_rod, B1iii_sp, B2i_rod, B2iii_sp, D3_inv"/>
    <n v="298.82440000000003"/>
    <n v="78.304400000000001"/>
    <n v="0.26204152003651598"/>
    <n v="0.59654077132595196"/>
    <n v="30"/>
    <s v="RLE not adjusted"/>
    <m/>
  </r>
  <r>
    <s v="FS3"/>
    <s v="VU"/>
    <n v="55"/>
    <s v="LC"/>
    <n v="23"/>
    <s v="EN"/>
    <s v="VU"/>
    <n v="0.5"/>
    <s v="LC"/>
    <n v="0"/>
    <n v="3.3820161115939301E-2"/>
    <s v="EN"/>
    <s v="B1i_rod, B1iii_sp"/>
    <s v="A3_nat, A3_wc, A2b, B1i_rod, B1iii_sp, B2i_rod, B2iii_sp, D3_inv"/>
    <n v="1643.4048"/>
    <n v="580.84879999999998"/>
    <n v="0.35344231682906102"/>
    <n v="0.46337211211975698"/>
    <n v="23"/>
    <s v="RLE not adjusted"/>
    <m/>
  </r>
  <r>
    <s v="FS4"/>
    <s v="LC"/>
    <n v="12"/>
    <s v="LC"/>
    <n v="5"/>
    <s v="LC"/>
    <s v="LC"/>
    <n v="0.1"/>
    <s v="LC"/>
    <n v="0"/>
    <n v="1.6151957617263201E-3"/>
    <s v="CR"/>
    <s v="B1iii_sp"/>
    <s v="A3_nat, A3_wc, A2b, B1i_rod, B1i_inv, B1iii_sp, B2i_rod, B2i_inv, B2iii_sp, D3_inv"/>
    <n v="61.564"/>
    <n v="49.529600000000002"/>
    <n v="0.804522123318823"/>
    <n v="9.5183378486305203E-2"/>
    <n v="5"/>
    <s v="RLE adjusted"/>
    <m/>
  </r>
  <r>
    <s v="FS5"/>
    <s v="LC"/>
    <n v="11"/>
    <s v="LC"/>
    <n v="7"/>
    <s v="EN"/>
    <s v="VU"/>
    <n v="0.1"/>
    <s v="LC"/>
    <n v="0"/>
    <n v="4.2029919372233798E-2"/>
    <s v="EN"/>
    <s v="B1iii_sp"/>
    <s v="A3_nat, A3_wc, A2b, B1iii_sp, B2iii_sp, D3_inv"/>
    <n v="342.2724"/>
    <n v="293.00080000000003"/>
    <n v="0.856045652527052"/>
    <n v="0.13217426377913599"/>
    <n v="7"/>
    <s v="RLE not adjusted"/>
    <m/>
  </r>
  <r>
    <s v="FS6"/>
    <s v="VU"/>
    <n v="63"/>
    <s v="VU"/>
    <n v="48"/>
    <s v="EN"/>
    <s v="EN"/>
    <n v="1"/>
    <s v="LC"/>
    <n v="20"/>
    <n v="0.37859400149820599"/>
    <s v="EN"/>
    <s v="B1i_rod, B1i_inv, B1iii_sp, B2i_rod, B2i_inv, B2iii_sp"/>
    <s v="A3_nat, A3_coct, A2b, B1i_rod, B1i_inv, B1iii_sp, B2i_rod, B2i_inv, B2iii_sp, D3_coct; D3_inv"/>
    <n v="394.28919999999999"/>
    <n v="183.1524"/>
    <n v="0.46451284995886299"/>
    <n v="0.96934559544667698"/>
    <n v="48"/>
    <s v="RLE not adjusted"/>
    <m/>
  </r>
  <r>
    <s v="FS7"/>
    <s v="LC"/>
    <n v="19"/>
    <s v="LC"/>
    <n v="8"/>
    <s v="EN"/>
    <s v="EN"/>
    <n v="0.2"/>
    <s v="LC"/>
    <n v="0"/>
    <n v="0.411619744604585"/>
    <s v="EN"/>
    <s v="B1i_inv, B1iii_sp, B2i_inv, B2iii_sp"/>
    <s v="A3_nat, A3_wc, A2b, B1i_inv, B1iii_sp, B2i_inv, B2iii_sp, D3_inv"/>
    <n v="46.828800000000001"/>
    <n v="37.494799999999998"/>
    <n v="0.80067821511548398"/>
    <n v="0.15089904866335699"/>
    <n v="8"/>
    <s v="RLE not adjusted"/>
    <m/>
  </r>
  <r>
    <s v="FS9"/>
    <s v="VU"/>
    <n v="56"/>
    <s v="LC"/>
    <n v="26"/>
    <s v="CR"/>
    <s v="CR"/>
    <n v="0.5"/>
    <s v="LC"/>
    <n v="0"/>
    <n v="0.51176337335361299"/>
    <s v="CR"/>
    <s v="B1i_rod, B1i_inv, B2i_rod, B2i_inv"/>
    <s v="A3_nat, A2b, B1i_rod, B1i_inv, B2i_rod, B2i_inv, D3_step; D3_inv"/>
    <n v="27.99"/>
    <n v="12.3604"/>
    <n v="0.44160057163272598"/>
    <n v="0.52418594629534898"/>
    <n v="26"/>
    <s v="RLE not adjusted"/>
    <m/>
  </r>
  <r>
    <s v="Gd1"/>
    <s v="LC"/>
    <n v="16"/>
    <s v="LC"/>
    <n v="7"/>
    <s v="LC"/>
    <s v="LC"/>
    <n v="0.1"/>
    <s v="LC"/>
    <n v="0"/>
    <n v="8.4004778002837802E-2"/>
    <s v="LC"/>
    <m/>
    <s v="A3_nat, A2b, B1i_rod, B1i_inv, B1iii_sp, B2i_rod, B2i_inv, B2iii_sp, D3_inv"/>
    <n v="5026.9467999999997"/>
    <n v="4202.9276"/>
    <n v="0.83607958612173905"/>
    <n v="0.138188497281063"/>
    <n v="7"/>
    <s v="RLE not adjusted"/>
    <m/>
  </r>
  <r>
    <s v="Gd10"/>
    <s v="LC"/>
    <n v="3"/>
    <s v="LC"/>
    <n v="0"/>
    <s v="LC"/>
    <s v="LC"/>
    <n v="0"/>
    <s v="LC"/>
    <n v="0"/>
    <n v="1.01696737423382E-6"/>
    <s v="LC"/>
    <m/>
    <s v="A3_nat, A2b, B1i_rod, B1i_inv, B1iii_sp, B2i_rod, B2i_inv, B2iii_sp, D3_inv"/>
    <n v="2830.788"/>
    <n v="2753.2840000000001"/>
    <n v="0.97262105109955299"/>
    <n v="2.77693831564525E-3"/>
    <n v="0"/>
    <s v="RLE not adjusted"/>
    <m/>
  </r>
  <r>
    <s v="Gd2"/>
    <s v="LC"/>
    <n v="3"/>
    <s v="LC"/>
    <n v="3"/>
    <s v="LC"/>
    <s v="LC"/>
    <n v="0.1"/>
    <s v="LC"/>
    <n v="0"/>
    <n v="2.6747229565194701E-2"/>
    <s v="LC"/>
    <m/>
    <s v="A3_nat, A2b, B1i_rod, B1i_inv, B1iii_sp, B2i_rod, B2i_inv, B2iii_sp, D3_inv"/>
    <n v="158.3236"/>
    <n v="153.58600000000001"/>
    <n v="0.97007647628022597"/>
    <n v="5.0391343675209199E-2"/>
    <n v="3"/>
    <s v="RLE not adjusted"/>
    <m/>
  </r>
  <r>
    <s v="Gd3"/>
    <s v="LC"/>
    <n v="19"/>
    <s v="LC"/>
    <n v="4"/>
    <s v="LC"/>
    <s v="LC"/>
    <n v="0.1"/>
    <s v="LC"/>
    <n v="0"/>
    <n v="5.3674527718446602E-3"/>
    <s v="LC"/>
    <m/>
    <s v="A3_nat, A2b, B1i_rod, B1i_inv, B1iii_sp, B2i_rod, B2i_inv, B2iii_sp, D3_inv"/>
    <n v="2966.1812"/>
    <n v="2409.2620000000002"/>
    <n v="0.812243702441375"/>
    <n v="8.8387696453626402E-2"/>
    <n v="4"/>
    <s v="RLE not adjusted"/>
    <m/>
  </r>
  <r>
    <s v="Gd4"/>
    <s v="LC"/>
    <n v="10"/>
    <s v="LC"/>
    <n v="4"/>
    <s v="LC"/>
    <s v="LC"/>
    <n v="0.1"/>
    <s v="LC"/>
    <n v="0"/>
    <n v="2.0671157618861499E-2"/>
    <s v="LC"/>
    <m/>
    <s v="A3_nat, A2b, B1i_rod, B1i_inv, B1iii_sp, B2i_rod, B2i_inv, B2iii_sp, D3_inv"/>
    <n v="6647.0259999999998"/>
    <n v="5993.8588"/>
    <n v="0.90173542272890195"/>
    <n v="8.2778591780945293E-2"/>
    <n v="4"/>
    <s v="RLE not adjusted"/>
    <m/>
  </r>
  <r>
    <s v="Gd5"/>
    <s v="LC"/>
    <n v="10"/>
    <s v="LC"/>
    <n v="2"/>
    <s v="LC"/>
    <s v="LC"/>
    <n v="0"/>
    <s v="LC"/>
    <n v="0"/>
    <n v="1.04980517749062E-2"/>
    <s v="LC"/>
    <m/>
    <s v="A3_nat, A2b, B1i_rod, B1i_inv, B1iii_sp, B2i_rod, B2i_inv, B2iii_sp, D3_inv"/>
    <n v="1237.5219999999999"/>
    <n v="1116.0927999999999"/>
    <n v="0.90187713834582295"/>
    <n v="3.5186615412364397E-2"/>
    <n v="2"/>
    <s v="RLE not adjusted"/>
    <m/>
  </r>
  <r>
    <s v="Gd6"/>
    <s v="LC"/>
    <n v="0"/>
    <s v="LC"/>
    <n v="0"/>
    <s v="LC"/>
    <s v="LC"/>
    <n v="0"/>
    <s v="LC"/>
    <n v="0"/>
    <n v="1.38484100317437E-2"/>
    <s v="LC"/>
    <m/>
    <s v="A3_nat, A2b, B1i_rod, B1i_inv, B1iii_sp, B2i_rod, B2i_inv, B2iii_sp, D3_inv"/>
    <n v="21.6172"/>
    <n v="21.547599999999999"/>
    <n v="0.99678034157985296"/>
    <n v="5.2201269534908005E-4"/>
    <n v="0"/>
    <s v="RLE not adjusted"/>
    <m/>
  </r>
  <r>
    <s v="Gd7"/>
    <s v="LC"/>
    <n v="0"/>
    <s v="LC"/>
    <n v="0"/>
    <s v="LC"/>
    <s v="LC"/>
    <n v="0"/>
    <s v="LC"/>
    <n v="0"/>
    <n v="1.07762559791726E-3"/>
    <s v="LC"/>
    <m/>
    <s v="A3_nat, A2b, B1i_rod, B1i_inv, B1iii_sp, B2i_rod, B2i_inv, B2iii_sp, D3_inv"/>
    <n v="1346.9464"/>
    <n v="1345.922"/>
    <n v="0.99923946491115001"/>
    <n v="1.0899503532253801E-3"/>
    <n v="0"/>
    <s v="RLE not adjusted"/>
    <m/>
  </r>
  <r>
    <s v="Gd8"/>
    <s v="LC"/>
    <n v="14"/>
    <s v="LC"/>
    <n v="0"/>
    <s v="LC"/>
    <s v="LC"/>
    <n v="0"/>
    <s v="LC"/>
    <n v="0"/>
    <n v="2.8162031197256898E-4"/>
    <s v="LC"/>
    <m/>
    <s v="A3_nat, A2b, B1i_rod, B1i_inv, B1iii_sp, B2i_rod, B2i_inv, B2iii_sp, D3_inv"/>
    <n v="20169.288400000001"/>
    <n v="17291.366399999999"/>
    <n v="0.85731167392102903"/>
    <n v="2.2803262544050101E-3"/>
    <n v="0"/>
    <s v="RLE not adjusted"/>
    <m/>
  </r>
  <r>
    <s v="Gh1"/>
    <s v="LC"/>
    <n v="3"/>
    <s v="LC"/>
    <n v="1"/>
    <s v="LC"/>
    <s v="LC"/>
    <n v="0"/>
    <s v="LC"/>
    <n v="0"/>
    <n v="3.9516211594492201E-3"/>
    <s v="LC"/>
    <m/>
    <s v="A3_nat, A2b, B1i_rod, B1i_inv, B1iii_sp, B2i_rod, B2i_inv, B2iii_sp, D3_inv"/>
    <n v="8370.6211999999996"/>
    <n v="8138.5331999999999"/>
    <n v="0.97227350342887298"/>
    <n v="1.6774609812731701E-2"/>
    <n v="1"/>
    <s v="RLE not adjusted"/>
    <m/>
  </r>
  <r>
    <s v="Gh10"/>
    <s v="EN"/>
    <n v="78"/>
    <s v="VU"/>
    <n v="31"/>
    <s v="LC"/>
    <s v="LC"/>
    <n v="0.6"/>
    <s v="LC"/>
    <n v="0"/>
    <n v="1.00815066279094E-2"/>
    <s v="EN"/>
    <s v="A3_nat"/>
    <s v="A3_nat, A2b, B1i_rod, B1i_inv, B1iii_sp, B2i_rod, B2i_inv, B2iii_sp, D3_inv"/>
    <n v="25965.723999999998"/>
    <n v="5813.4168"/>
    <n v="0.223888107260171"/>
    <n v="0.62955403192985804"/>
    <n v="31"/>
    <s v="RLE not adjusted"/>
    <m/>
  </r>
  <r>
    <s v="Gh11"/>
    <s v="VU"/>
    <n v="55"/>
    <s v="LC"/>
    <n v="20"/>
    <s v="CR"/>
    <s v="EN"/>
    <n v="0.4"/>
    <s v="LC"/>
    <n v="0"/>
    <n v="2.66502562764467E-2"/>
    <s v="CR"/>
    <s v="B1i_rod"/>
    <s v="A3_nat, A2b, B1i_rod, B2i_rod, D3_inv"/>
    <n v="923.55679999999995"/>
    <n v="416.97160000000002"/>
    <n v="0.45148452158004798"/>
    <n v="0.40353066883208599"/>
    <n v="20"/>
    <s v="RLE not adjusted"/>
    <m/>
  </r>
  <r>
    <s v="Gh12"/>
    <s v="LC"/>
    <n v="33"/>
    <s v="LC"/>
    <n v="16"/>
    <s v="LC"/>
    <s v="LC"/>
    <n v="0.3"/>
    <s v="LC"/>
    <n v="0"/>
    <n v="3.5201204004182201E-3"/>
    <s v="LC"/>
    <m/>
    <s v="A3_nat, A2b, B1i_rod, B1i_inv, B1iii_sp, B2i_rod, B2i_inv, B2iii_sp, D3_inv"/>
    <n v="329.49520000000001"/>
    <n v="221.12880000000001"/>
    <n v="0.67111387358601904"/>
    <n v="0.31324309214220503"/>
    <n v="16"/>
    <s v="RLE not adjusted"/>
    <m/>
  </r>
  <r>
    <s v="Gh13"/>
    <s v="LC"/>
    <n v="44"/>
    <s v="LC"/>
    <n v="12"/>
    <s v="LC"/>
    <s v="LC"/>
    <n v="0.2"/>
    <s v="LC"/>
    <n v="0"/>
    <n v="5.0086525588897597E-3"/>
    <s v="LC"/>
    <m/>
    <s v="A3_nat, A2b, B1i_rod, B1i_inv, B1iii_sp, B2i_rod, B2i_inv, B2iii_sp, D3_inv"/>
    <n v="3766.2224000000001"/>
    <n v="2123.7647999999999"/>
    <n v="0.56389787283937298"/>
    <n v="0.247422640853663"/>
    <n v="12"/>
    <s v="RLE not adjusted"/>
    <m/>
  </r>
  <r>
    <s v="Gh14"/>
    <s v="VU"/>
    <n v="60"/>
    <s v="LC"/>
    <n v="19"/>
    <s v="VU"/>
    <s v="LC"/>
    <n v="0.4"/>
    <s v="LC"/>
    <n v="0"/>
    <n v="3.44975743195873E-3"/>
    <s v="EN"/>
    <s v="B1i_rod"/>
    <s v="A3_nat, A2b, B1i_rod, B2i_rod, B2i_inv, B2iii_sp, D3_inv"/>
    <n v="9187.4096000000009"/>
    <n v="3675.5048000000002"/>
    <n v="0.40005888057935302"/>
    <n v="0.38196779868439001"/>
    <n v="19"/>
    <s v="RLE adjusted"/>
    <m/>
  </r>
  <r>
    <s v="Gh15"/>
    <s v="LC"/>
    <n v="36"/>
    <s v="LC"/>
    <n v="13"/>
    <s v="LC"/>
    <s v="LC"/>
    <n v="0.3"/>
    <s v="LC"/>
    <n v="0"/>
    <n v="3.0366189860875602E-3"/>
    <s v="LC"/>
    <m/>
    <s v="A3_nat, A2b, B1i_rod, B1i_inv, B1iii_sp, B2i_rod, B2i_inv, B2iii_sp, D3_inv"/>
    <n v="8598.4796000000006"/>
    <n v="5468.9772000000003"/>
    <n v="0.636040027355534"/>
    <n v="0.25276585169789401"/>
    <n v="13"/>
    <s v="RLE not adjusted"/>
    <m/>
  </r>
  <r>
    <s v="Gh2"/>
    <s v="LC"/>
    <n v="21"/>
    <s v="LC"/>
    <n v="6"/>
    <s v="LC"/>
    <s v="LC"/>
    <n v="0.1"/>
    <s v="LC"/>
    <n v="0"/>
    <n v="4.9356660364909301E-3"/>
    <s v="LC"/>
    <m/>
    <s v="A3_nat, A2b, B1i_rod, B1i_inv, B1iii_sp, B2i_rod, B2i_inv, B2iii_sp, D3_inv"/>
    <n v="7163.2323999999999"/>
    <n v="5660.4315999999999"/>
    <n v="0.790206331990569"/>
    <n v="0.122440758485303"/>
    <n v="6"/>
    <s v="RLE not adjusted"/>
    <m/>
  </r>
  <r>
    <s v="Gh3"/>
    <s v="LC"/>
    <n v="8"/>
    <s v="LC"/>
    <n v="3"/>
    <s v="LC"/>
    <s v="LC"/>
    <n v="0.1"/>
    <s v="LC"/>
    <n v="0"/>
    <n v="1.1366022168032199E-3"/>
    <s v="LC"/>
    <m/>
    <s v="A3_nat, A2b, B1i_rod, B1i_inv, B1iii_sp, B2i_rod, B2i_inv, B2iii_sp, D3_inv"/>
    <n v="13392.436799999999"/>
    <n v="12357.1816"/>
    <n v="0.92269851891330201"/>
    <n v="5.5122337544690099E-2"/>
    <n v="3"/>
    <s v="RLE not adjusted"/>
    <m/>
  </r>
  <r>
    <s v="Gh4"/>
    <s v="LC"/>
    <n v="4"/>
    <s v="LC"/>
    <n v="1"/>
    <s v="LC"/>
    <s v="LC"/>
    <n v="0"/>
    <s v="LC"/>
    <n v="0"/>
    <n v="1.7126592644024199E-3"/>
    <s v="LC"/>
    <m/>
    <s v="A3_nat, A2b, B1i_rod, B1i_inv, B1iii_sp, B2i_rod, B2i_inv, B2iii_sp, D3_inv"/>
    <n v="9677.7703999999994"/>
    <n v="9249.2420000000002"/>
    <n v="0.95572033822997104"/>
    <n v="2.9178484012046799E-2"/>
    <n v="1"/>
    <s v="RLE not adjusted"/>
    <m/>
  </r>
  <r>
    <s v="Gh5"/>
    <s v="LC"/>
    <n v="48"/>
    <s v="LC"/>
    <n v="14"/>
    <s v="LC"/>
    <s v="LC"/>
    <n v="0.3"/>
    <s v="LC"/>
    <n v="0"/>
    <n v="1.05961852180888E-3"/>
    <s v="LC"/>
    <m/>
    <s v="A3_nat, A2b, B1i_rod, B1i_inv, B1iii_sp, B2i_rod, B2i_inv, B2iii_sp, D3_inv"/>
    <n v="4949.5983999999999"/>
    <n v="2576.7764000000002"/>
    <n v="0.52060312610412995"/>
    <n v="0.27234472308673502"/>
    <n v="14"/>
    <s v="RLE not adjusted"/>
    <m/>
  </r>
  <r>
    <s v="Gh6"/>
    <s v="LC"/>
    <n v="35"/>
    <s v="LC"/>
    <n v="11"/>
    <s v="LC"/>
    <s v="LC"/>
    <n v="0.2"/>
    <s v="LC"/>
    <n v="0"/>
    <n v="3.7297956846482098E-3"/>
    <s v="LC"/>
    <m/>
    <s v="A3_nat, A2b, B1i_rod, B1i_inv, B1iii_sp, B2i_rod, B2i_inv, B2iii_sp, D3_inv"/>
    <n v="16012.9004"/>
    <n v="10488.081200000001"/>
    <n v="0.65497698343268296"/>
    <n v="0.210468453852763"/>
    <n v="11"/>
    <s v="RLE not adjusted"/>
    <m/>
  </r>
  <r>
    <s v="Gh7"/>
    <s v="LC"/>
    <n v="18"/>
    <s v="LC"/>
    <n v="6"/>
    <s v="LC"/>
    <s v="LC"/>
    <n v="0.1"/>
    <s v="LC"/>
    <n v="0"/>
    <n v="3.1868874525209099E-3"/>
    <s v="LC"/>
    <m/>
    <s v="A3_nat, A2b, B1i_rod, B1i_inv, B1iii_sp, B2i_rod, B2i_inv, B2iii_sp, D3_inv"/>
    <n v="1571.9508000000001"/>
    <n v="1286.1451999999999"/>
    <n v="0.81818413146263902"/>
    <n v="0.116912066498799"/>
    <n v="6"/>
    <s v="RLE not adjusted"/>
    <m/>
  </r>
  <r>
    <s v="Gh8"/>
    <s v="LC"/>
    <n v="18"/>
    <s v="LC"/>
    <n v="10"/>
    <s v="LC"/>
    <s v="LC"/>
    <n v="0.2"/>
    <s v="LC"/>
    <n v="0"/>
    <n v="1.5678019924150299E-2"/>
    <s v="LC"/>
    <m/>
    <s v="A3_nat, A2b, B1i_rod, B1i_inv, B1iii_sp, B2i_rod, B2i_inv, B2iii_sp, D3_inv"/>
    <n v="80.466800000000006"/>
    <n v="66.130799999999994"/>
    <n v="0.82183956613162201"/>
    <n v="0.20333450204430201"/>
    <n v="10"/>
    <s v="RLE not adjusted"/>
    <m/>
  </r>
  <r>
    <s v="Gh9"/>
    <s v="LC"/>
    <n v="25"/>
    <s v="LC"/>
    <n v="6"/>
    <s v="LC"/>
    <s v="LC"/>
    <n v="0.1"/>
    <s v="LC"/>
    <n v="0"/>
    <n v="7.9366915814464695E-5"/>
    <s v="LC"/>
    <m/>
    <s v="A3_nat, A2b, B1i_rod, B1i_inv, B1iii_sp, B2i_rod, B2i_inv, B2iii_sp, D3_inv"/>
    <n v="7074.3047999999999"/>
    <n v="5306.9971999999998"/>
    <n v="0.75017932504123896"/>
    <n v="0.127391698427888"/>
    <n v="6"/>
    <s v="RLE not adjusted"/>
    <m/>
  </r>
  <r>
    <s v="Gm1"/>
    <s v="LC"/>
    <n v="34"/>
    <s v="LC"/>
    <n v="8"/>
    <s v="LC"/>
    <s v="LC"/>
    <n v="0.2"/>
    <s v="LC"/>
    <n v="0"/>
    <n v="5.9008823526066198E-3"/>
    <s v="LC"/>
    <m/>
    <s v="A3_nat, A2b, B1i_rod, B1i_inv, B1iii_sp, B2i_rod, B2i_inv, B2iii_sp, D3_inv"/>
    <n v="4268.0983999999999"/>
    <n v="2813.2064"/>
    <n v="0.65912407267836204"/>
    <n v="0.150012947276632"/>
    <n v="8"/>
    <s v="RLE not adjusted"/>
    <m/>
  </r>
  <r>
    <s v="Gm10"/>
    <s v="EN"/>
    <n v="83"/>
    <s v="EN"/>
    <n v="67"/>
    <s v="CR"/>
    <s v="EN"/>
    <n v="1.3"/>
    <s v="LC"/>
    <n v="0"/>
    <n v="6.0154021552533701E-2"/>
    <s v="CR"/>
    <s v="B1i_rod"/>
    <s v="A3_nat, A2b, B1i_rod, B2i_rod, D3_inv"/>
    <n v="1093.2008000000001"/>
    <n v="183.14320000000001"/>
    <n v="0.16752933221417299"/>
    <n v="1.3395542270006899"/>
    <n v="67"/>
    <s v="RLE not adjusted"/>
    <m/>
  </r>
  <r>
    <s v="Gm11"/>
    <s v="VU"/>
    <n v="60"/>
    <s v="LC"/>
    <n v="25"/>
    <s v="LC"/>
    <s v="LC"/>
    <n v="0.5"/>
    <s v="LC"/>
    <n v="0"/>
    <n v="2.6718125232695299E-2"/>
    <s v="VU"/>
    <s v="A3_nat"/>
    <s v="A3_nat, A2b, B1i_rod, B1i_inv, B1iii_sp, B2i_rod, B2i_inv, B2iii_sp, D3_inv"/>
    <n v="10508.8704"/>
    <n v="4209.3671999999997"/>
    <n v="0.40055372649756898"/>
    <n v="0.502288703849193"/>
    <n v="25"/>
    <s v="RLE not adjusted"/>
    <m/>
  </r>
  <r>
    <s v="Gm12"/>
    <s v="EN"/>
    <n v="71"/>
    <s v="VU"/>
    <n v="35"/>
    <s v="VU"/>
    <s v="LC"/>
    <n v="0.7"/>
    <s v="LC"/>
    <n v="0"/>
    <n v="2.6935444246774399E-2"/>
    <s v="EN"/>
    <s v="A3_nat"/>
    <s v="A3_nat, A2b, B1i_rod, B2i_rod, B2i_inv, B2iii_sp, D3_inv"/>
    <n v="12772.3408"/>
    <n v="3707.4124000000002"/>
    <n v="0.29026882840457902"/>
    <n v="0.69961067666180998"/>
    <n v="35"/>
    <s v="RLE not adjusted"/>
    <m/>
  </r>
  <r>
    <s v="Gm13"/>
    <s v="LC"/>
    <n v="46"/>
    <s v="LC"/>
    <n v="13"/>
    <s v="LC"/>
    <s v="LC"/>
    <n v="0.3"/>
    <s v="LC"/>
    <n v="0"/>
    <n v="4.7984733378746399E-3"/>
    <s v="LC"/>
    <m/>
    <s v="A3_nat, A2b, B1i_rod, B1i_inv, B1iii_sp, B2i_rod, B2i_inv, B2iii_sp, D3_inv"/>
    <n v="3927.0520000000001"/>
    <n v="2126.2595999999999"/>
    <n v="0.54143912532861804"/>
    <n v="0.256715961817921"/>
    <n v="13"/>
    <s v="RLE not adjusted"/>
    <m/>
  </r>
  <r>
    <s v="Gm14"/>
    <s v="LC"/>
    <n v="21"/>
    <s v="LC"/>
    <n v="10"/>
    <s v="LC"/>
    <s v="LC"/>
    <n v="0.2"/>
    <s v="LC"/>
    <n v="0"/>
    <n v="2.3947833309673199E-2"/>
    <s v="LC"/>
    <m/>
    <s v="A3_nat, A2b, B1i_rod, B1i_inv, B1iii_sp, B2i_rod, B2i_inv, B2iii_sp, D3_inv"/>
    <n v="3750.41"/>
    <n v="2950.1124"/>
    <n v="0.78661063723699498"/>
    <n v="0.19322279392150901"/>
    <n v="10"/>
    <s v="RLE not adjusted"/>
    <m/>
  </r>
  <r>
    <s v="Gm15"/>
    <s v="VU"/>
    <n v="53"/>
    <s v="VU"/>
    <n v="39"/>
    <s v="EN"/>
    <s v="LC"/>
    <n v="0.8"/>
    <s v="LC"/>
    <n v="0"/>
    <n v="4.9426111966527297E-2"/>
    <s v="EN"/>
    <s v="B1i_rod"/>
    <s v="A3_nat, A2b, B1i_rod, B2i_rod, B2i_inv, B2iii_sp, D3_inv"/>
    <n v="4216.8495999999996"/>
    <n v="1967.0735999999999"/>
    <n v="0.46647943052083202"/>
    <n v="0.78257216589364398"/>
    <n v="39"/>
    <s v="RLE not adjusted"/>
    <m/>
  </r>
  <r>
    <s v="Gm16"/>
    <s v="LC"/>
    <n v="45"/>
    <s v="LC"/>
    <n v="17"/>
    <s v="LC"/>
    <s v="LC"/>
    <n v="0.3"/>
    <s v="LC"/>
    <n v="0"/>
    <n v="2.7035797195190701E-2"/>
    <s v="EN"/>
    <s v="B1i_rod"/>
    <s v="A3_nat, A2b, B1i_rod, B1i_inv, B1iii_sp, B2i_rod, B2i_inv, B2iii_sp, D3_inv"/>
    <n v="9654.2360000000008"/>
    <n v="5328.8756000000003"/>
    <n v="0.55197279204693195"/>
    <n v="0.33826399411109598"/>
    <n v="17"/>
    <s v="RLE adjusted"/>
    <m/>
  </r>
  <r>
    <s v="Gm17"/>
    <s v="LC"/>
    <n v="38"/>
    <s v="LC"/>
    <n v="11"/>
    <s v="LC"/>
    <s v="LC"/>
    <n v="0.2"/>
    <s v="LC"/>
    <n v="0"/>
    <n v="1.8313444298614701E-2"/>
    <s v="LC"/>
    <m/>
    <s v="A3_nat, A2b, B1i_rod, B1i_inv, B1iii_sp, B2i_rod, B2i_inv, B2iii_sp, D3_inv"/>
    <n v="1291.3936000000001"/>
    <n v="805.20079999999996"/>
    <n v="0.623513079203738"/>
    <n v="0.22188273875397199"/>
    <n v="11"/>
    <s v="RLE not adjusted"/>
    <m/>
  </r>
  <r>
    <s v="Gm19"/>
    <s v="LC"/>
    <n v="39"/>
    <s v="LC"/>
    <n v="8"/>
    <s v="LC"/>
    <s v="LC"/>
    <n v="0.2"/>
    <s v="LC"/>
    <n v="0"/>
    <n v="3.4786608199450897E-2"/>
    <s v="LC"/>
    <m/>
    <s v="A3_nat, A2b, B1i_rod, B1i_inv, B1iii_sp, B2i_rod, B2i_inv, B2iii_sp, D3_inv"/>
    <n v="1380.8520000000001"/>
    <n v="847.0616"/>
    <n v="0.61343402479049203"/>
    <n v="0.16088082820327201"/>
    <n v="8"/>
    <s v="RLE not adjusted"/>
    <m/>
  </r>
  <r>
    <s v="Gm2"/>
    <s v="LC"/>
    <n v="25"/>
    <s v="LC"/>
    <n v="1"/>
    <s v="LC"/>
    <s v="LC"/>
    <n v="0"/>
    <s v="LC"/>
    <n v="0"/>
    <n v="1.5464872828453999E-3"/>
    <s v="LC"/>
    <m/>
    <s v="A3_nat, A2b, B1i_rod, B1i_inv, B1iii_sp, B2i_rod, B2i_inv, B2iii_sp, D3_inv"/>
    <n v="3737.0288"/>
    <n v="2818.7752"/>
    <n v="0.75428243956803298"/>
    <n v="1.0209019474443999E-2"/>
    <n v="1"/>
    <s v="RLE not adjusted"/>
    <m/>
  </r>
  <r>
    <s v="Gm20"/>
    <s v="LC"/>
    <n v="10"/>
    <s v="LC"/>
    <n v="8"/>
    <s v="LC"/>
    <s v="LC"/>
    <n v="0.2"/>
    <s v="LC"/>
    <n v="0"/>
    <s v="NA"/>
    <s v="LC"/>
    <m/>
    <s v="A3_nat, A2b, B1i_rod, B1i_inv, B1iii_sp, B2i_rod, B2i_inv, B2iii_sp, "/>
    <n v="20.3384"/>
    <n v="18.378399999999999"/>
    <n v="0.90363057074302799"/>
    <n v="0.16913278435409199"/>
    <n v="8"/>
    <s v="RLE not adjusted"/>
    <m/>
  </r>
  <r>
    <s v="Gm21"/>
    <s v="LC"/>
    <n v="23"/>
    <s v="LC"/>
    <n v="7"/>
    <s v="LC"/>
    <s v="LC"/>
    <n v="0.1"/>
    <s v="LC"/>
    <n v="0"/>
    <n v="1.18499950866774E-2"/>
    <s v="LC"/>
    <m/>
    <s v="A3_nat, A2b, B1i_rod, B1i_inv, B1iii_sp, B2i_rod, B2i_inv, B2iii_sp, D3_inv"/>
    <n v="1551.0771999999999"/>
    <n v="1192.6756"/>
    <n v="0.768933744883878"/>
    <n v="0.140974388585238"/>
    <n v="7"/>
    <s v="RLE not adjusted"/>
    <m/>
  </r>
  <r>
    <s v="Gm22"/>
    <s v="VU"/>
    <n v="50"/>
    <s v="LC"/>
    <n v="17"/>
    <s v="LC"/>
    <s v="LC"/>
    <n v="0.3"/>
    <s v="LC"/>
    <n v="0"/>
    <n v="4.26054997926643E-2"/>
    <s v="EN"/>
    <s v="B1i_rod"/>
    <s v="A3_nat, A3_mpl, A2b, B1i_rod, B1i_inv, B1iii_sp, B2i_rod, B2i_inv, B2iii_sp, D3_inv"/>
    <n v="939.17439999999999"/>
    <n v="352.08600000000001"/>
    <n v="0.37488883853733701"/>
    <n v="0.34316602076460501"/>
    <n v="17"/>
    <s v="RLE adjusted"/>
    <m/>
  </r>
  <r>
    <s v="Gm23"/>
    <s v="LC"/>
    <n v="45"/>
    <s v="LC"/>
    <n v="7"/>
    <s v="LC"/>
    <s v="LC"/>
    <n v="0.1"/>
    <s v="LC"/>
    <n v="0"/>
    <n v="3.54583680579868E-2"/>
    <s v="LC"/>
    <m/>
    <s v="A3_nat, A2b, B1i_rod, B1i_inv, B1iii_sp, B2i_rod, B2i_inv, B2iii_sp, D3_inv"/>
    <n v="1373.9431999999999"/>
    <n v="759.78679999999997"/>
    <n v="0.55299724180737597"/>
    <n v="0.13781396900708001"/>
    <n v="7"/>
    <s v="RLE not adjusted"/>
    <m/>
  </r>
  <r>
    <s v="Gm24"/>
    <s v="LC"/>
    <n v="7"/>
    <s v="LC"/>
    <n v="1"/>
    <s v="LC"/>
    <s v="LC"/>
    <n v="0"/>
    <s v="LC"/>
    <n v="0"/>
    <n v="1.56008914795131E-2"/>
    <s v="LC"/>
    <m/>
    <s v="A3_nat, A2b, B1i_rod, B1i_inv, B1iii_sp, B2i_rod, B2i_inv, B2iii_sp, D3_inv"/>
    <n v="10.001200000000001"/>
    <n v="9.3328000000000007"/>
    <n v="0.93316801983761899"/>
    <n v="2.3528223233655301E-2"/>
    <n v="1"/>
    <s v="RLE not adjusted"/>
    <m/>
  </r>
  <r>
    <s v="Gm25"/>
    <s v="EN"/>
    <n v="76"/>
    <s v="VU"/>
    <n v="32"/>
    <s v="CR"/>
    <s v="EN"/>
    <n v="0.6"/>
    <s v="LC"/>
    <n v="0"/>
    <n v="0.201011319533036"/>
    <s v="CR"/>
    <s v="B1i_rod"/>
    <s v="A3_nat, A2b, B1i_rod, B2i_rod, D3_inv"/>
    <n v="430.63440000000003"/>
    <n v="103.7852"/>
    <n v="0.241005363250126"/>
    <n v="0.63449311197456704"/>
    <n v="32"/>
    <s v="RLE not adjusted"/>
    <m/>
  </r>
  <r>
    <s v="Gm26"/>
    <s v="LC"/>
    <n v="7"/>
    <s v="LC"/>
    <n v="2"/>
    <s v="LC"/>
    <s v="LC"/>
    <n v="0"/>
    <s v="LC"/>
    <n v="0"/>
    <n v="3.9682736275767801E-2"/>
    <s v="LC"/>
    <m/>
    <s v="A3_nat, A2b, B1i_rod, B1i_inv, B1iii_sp, B2i_rod, B2i_inv, B2iii_sp, D3_inv"/>
    <n v="260.57960000000003"/>
    <n v="242.22120000000001"/>
    <n v="0.92954782339062603"/>
    <n v="4.01479621279551E-2"/>
    <n v="2"/>
    <s v="RLE not adjusted"/>
    <m/>
  </r>
  <r>
    <s v="Gm27"/>
    <s v="LC"/>
    <n v="3"/>
    <s v="LC"/>
    <n v="1"/>
    <s v="LC"/>
    <s v="LC"/>
    <n v="0"/>
    <s v="LC"/>
    <n v="0"/>
    <n v="1.53815519406917E-2"/>
    <s v="LC"/>
    <m/>
    <s v="A3_nat, A2b, B1i_rod, B1i_inv, B1iii_sp, B2i_rod, B2i_inv, B2iii_sp, D3_inv"/>
    <n v="268.06639999999999"/>
    <n v="261.14400000000001"/>
    <n v="0.97417654730320602"/>
    <n v="1.54889713951274E-2"/>
    <n v="1"/>
    <s v="RLE not adjusted"/>
    <m/>
  </r>
  <r>
    <s v="Gm28"/>
    <s v="LC"/>
    <n v="2"/>
    <s v="LC"/>
    <n v="1"/>
    <s v="LC"/>
    <s v="LC"/>
    <n v="0"/>
    <s v="LC"/>
    <n v="0"/>
    <n v="2.6484337454672501E-2"/>
    <s v="LC"/>
    <m/>
    <s v="A3_nat, A2b, B1i_rod, B1i_inv, B1iii_sp, B2i_rod, B2i_inv, B2iii_sp, D3_inv"/>
    <n v="93.875600000000006"/>
    <n v="91.555999999999997"/>
    <n v="0.97529070386767203"/>
    <n v="1.4215912253844699E-2"/>
    <n v="1"/>
    <s v="RLE not adjusted"/>
    <m/>
  </r>
  <r>
    <s v="Gm29"/>
    <s v="LC"/>
    <n v="4"/>
    <s v="LC"/>
    <n v="1"/>
    <s v="LC"/>
    <s v="LC"/>
    <n v="0"/>
    <s v="LC"/>
    <n v="0"/>
    <n v="2.89630895659674E-3"/>
    <s v="LC"/>
    <m/>
    <s v="A3_nat, A2b, B1i_rod, B1i_inv, B1iii_sp, B2i_rod, B2i_inv, B2iii_sp, D3_inv"/>
    <n v="523.22199999999998"/>
    <n v="502.7088"/>
    <n v="0.96079446200656704"/>
    <n v="2.4544177447125299E-2"/>
    <n v="1"/>
    <s v="RLE not adjusted"/>
    <m/>
  </r>
  <r>
    <s v="Gm3"/>
    <s v="VU"/>
    <n v="60"/>
    <s v="LC"/>
    <n v="21"/>
    <s v="VU"/>
    <s v="LC"/>
    <n v="0.4"/>
    <s v="LC"/>
    <n v="0"/>
    <n v="1.82845495915448E-2"/>
    <s v="VU"/>
    <s v="A3_nat, B1i_rod"/>
    <s v="A3_nat, A2b, B1i_rod, B2i_rod, B2i_inv, B2iii_sp, D3_inv"/>
    <n v="15063.9784"/>
    <n v="6008.3951999999999"/>
    <n v="0.39885845826757199"/>
    <n v="0.41892212369688098"/>
    <n v="21"/>
    <s v="RLE not adjusted"/>
    <m/>
  </r>
  <r>
    <s v="Gm30"/>
    <s v="LC"/>
    <n v="22"/>
    <s v="LC"/>
    <n v="17"/>
    <s v="LC"/>
    <s v="LC"/>
    <n v="0.3"/>
    <s v="LC"/>
    <n v="0"/>
    <n v="4.1134888004231401E-2"/>
    <s v="LC"/>
    <m/>
    <s v="A3_nat, A3_mpl, A2b, B1i_rod, B1i_inv, B1iii_sp, B2i_rod, B2i_inv, B2iii_sp, D3_inv"/>
    <n v="3858.6324"/>
    <n v="2611.3308000000002"/>
    <n v="0.67675034294533998"/>
    <n v="0.33149858093128198"/>
    <n v="17"/>
    <s v="RLE not adjusted"/>
    <m/>
  </r>
  <r>
    <s v="Gm31"/>
    <s v="LC"/>
    <n v="39"/>
    <s v="LC"/>
    <n v="12"/>
    <s v="LC"/>
    <s v="LC"/>
    <n v="0.2"/>
    <s v="LC"/>
    <n v="0"/>
    <n v="2.29169713011898E-2"/>
    <s v="LC"/>
    <m/>
    <s v="A3_nat, A3_mpl, A2b, B1i_rod, B1i_inv, B1iii_sp, B2i_rod, B2i_inv, B2iii_sp, D3_inv"/>
    <n v="1048.1812"/>
    <n v="536.16160000000002"/>
    <n v="0.51151613862183398"/>
    <n v="0.24283322255387199"/>
    <n v="12"/>
    <s v="RLE not adjusted"/>
    <m/>
  </r>
  <r>
    <s v="Gm4"/>
    <s v="LC"/>
    <n v="48"/>
    <s v="LC"/>
    <n v="13"/>
    <s v="LC"/>
    <s v="LC"/>
    <n v="0.3"/>
    <s v="LC"/>
    <n v="0"/>
    <n v="1.2200590931213499E-2"/>
    <s v="LC"/>
    <m/>
    <s v="A3_nat, A2b, B1i_rod, B1i_inv, B1iii_sp, B2i_rod, B2i_inv, B2iii_sp, D3_inv"/>
    <n v="14254.748"/>
    <n v="7447.7704000000003"/>
    <n v="0.52247646889303101"/>
    <n v="0.26377637742260601"/>
    <n v="13"/>
    <s v="RLE not adjusted"/>
    <m/>
  </r>
  <r>
    <s v="Gm5"/>
    <s v="LC"/>
    <n v="29"/>
    <s v="LC"/>
    <n v="4"/>
    <s v="LC"/>
    <s v="LC"/>
    <n v="0.1"/>
    <s v="LC"/>
    <n v="0"/>
    <n v="2.9866976133547302E-2"/>
    <s v="LC"/>
    <m/>
    <s v="A3_nat, A2b, B1i_rod, B1i_inv, B1iii_sp, B2i_rod, B2i_inv, B2iii_sp, D3_inv"/>
    <n v="3469.5508"/>
    <n v="2462.3852000000002"/>
    <n v="0.70971296918321503"/>
    <n v="7.3928462786774299E-2"/>
    <n v="4"/>
    <s v="RLE not adjusted"/>
    <m/>
  </r>
  <r>
    <s v="Gm6"/>
    <s v="LC"/>
    <n v="45"/>
    <s v="LC"/>
    <n v="15"/>
    <s v="LC"/>
    <s v="LC"/>
    <n v="0.3"/>
    <s v="LC"/>
    <n v="0"/>
    <n v="1.07469775177885E-3"/>
    <s v="LC"/>
    <m/>
    <s v="A3_nat, A2b, B1i_rod, B1i_inv, B1iii_sp, B2i_rod, B2i_inv, B2iii_sp, D3_inv"/>
    <n v="9891.6532000000007"/>
    <n v="5464.9784"/>
    <n v="0.55248382545397001"/>
    <n v="0.29211197941669398"/>
    <n v="15"/>
    <s v="RLE not adjusted"/>
    <m/>
  </r>
  <r>
    <s v="Gm7"/>
    <s v="LC"/>
    <n v="8"/>
    <s v="LC"/>
    <n v="3"/>
    <s v="LC"/>
    <s v="LC"/>
    <n v="0.1"/>
    <s v="LC"/>
    <n v="0"/>
    <n v="1.7378962765572301E-4"/>
    <s v="LC"/>
    <m/>
    <s v="A3_nat, A2b, B1i_rod, B1i_inv, B1iii_sp, B2i_rod, B2i_inv, B2iii_sp, D3_inv"/>
    <n v="30.048400000000001"/>
    <n v="27.619599999999998"/>
    <n v="0.91917040507980496"/>
    <n v="6.7613282135570302E-2"/>
    <n v="3"/>
    <s v="RLE not adjusted"/>
    <m/>
  </r>
  <r>
    <s v="Gm8"/>
    <s v="VU"/>
    <n v="62"/>
    <s v="LC"/>
    <n v="23"/>
    <s v="VU"/>
    <s v="LC"/>
    <n v="0.5"/>
    <s v="LC"/>
    <n v="0"/>
    <n v="8.8008243664826399E-3"/>
    <s v="VU"/>
    <s v="A3_nat, B1i_rod"/>
    <s v="A3_nat, A2b, B1i_rod, B2i_rod, B2i_inv, B2iii_sp, D3_inv"/>
    <n v="14492.9396"/>
    <n v="5504.348"/>
    <n v="0.37979513831686701"/>
    <n v="0.450422136765533"/>
    <n v="23"/>
    <s v="RLE not adjusted"/>
    <m/>
  </r>
  <r>
    <s v="Gm9"/>
    <s v="VU"/>
    <n v="67"/>
    <s v="VU"/>
    <n v="33"/>
    <s v="EN"/>
    <s v="VU"/>
    <n v="0.7"/>
    <s v="LC"/>
    <n v="0"/>
    <n v="5.3037422632726599E-3"/>
    <s v="EN"/>
    <s v="B1i_rod"/>
    <s v="A3_nat, A2b, B1i_rod, B2i_rod, D3_inv"/>
    <n v="1313.2256"/>
    <n v="435.84320000000002"/>
    <n v="0.33188752945419298"/>
    <n v="0.65782657021212498"/>
    <n v="33"/>
    <s v="RLE not adjusted"/>
    <m/>
  </r>
  <r>
    <s v="Gs1"/>
    <s v="LC"/>
    <n v="44"/>
    <s v="LC"/>
    <n v="27"/>
    <s v="EN"/>
    <s v="VU"/>
    <n v="0.5"/>
    <s v="LC"/>
    <n v="0"/>
    <n v="3.7385076951719901E-2"/>
    <s v="EN"/>
    <s v="B1i_rod"/>
    <s v="A3_nat, A3_kzn, A2b, B1i_rod, B2i_rod, D3_inv"/>
    <n v="539.21320000000003"/>
    <n v="281.44920000000002"/>
    <n v="0.52196274126820297"/>
    <n v="0.54834519424910599"/>
    <n v="27"/>
    <s v="RLE not adjusted"/>
    <m/>
  </r>
  <r>
    <s v="Gs10"/>
    <s v="LC"/>
    <n v="31"/>
    <s v="LC"/>
    <n v="13"/>
    <s v="LC"/>
    <s v="LC"/>
    <n v="0.3"/>
    <s v="LC"/>
    <n v="0"/>
    <n v="7.7322890693400703E-2"/>
    <s v="LC"/>
    <m/>
    <s v="A3_nat, A2b, B1i_rod, B1i_inv, B1iii_sp, B2i_rod, B2i_inv, B2iii_sp, D3_inv"/>
    <n v="10944.612800000001"/>
    <n v="7576.2196000000004"/>
    <n v="0.692232766790982"/>
    <n v="0.26162270718761199"/>
    <n v="13"/>
    <s v="RLE not adjusted"/>
    <m/>
  </r>
  <r>
    <s v="Gs11"/>
    <s v="VU"/>
    <n v="56"/>
    <s v="LC"/>
    <n v="25"/>
    <s v="EN"/>
    <s v="VU"/>
    <n v="0.5"/>
    <s v="LC"/>
    <n v="0"/>
    <n v="8.2436259069038703E-2"/>
    <s v="EN"/>
    <s v="B1i_rod"/>
    <s v="A3_nat, A2b, B1i_rod, B2i_rod, D3_inv"/>
    <n v="2342.1579999999999"/>
    <n v="1020.7256"/>
    <n v="0.43580561174779803"/>
    <n v="0.50037080732237704"/>
    <n v="25"/>
    <s v="RLE not adjusted"/>
    <m/>
  </r>
  <r>
    <s v="Gs12"/>
    <s v="LC"/>
    <n v="46"/>
    <s v="LC"/>
    <n v="17"/>
    <s v="LC"/>
    <s v="LC"/>
    <n v="0.3"/>
    <s v="LC"/>
    <n v="0"/>
    <n v="6.9955922456899397E-2"/>
    <s v="EN"/>
    <s v="B1i_rod"/>
    <s v="A3_nat, A2b, B1i_rod, B1i_inv, B1iii_sp, B2i_rod, B2i_inv, B2iii_sp, D3_inv"/>
    <n v="8728.1252000000004"/>
    <n v="4698.0839999999998"/>
    <n v="0.53826954727917997"/>
    <n v="0.33489010684107801"/>
    <n v="17"/>
    <s v="RLE adjusted"/>
    <m/>
  </r>
  <r>
    <s v="Gs13"/>
    <s v="EN"/>
    <n v="70"/>
    <s v="VU"/>
    <n v="32"/>
    <s v="CR"/>
    <s v="EN"/>
    <n v="0.6"/>
    <s v="LC"/>
    <n v="0"/>
    <n v="9.4451608725915001E-3"/>
    <s v="CR"/>
    <s v="B1i_rod"/>
    <s v="A3_nat, A2b, B1i_rod, B2i_rod, D3_inv"/>
    <n v="492.96"/>
    <n v="148.2664"/>
    <n v="0.30076760791950702"/>
    <n v="0.64523863553650695"/>
    <n v="32"/>
    <s v="RLE not adjusted"/>
    <m/>
  </r>
  <r>
    <s v="Gs14"/>
    <s v="VU"/>
    <n v="60"/>
    <s v="LC"/>
    <n v="22"/>
    <s v="EN"/>
    <s v="LC"/>
    <n v="0.4"/>
    <s v="LC"/>
    <n v="0"/>
    <n v="3.5631381625040003E-2"/>
    <s v="EN"/>
    <s v="B1i_rod"/>
    <s v="A3_nat, A2b, B1i_rod, B2i_rod, B2i_inv, B2iii_sp, D3_inv"/>
    <n v="5281.6719999999996"/>
    <n v="2135.8588"/>
    <n v="0.40439065508043698"/>
    <n v="0.43129258155188499"/>
    <n v="22"/>
    <s v="RLE not adjusted"/>
    <m/>
  </r>
  <r>
    <s v="Gs15"/>
    <s v="LC"/>
    <n v="40"/>
    <s v="LC"/>
    <n v="10"/>
    <s v="LC"/>
    <s v="LC"/>
    <n v="0.2"/>
    <s v="LC"/>
    <n v="0"/>
    <n v="2.9981224450608902E-2"/>
    <s v="LC"/>
    <m/>
    <s v="A3_nat, A2b, B1i_rod, B1i_inv, B1iii_sp, B2i_rod, B2i_inv, B2iii_sp, D3_inv"/>
    <n v="6137.2615999999998"/>
    <n v="3708.0140000000001"/>
    <n v="0.60418053550137096"/>
    <n v="0.19752309988455299"/>
    <n v="10"/>
    <s v="RLE not adjusted"/>
    <m/>
  </r>
  <r>
    <s v="Gs16"/>
    <s v="LC"/>
    <n v="17"/>
    <s v="LC"/>
    <n v="6"/>
    <s v="LC"/>
    <s v="LC"/>
    <n v="0.1"/>
    <s v="LC"/>
    <n v="0"/>
    <n v="5.9633181442980696E-3"/>
    <s v="LC"/>
    <m/>
    <s v="A3_nat, A2b, B1i_rod, B1i_inv, B1iii_sp, B2i_rod, B2i_inv, B2iii_sp, D3_inv"/>
    <n v="3606.2944000000002"/>
    <n v="2980.22"/>
    <n v="0.82639398491703797"/>
    <n v="0.12160242047106599"/>
    <n v="6"/>
    <s v="RLE not adjusted"/>
    <m/>
  </r>
  <r>
    <s v="Gs17"/>
    <s v="LC"/>
    <n v="2"/>
    <s v="LC"/>
    <n v="1"/>
    <s v="LC"/>
    <s v="LC"/>
    <n v="0"/>
    <s v="LC"/>
    <n v="0"/>
    <n v="1.0406351895948599E-2"/>
    <s v="LC"/>
    <m/>
    <s v="A3_nat, A2b, B1i_rod, B1i_inv, B1iii_sp, B2i_rod, B2i_inv, B2iii_sp, D3_inv"/>
    <n v="4242.1876000000002"/>
    <n v="4170.7987999999996"/>
    <n v="0.98317170131749898"/>
    <n v="1.1201257374213401E-2"/>
    <n v="1"/>
    <s v="RLE not adjusted"/>
    <m/>
  </r>
  <r>
    <s v="Gs18"/>
    <s v="LC"/>
    <n v="2"/>
    <s v="LC"/>
    <n v="1"/>
    <s v="LC"/>
    <s v="LC"/>
    <n v="0"/>
    <s v="LC"/>
    <n v="0"/>
    <n v="1.05471710929638E-3"/>
    <s v="LC"/>
    <m/>
    <s v="A3_nat, A2b, B1i_rod, B1i_inv, B1iii_sp, B2i_rod, B2i_inv, B2iii_sp, D3_step; D3_inv"/>
    <n v="1433.932"/>
    <n v="1407.3915999999999"/>
    <n v="0.98149117252422002"/>
    <n v="1.6431293409784501E-2"/>
    <n v="1"/>
    <s v="RLE not adjusted"/>
    <m/>
  </r>
  <r>
    <s v="Gs19"/>
    <s v="VU"/>
    <n v="56"/>
    <s v="LC"/>
    <n v="22"/>
    <s v="VU"/>
    <s v="LC"/>
    <n v="0.4"/>
    <s v="LC"/>
    <n v="0"/>
    <n v="0.148237349031446"/>
    <s v="VU"/>
    <s v="A3_nat, B1i_rod"/>
    <s v="A3_nat, A2b, B1i_rod, B2i_rod, B2i_inv, B2iii_sp, D3_inv"/>
    <n v="3024.2363999999998"/>
    <n v="1334.6487999999999"/>
    <n v="0.44131761657256702"/>
    <n v="0.43610348503704999"/>
    <n v="22"/>
    <s v="RLE not adjusted"/>
    <m/>
  </r>
  <r>
    <s v="Gs2"/>
    <s v="LC"/>
    <n v="20"/>
    <s v="LC"/>
    <n v="7"/>
    <s v="LC"/>
    <s v="LC"/>
    <n v="0.1"/>
    <s v="LC"/>
    <n v="0"/>
    <n v="1.32913557749343E-2"/>
    <s v="LC"/>
    <m/>
    <s v="A3_nat, A2b, B1i_rod, B1i_inv, B1iii_sp, B2i_rod, B2i_inv, B2iii_sp, D3_inv"/>
    <n v="1545.4911999999999"/>
    <n v="1242.8227999999999"/>
    <n v="0.80416038603131501"/>
    <n v="0.13797734188278499"/>
    <n v="7"/>
    <s v="RLE not adjusted"/>
    <m/>
  </r>
  <r>
    <s v="Gs20"/>
    <s v="VU"/>
    <n v="64"/>
    <s v="LC"/>
    <n v="23"/>
    <s v="VU"/>
    <s v="LC"/>
    <n v="0.5"/>
    <s v="LC"/>
    <n v="0"/>
    <n v="0.155142142579341"/>
    <s v="VU"/>
    <s v="A3_nat, B1i_rod"/>
    <s v="A3_nat, A2b, B1i_rod, B2i_rod, B2i_inv, B2iii_sp, D3_inv"/>
    <n v="6280.5940000000001"/>
    <n v="2257.5219999999999"/>
    <n v="0.35944402710953799"/>
    <n v="0.456964999465997"/>
    <n v="23"/>
    <s v="RLE not adjusted"/>
    <m/>
  </r>
  <r>
    <s v="Gs3"/>
    <s v="LC"/>
    <n v="10"/>
    <s v="LC"/>
    <n v="4"/>
    <s v="LC"/>
    <s v="LC"/>
    <n v="0.1"/>
    <s v="LC"/>
    <n v="0"/>
    <n v="7.2149008831304901E-2"/>
    <s v="LC"/>
    <m/>
    <s v="A3_nat, A2b, B1i_rod, B1i_inv, B1iii_sp, B2i_rod, B2i_inv, B2iii_sp, D3_inv"/>
    <n v="1742.278"/>
    <n v="1563.8912"/>
    <n v="0.89761289530143895"/>
    <n v="8.3332700581028402E-2"/>
    <n v="4"/>
    <s v="RLE not adjusted"/>
    <m/>
  </r>
  <r>
    <s v="Gs4"/>
    <s v="LC"/>
    <n v="40"/>
    <s v="LC"/>
    <n v="18"/>
    <s v="VU"/>
    <s v="LC"/>
    <n v="0.4"/>
    <s v="LC"/>
    <n v="0"/>
    <n v="3.6655990082325202E-2"/>
    <s v="VU"/>
    <s v="B1i_rod"/>
    <s v="A3_nat, A3_kzn, A2b, B1i_rod, B2i_rod, B2i_inv, B2iii_sp, D3_inv"/>
    <n v="7440.4260000000004"/>
    <n v="4242.93"/>
    <n v="0.57025363870294499"/>
    <n v="0.36608373256934301"/>
    <n v="18"/>
    <s v="RLE not adjusted"/>
    <m/>
  </r>
  <r>
    <s v="Gs6"/>
    <s v="LC"/>
    <n v="37"/>
    <s v="LC"/>
    <n v="14"/>
    <s v="LC"/>
    <s v="LC"/>
    <n v="0.3"/>
    <s v="LC"/>
    <n v="0"/>
    <n v="2.23087914308591E-2"/>
    <s v="LC"/>
    <m/>
    <s v="A3_nat, A3_kzn, A2b, B1i_rod, B1i_inv, B1iii_sp, B2i_rod, B2i_inv, B2iii_sp, D3_inv"/>
    <n v="5227.4683999999997"/>
    <n v="3303.6124"/>
    <n v="0.63197175902584102"/>
    <n v="0.28758980323185501"/>
    <n v="14"/>
    <s v="RLE not adjusted"/>
    <m/>
  </r>
  <r>
    <s v="Gs7"/>
    <s v="VU"/>
    <n v="54"/>
    <s v="LC"/>
    <n v="19"/>
    <s v="EN"/>
    <s v="LC"/>
    <n v="0.4"/>
    <s v="LC"/>
    <n v="0"/>
    <n v="5.4106064314098801E-3"/>
    <s v="EN"/>
    <s v="B1i_rod"/>
    <s v="A3_kzn, A2b, B1i_rod, B2i_rod, B2i_inv, B2iii_sp, D3_inv"/>
    <n v="4653.6067999999996"/>
    <n v="2366.6848"/>
    <n v="0.50856999779181999"/>
    <n v="0.37914016181953603"/>
    <n v="19"/>
    <s v="RLE not adjusted"/>
    <m/>
  </r>
  <r>
    <s v="Gs8"/>
    <s v="LC"/>
    <n v="36"/>
    <s v="LC"/>
    <n v="25"/>
    <s v="EN"/>
    <s v="LC"/>
    <n v="0.5"/>
    <s v="LC"/>
    <n v="0"/>
    <n v="2.85563553771646E-2"/>
    <s v="EN"/>
    <s v="B1i_rod"/>
    <s v="A3_nat, A3_kzn, A2b, B1i_rod, B2i_rod, B2i_inv, B2iii_sp, D3_inv"/>
    <n v="2862.4155999999998"/>
    <n v="1664.26"/>
    <n v="0.58141801630762502"/>
    <n v="0.496462617222034"/>
    <n v="25"/>
    <s v="RLE not adjusted"/>
    <m/>
  </r>
  <r>
    <s v="Gs9"/>
    <s v="EN"/>
    <n v="71"/>
    <s v="VU"/>
    <n v="35"/>
    <s v="VU"/>
    <s v="LC"/>
    <n v="0.7"/>
    <s v="LC"/>
    <n v="0"/>
    <n v="7.9505995162049203E-2"/>
    <s v="EN"/>
    <s v="A3_nat"/>
    <s v="A3_nat, A2b, B1i_rod, B2i_rod, B2i_inv, B2iii_sp, D3_inv"/>
    <n v="6972.2335999999996"/>
    <n v="2020.0288"/>
    <n v="0.28972477342124597"/>
    <n v="0.69753489193406304"/>
    <n v="35"/>
    <s v="RLE not adjusted"/>
    <m/>
  </r>
  <r>
    <s v="NKb1"/>
    <s v="LC"/>
    <n v="1"/>
    <s v="LC"/>
    <n v="1"/>
    <s v="LC"/>
    <s v="LC"/>
    <n v="0"/>
    <s v="LC"/>
    <n v="0"/>
    <n v="2.9505977573973498E-3"/>
    <s v="LC"/>
    <m/>
    <s v="A3_nat, A2b, B1i_rod, B1i_inv, B1iii_sp, B2i_rod, B2i_inv, B2iii_sp, D3_inv"/>
    <n v="4671.0663999999997"/>
    <n v="4637.4332000000004"/>
    <n v="0.99279967418146797"/>
    <n v="1.32339361819903E-2"/>
    <n v="1"/>
    <s v="RLE not adjusted"/>
    <m/>
  </r>
  <r>
    <s v="NKb2"/>
    <s v="LC"/>
    <n v="1"/>
    <s v="LC"/>
    <n v="1"/>
    <s v="LC"/>
    <s v="LC"/>
    <n v="0"/>
    <s v="LC"/>
    <n v="0"/>
    <n v="0"/>
    <s v="LC"/>
    <m/>
    <s v="A3_nat, A2b, B1i_rod, B1i_inv, B1iii_sp, B2i_rod, B2i_inv, B2iii_sp, D3_inv"/>
    <n v="607.48800000000006"/>
    <n v="601.39200000000005"/>
    <n v="0.98996523388116298"/>
    <n v="1.4373005117095701E-2"/>
    <n v="1"/>
    <s v="RLE not adjusted"/>
    <m/>
  </r>
  <r>
    <s v="NKb3"/>
    <s v="LC"/>
    <n v="1"/>
    <s v="LC"/>
    <n v="1"/>
    <s v="LC"/>
    <s v="LC"/>
    <n v="0"/>
    <s v="LC"/>
    <n v="0"/>
    <n v="4.7494531011142097E-3"/>
    <s v="LC"/>
    <m/>
    <s v="A3_nat, A2b, B1i_rod, B1i_inv, B1iii_sp, B2i_rod, B2i_inv, B2iii_sp, D3_inv"/>
    <n v="41251.817999999999"/>
    <n v="40919.995600000002"/>
    <n v="0.99195617511936096"/>
    <n v="1.7282223946704301E-2"/>
    <n v="1"/>
    <s v="RLE not adjusted"/>
    <m/>
  </r>
  <r>
    <s v="NKb4"/>
    <s v="LC"/>
    <n v="0"/>
    <s v="LC"/>
    <n v="0"/>
    <s v="LC"/>
    <s v="LC"/>
    <n v="0"/>
    <s v="LC"/>
    <n v="0"/>
    <n v="1.59636346096751E-3"/>
    <s v="LC"/>
    <m/>
    <s v="A3_nat, A2b, B1i_rod, B1i_inv, B1iii_sp, B2i_rod, B2i_inv, B2iii_sp, D3_inv"/>
    <n v="2677.2"/>
    <n v="2670.3191999999999"/>
    <n v="0.99742985208426704"/>
    <n v="4.6549515634505103E-3"/>
    <n v="0"/>
    <s v="RLE not adjusted"/>
    <m/>
  </r>
  <r>
    <s v="NKb5"/>
    <s v="LC"/>
    <n v="1"/>
    <s v="LC"/>
    <n v="1"/>
    <s v="LC"/>
    <s v="LC"/>
    <n v="0"/>
    <s v="LC"/>
    <n v="0"/>
    <n v="1.5907705810303901E-3"/>
    <s v="LC"/>
    <m/>
    <s v="A3_nat, A2b, B1i_rod, B1i_inv, B1iii_sp, B2i_rod, B2i_inv, B2iii_sp, D3_inv"/>
    <n v="8634.3688000000002"/>
    <n v="8543.5324000000001"/>
    <n v="0.98947967105597801"/>
    <n v="1.7743030122629601E-2"/>
    <n v="1"/>
    <s v="RLE not adjusted"/>
    <m/>
  </r>
  <r>
    <s v="NKb6"/>
    <s v="LC"/>
    <n v="1"/>
    <s v="LC"/>
    <n v="1"/>
    <s v="LC"/>
    <s v="LC"/>
    <n v="0"/>
    <s v="LC"/>
    <n v="0"/>
    <n v="3.1285673454592901E-3"/>
    <s v="LC"/>
    <m/>
    <s v="A3_nat, A2b, B1i_rod, B1i_inv, B1iii_sp, B2i_rod, B2i_inv, B2iii_sp, D3_inv"/>
    <n v="41250.668400000002"/>
    <n v="40909.9712"/>
    <n v="0.99174080776834195"/>
    <n v="1.04837234445636E-2"/>
    <n v="1"/>
    <s v="RLE not adjusted"/>
    <m/>
  </r>
  <r>
    <s v="NKl1"/>
    <s v="LC"/>
    <n v="1"/>
    <s v="LC"/>
    <n v="1"/>
    <s v="LC"/>
    <s v="LC"/>
    <n v="0"/>
    <s v="LC"/>
    <n v="0"/>
    <n v="6.9440513301086205E-5"/>
    <s v="LC"/>
    <m/>
    <s v="A3_nat, A2b, B1i_rod, B1i_inv, B1iii_sp, B2i_rod, B2i_inv, B2iii_sp, D3_inv"/>
    <n v="20205.945199999998"/>
    <n v="20074.736400000002"/>
    <n v="0.99350642601960504"/>
    <n v="1.02364808296635E-2"/>
    <n v="1"/>
    <s v="RLE not adjusted"/>
    <m/>
  </r>
  <r>
    <s v="NKl2"/>
    <s v="LC"/>
    <n v="2"/>
    <s v="LC"/>
    <n v="1"/>
    <s v="LC"/>
    <s v="LC"/>
    <n v="0"/>
    <s v="LC"/>
    <n v="0"/>
    <n v="1.04361789758885E-3"/>
    <s v="LC"/>
    <m/>
    <s v="A3_nat, A2b, B1i_rod, B1i_inv, B1iii_sp, B2i_rod, B2i_inv, B2iii_sp, D3_inv"/>
    <n v="8321.3631999999998"/>
    <n v="8164.2907999999998"/>
    <n v="0.98112419849670796"/>
    <n v="1.9007056272439898E-2"/>
    <n v="1"/>
    <s v="RLE not adjusted"/>
    <m/>
  </r>
  <r>
    <s v="NKl4"/>
    <s v="LC"/>
    <n v="8"/>
    <s v="LC"/>
    <n v="4"/>
    <s v="LC"/>
    <s v="LC"/>
    <n v="0.1"/>
    <s v="LC"/>
    <n v="0"/>
    <n v="6.0420413669064795E-4"/>
    <s v="LC"/>
    <m/>
    <s v="A3_nat, A2b, B1i_rod, B1i_inv, B1iii_sp, B2i_rod, B2i_inv, B2iii_sp, D3_step; D3_inv"/>
    <n v="742.69320000000005"/>
    <n v="683.21280000000002"/>
    <n v="0.91991255608641598"/>
    <n v="8.4522965923370497E-2"/>
    <n v="4"/>
    <s v="RLE not adjusted"/>
    <m/>
  </r>
  <r>
    <s v="NKu1"/>
    <s v="LC"/>
    <n v="1"/>
    <s v="LC"/>
    <n v="1"/>
    <s v="LC"/>
    <s v="LC"/>
    <n v="0"/>
    <s v="LC"/>
    <n v="0"/>
    <n v="7.01702646895664E-4"/>
    <s v="LC"/>
    <m/>
    <s v="A3_nat, A2b, B1i_rod, B1i_inv, B1iii_sp, B2i_rod, B2i_inv, B2iii_sp, D3_inv"/>
    <n v="17149.5756"/>
    <n v="16965.020799999998"/>
    <n v="0.98923852086462105"/>
    <n v="1.1228358731801899E-2"/>
    <n v="1"/>
    <s v="RLE not adjusted"/>
    <m/>
  </r>
  <r>
    <s v="NKu2"/>
    <s v="LC"/>
    <n v="0"/>
    <s v="LC"/>
    <n v="0"/>
    <s v="LC"/>
    <s v="LC"/>
    <n v="0"/>
    <s v="LC"/>
    <n v="0"/>
    <n v="1.2904095694709801E-3"/>
    <s v="LC"/>
    <m/>
    <s v="A3_nat, A2b, B1i_rod, B1i_inv, B1iii_sp, B2i_rod, B2i_inv, B2iii_sp, D3_inv"/>
    <n v="11734.275600000001"/>
    <n v="11706.3608"/>
    <n v="0.99762108877006395"/>
    <n v="3.28876249482284E-3"/>
    <n v="0"/>
    <s v="RLE not adjusted"/>
    <m/>
  </r>
  <r>
    <s v="NKu3"/>
    <s v="LC"/>
    <n v="5"/>
    <s v="LC"/>
    <n v="2"/>
    <s v="LC"/>
    <s v="LC"/>
    <n v="0"/>
    <s v="LC"/>
    <n v="0"/>
    <n v="6.5096200453713896E-3"/>
    <s v="LC"/>
    <m/>
    <s v="A3_nat, A2b, B1i_rod, B1i_inv, B1iii_sp, B2i_rod, B2i_inv, B2iii_sp, D3_inv"/>
    <n v="42273.727200000001"/>
    <n v="40004.239600000001"/>
    <n v="0.94631446644714101"/>
    <n v="4.2023270495740499E-2"/>
    <n v="2"/>
    <s v="RLE not adjusted"/>
    <m/>
  </r>
  <r>
    <s v="NKu4"/>
    <s v="LC"/>
    <n v="4"/>
    <s v="LC"/>
    <n v="1"/>
    <s v="LC"/>
    <s v="LC"/>
    <n v="0"/>
    <s v="LC"/>
    <n v="0"/>
    <n v="1.1716436384864E-3"/>
    <s v="LC"/>
    <m/>
    <s v="A3_nat, A2b, B1i_rod, B1i_inv, B1iii_sp, B2i_rod, B2i_inv, B2iii_sp, D3_inv"/>
    <n v="49834.434399999998"/>
    <n v="48084.245199999998"/>
    <n v="0.96487992246581999"/>
    <n v="2.1665814166706401E-2"/>
    <n v="1"/>
    <s v="RLE not adjusted"/>
    <m/>
  </r>
  <r>
    <s v="SKk1"/>
    <s v="LC"/>
    <n v="0"/>
    <s v="LC"/>
    <n v="0"/>
    <s v="LC"/>
    <s v="LC"/>
    <n v="0"/>
    <s v="LC"/>
    <n v="0"/>
    <n v="2.8081711011788699E-3"/>
    <s v="LC"/>
    <m/>
    <s v="A3_nat, A2b, B1i_rod, B1i_inv, B1iii_sp, B2i_rod, B2i_inv, B2iii_sp, D3_inv"/>
    <n v="1673.7739999999999"/>
    <n v="1666.85"/>
    <n v="0.99586324079595001"/>
    <n v="8.0848871715066203E-3"/>
    <n v="0"/>
    <s v="RLE not adjusted"/>
    <m/>
  </r>
  <r>
    <s v="SKk2"/>
    <s v="LC"/>
    <n v="1"/>
    <s v="LC"/>
    <n v="0"/>
    <s v="LC"/>
    <s v="LC"/>
    <n v="0"/>
    <s v="LC"/>
    <n v="0"/>
    <s v="NA"/>
    <s v="LC"/>
    <m/>
    <s v="A3_nat, A3_wc, A2b, B1i_rod, B1i_inv, B1iii_sp, B2i_rod, B2i_inv, B2iii_sp, "/>
    <n v="129.90559999999999"/>
    <n v="129.15479999999999"/>
    <n v="0.99422041851929399"/>
    <n v="6.2493431911331198E-3"/>
    <n v="0"/>
    <s v="RLE not adjusted"/>
    <m/>
  </r>
  <r>
    <s v="SKk3"/>
    <s v="LC"/>
    <n v="3"/>
    <s v="LC"/>
    <n v="1"/>
    <s v="LC"/>
    <s v="LC"/>
    <n v="0"/>
    <s v="LC"/>
    <n v="0"/>
    <n v="1.8416580589170401E-4"/>
    <s v="LC"/>
    <m/>
    <s v="A3_nat, A3_wc, A2b, B1i_rod, B1i_inv, B1iii_sp, B2i_rod, B2i_inv, B2iii_sp, D3_inv"/>
    <n v="1320.886"/>
    <n v="1298.8296"/>
    <n v="0.98330181408539397"/>
    <n v="1.4947451175107301E-2"/>
    <n v="1"/>
    <s v="RLE not adjusted"/>
    <m/>
  </r>
  <r>
    <s v="SKk4"/>
    <s v="LC"/>
    <n v="0"/>
    <s v="LC"/>
    <n v="0"/>
    <s v="LC"/>
    <s v="LC"/>
    <n v="0"/>
    <s v="LC"/>
    <n v="0"/>
    <n v="1.58346304225032E-3"/>
    <s v="LC"/>
    <m/>
    <s v="A3_nat, A2b, B1i_rod, B1i_inv, B1iii_sp, B2i_rod, B2i_inv, B2iii_sp, D3_inv"/>
    <n v="983.548"/>
    <n v="979.37239999999997"/>
    <n v="0.99575455392111001"/>
    <n v="7.3267703942449603E-3"/>
    <n v="0"/>
    <s v="RLE not adjusted"/>
    <m/>
  </r>
  <r>
    <s v="SKk5"/>
    <s v="LC"/>
    <n v="15"/>
    <s v="LC"/>
    <n v="5"/>
    <s v="LC"/>
    <s v="LC"/>
    <n v="0.1"/>
    <s v="LC"/>
    <n v="0"/>
    <n v="6.8096454218207697E-3"/>
    <s v="LC"/>
    <m/>
    <s v="A3_nat, A3_wc, A2b, B1i_rod, B1i_inv, B1iii_sp, B2i_rod, B2i_inv, B2iii_sp, D3_inv"/>
    <n v="988.53"/>
    <n v="829.17679999999996"/>
    <n v="0.83879781089091898"/>
    <n v="0.106452992408834"/>
    <n v="5"/>
    <s v="RLE not adjusted"/>
    <m/>
  </r>
  <r>
    <s v="SKk6"/>
    <s v="LC"/>
    <n v="6"/>
    <s v="LC"/>
    <n v="3"/>
    <s v="LC"/>
    <s v="LC"/>
    <n v="0.1"/>
    <s v="LC"/>
    <n v="0"/>
    <n v="2.78440173937439E-3"/>
    <s v="LC"/>
    <m/>
    <s v="A3_nat, A3_wc, A2b, B1i_rod, B1i_inv, B1iii_sp, B2i_rod, B2i_inv, B2iii_sp, D3_inv"/>
    <n v="59.8264"/>
    <n v="57.031999999999996"/>
    <n v="0.95329152347458601"/>
    <n v="6.3787778854147395E-2"/>
    <n v="3"/>
    <s v="RLE not adjusted"/>
    <m/>
  </r>
  <r>
    <s v="SKk7"/>
    <s v="LC"/>
    <n v="28"/>
    <s v="LC"/>
    <n v="14"/>
    <s v="LC"/>
    <s v="LC"/>
    <n v="0.3"/>
    <s v="LC"/>
    <n v="0"/>
    <n v="2.2625499384080199E-2"/>
    <s v="LC"/>
    <m/>
    <s v="A3_nat, A3_wc, A2b, B1i_rod, B1i_inv, B1iii_sp, B2i_rod, B2i_inv, B2iii_sp, D3_inv"/>
    <n v="185.21360000000001"/>
    <n v="130.8612"/>
    <n v="0.70654206818505805"/>
    <n v="0.28966674154685801"/>
    <n v="14"/>
    <s v="RLE not adjusted"/>
    <m/>
  </r>
  <r>
    <s v="SKk8"/>
    <s v="EN"/>
    <n v="76"/>
    <s v="VU"/>
    <n v="43"/>
    <s v="CR"/>
    <s v="CR"/>
    <n v="0.9"/>
    <s v="LC"/>
    <n v="0"/>
    <n v="6.3331222292590302E-4"/>
    <s v="CR"/>
    <s v="B1i_rod, B2i_rod"/>
    <s v="A3_nat, A3_wc, A2b, B1i_rod, B2i_rod, D3_inv"/>
    <n v="2.86"/>
    <n v="0.61439999999999995"/>
    <n v="0.220839160839161"/>
    <n v="0.869360902255639"/>
    <n v="43"/>
    <s v="RLE not adjusted"/>
    <m/>
  </r>
  <r>
    <s v="SKk9"/>
    <s v="LC"/>
    <n v="2"/>
    <s v="LC"/>
    <n v="2"/>
    <s v="LC"/>
    <s v="LC"/>
    <n v="0"/>
    <s v="LC"/>
    <n v="0"/>
    <n v="3.5371269971218002E-4"/>
    <s v="LC"/>
    <m/>
    <s v="A3_nat, A2b, B1i_rod, B1i_inv, B1iii_sp, B2i_rod, B2i_inv, B2iii_sp, D3_inv"/>
    <n v="142.76560000000001"/>
    <n v="140.2268"/>
    <n v="0.98221700465658401"/>
    <n v="4.2140483285916401E-2"/>
    <n v="2"/>
    <s v="RLE not adjusted"/>
    <m/>
  </r>
  <r>
    <s v="SKn1"/>
    <s v="LC"/>
    <n v="3"/>
    <s v="LC"/>
    <n v="1"/>
    <s v="LC"/>
    <s v="LC"/>
    <n v="0"/>
    <s v="LC"/>
    <n v="0"/>
    <n v="4.9196372086272703E-5"/>
    <s v="LC"/>
    <m/>
    <s v="A3_nat, A2b, B1i_rod, B1i_inv, B1iii_sp, B2i_rod, B2i_inv, B2iii_sp, D3_inv"/>
    <n v="7582.1624000000002"/>
    <n v="7342.0047999999997"/>
    <n v="0.96832597518618202"/>
    <n v="1.2980613483179399E-2"/>
    <n v="1"/>
    <s v="RLE not adjusted"/>
    <m/>
  </r>
  <r>
    <s v="SKn2"/>
    <s v="LC"/>
    <n v="1"/>
    <s v="LC"/>
    <n v="0"/>
    <s v="LC"/>
    <s v="LC"/>
    <n v="0"/>
    <s v="LC"/>
    <n v="0"/>
    <n v="0"/>
    <s v="LC"/>
    <m/>
    <s v="A3_nat, A2b, B1i_rod, B1i_inv, B1iii_sp, B2i_rod, B2i_inv, B2iii_sp, D3_inv"/>
    <n v="539.33240000000001"/>
    <n v="534.20360000000005"/>
    <n v="0.99049046562008902"/>
    <n v="7.0949080645594798E-3"/>
    <n v="0"/>
    <s v="RLE not adjusted"/>
    <m/>
  </r>
  <r>
    <s v="SKn3"/>
    <s v="LC"/>
    <n v="7"/>
    <s v="LC"/>
    <n v="1"/>
    <s v="LC"/>
    <s v="LC"/>
    <n v="0"/>
    <s v="LC"/>
    <n v="0"/>
    <n v="7.6512682011633206E-5"/>
    <s v="LC"/>
    <m/>
    <s v="A3_nat, A2b, B1i_rod, B1i_inv, B1iii_sp, B2i_rod, B2i_inv, B2iii_sp, D3_inv"/>
    <n v="3107.9960000000001"/>
    <n v="2891.0239999999999"/>
    <n v="0.93018909934246996"/>
    <n v="2.9535900181497401E-2"/>
    <n v="1"/>
    <s v="RLE not adjusted"/>
    <m/>
  </r>
  <r>
    <s v="SKn4"/>
    <s v="LC"/>
    <n v="9"/>
    <s v="LC"/>
    <n v="2"/>
    <s v="LC"/>
    <s v="LC"/>
    <n v="0"/>
    <s v="LC"/>
    <n v="0"/>
    <n v="3.80680798713718E-5"/>
    <s v="LC"/>
    <m/>
    <s v="A3_nat, A2b, B1i_rod, B1i_inv, B1iii_sp, B2i_rod, B2i_inv, B2iii_sp, D3_inv"/>
    <n v="5040.6135999999997"/>
    <n v="4581.2659999999996"/>
    <n v="0.90887069780552099"/>
    <n v="3.45540500821074E-2"/>
    <n v="2"/>
    <s v="RLE not adjusted"/>
    <m/>
  </r>
  <r>
    <s v="SKn5"/>
    <s v="LC"/>
    <n v="0"/>
    <s v="LC"/>
    <n v="1"/>
    <s v="LC"/>
    <s v="LC"/>
    <n v="0"/>
    <s v="LC"/>
    <n v="0"/>
    <n v="0"/>
    <s v="LC"/>
    <m/>
    <s v="A3_nat, A2b, B1i_rod, B1i_inv, B1iii_sp, B2i_rod, B2i_inv, B2iii_sp, D3_inv"/>
    <n v="653.34360000000004"/>
    <n v="650.53840000000002"/>
    <n v="0.99570639400156402"/>
    <n v="1.0608890572013E-2"/>
    <n v="1"/>
    <s v="RLE not adjusted"/>
    <m/>
  </r>
  <r>
    <s v="SKn6"/>
    <s v="LC"/>
    <n v="1"/>
    <s v="LC"/>
    <n v="0"/>
    <s v="LC"/>
    <s v="LC"/>
    <n v="0"/>
    <s v="LC"/>
    <n v="0"/>
    <n v="4.2298202326401102E-4"/>
    <s v="LC"/>
    <m/>
    <s v="A3_nat, A2b, B1i_rod, B1i_inv, B1iii_sp, B2i_rod, B2i_inv, B2iii_sp, D3_inv"/>
    <n v="396.7944"/>
    <n v="391.50599999999997"/>
    <n v="0.98667219093817804"/>
    <n v="8.9397324498538804E-3"/>
    <n v="0"/>
    <s v="RLE not adjusted"/>
    <m/>
  </r>
  <r>
    <s v="SKn7"/>
    <s v="LC"/>
    <n v="8"/>
    <s v="LC"/>
    <n v="2"/>
    <s v="LC"/>
    <s v="LC"/>
    <n v="0"/>
    <s v="LC"/>
    <n v="0"/>
    <s v="NA"/>
    <s v="LC"/>
    <m/>
    <s v="A3_nat, A3_wc, A2b, B1i_rod, B1i_inv, B1iii_sp, B2i_rod, B2i_inv, B2iii_sp, "/>
    <n v="997.14880000000005"/>
    <n v="907.93119999999999"/>
    <n v="0.910527295424715"/>
    <n v="4.0885950766092097E-2"/>
    <n v="2"/>
    <s v="RLE not adjusted"/>
    <m/>
  </r>
  <r>
    <s v="SKr1"/>
    <s v="LC"/>
    <n v="0"/>
    <s v="LC"/>
    <n v="0"/>
    <s v="LC"/>
    <s v="LC"/>
    <n v="0"/>
    <s v="LC"/>
    <n v="0"/>
    <s v="NA"/>
    <s v="LC"/>
    <m/>
    <s v="A3_nat, A2b, B1i_rod, B1i_inv, B1iii_sp, B2i_rod, B2i_inv, B2iii_sp, "/>
    <n v="1200.4012"/>
    <n v="1199.7416000000001"/>
    <n v="0.99945051704380194"/>
    <n v="1.17168792049548E-3"/>
    <n v="0"/>
    <s v="RLE not adjusted"/>
    <m/>
  </r>
  <r>
    <s v="SKr10"/>
    <s v="LC"/>
    <n v="0"/>
    <s v="LC"/>
    <n v="0"/>
    <s v="LC"/>
    <s v="LC"/>
    <n v="0"/>
    <s v="LC"/>
    <n v="0"/>
    <s v="NA"/>
    <s v="LC"/>
    <m/>
    <s v="A3_nat, A2b, B1i_rod, B1i_inv, B1iii_sp, B2i_rod, B2i_inv, B2iii_sp, "/>
    <n v="127.56959999999999"/>
    <n v="127.14239999999999"/>
    <n v="0.99665123979380699"/>
    <n v="9.56616650775329E-3"/>
    <n v="0"/>
    <s v="RLE not adjusted"/>
    <m/>
  </r>
  <r>
    <s v="SKr11"/>
    <s v="LC"/>
    <n v="1"/>
    <s v="LC"/>
    <n v="1"/>
    <s v="LC"/>
    <s v="LC"/>
    <n v="0"/>
    <s v="LC"/>
    <n v="0"/>
    <s v="NA"/>
    <s v="LC"/>
    <m/>
    <s v="A3_nat, A2b, B1i_rod, B1i_inv, B1iii_sp, B2i_rod, B2i_inv, B2iii_sp, "/>
    <n v="129.27520000000001"/>
    <n v="128.12039999999999"/>
    <n v="0.99106711882866905"/>
    <n v="2.1029022764838302E-2"/>
    <n v="1"/>
    <s v="RLE not adjusted"/>
    <m/>
  </r>
  <r>
    <s v="SKr12"/>
    <s v="LC"/>
    <n v="0"/>
    <s v="LC"/>
    <n v="0"/>
    <s v="LC"/>
    <s v="LC"/>
    <n v="0"/>
    <s v="LC"/>
    <n v="0"/>
    <s v="NA"/>
    <s v="LC"/>
    <m/>
    <s v="A3_nat, A2b, B1i_rod, B1i_inv, B1iii_sp, B2i_rod, B2i_inv, B2iii_sp, "/>
    <n v="612.14639999999997"/>
    <n v="611.89679999999998"/>
    <n v="0.99959225440188804"/>
    <n v="8.9450260753645998E-4"/>
    <n v="0"/>
    <s v="RLE not adjusted"/>
    <m/>
  </r>
  <r>
    <s v="SKr13"/>
    <s v="LC"/>
    <n v="0"/>
    <s v="LC"/>
    <n v="0"/>
    <s v="LC"/>
    <s v="LC"/>
    <n v="0"/>
    <s v="LC"/>
    <n v="0"/>
    <n v="0"/>
    <s v="CR"/>
    <s v="B1i_sup"/>
    <s v="A3_nat, A2b, B1i_rod, B1i_inv, B1iii_sp, B2i_rod, B2i_inv, B2iii_sp, D3_inv"/>
    <n v="722.67600000000004"/>
    <n v="721.83159999999998"/>
    <n v="0.99883156490598801"/>
    <n v="2.6559093169092598E-3"/>
    <n v="0"/>
    <s v="RLE adjusted"/>
    <m/>
  </r>
  <r>
    <s v="SKr14"/>
    <s v="LC"/>
    <n v="0"/>
    <s v="LC"/>
    <n v="0"/>
    <s v="LC"/>
    <s v="LC"/>
    <n v="0"/>
    <s v="LC"/>
    <n v="0"/>
    <s v="NA"/>
    <s v="LC"/>
    <m/>
    <s v="A3_nat, A2b, B1i_rod, B1i_inv, B1iii_sp, B2i_rod, B2i_inv, B2iii_sp, "/>
    <n v="365.56319999999999"/>
    <n v="365.21559999999999"/>
    <n v="0.99904913842531196"/>
    <n v="1.72747563335755E-3"/>
    <n v="0"/>
    <s v="RLE not adjusted"/>
    <m/>
  </r>
  <r>
    <s v="SKr15"/>
    <s v="LC"/>
    <n v="17"/>
    <s v="LC"/>
    <n v="2"/>
    <s v="LC"/>
    <s v="LC"/>
    <n v="0"/>
    <s v="LC"/>
    <n v="0"/>
    <n v="0"/>
    <s v="LC"/>
    <m/>
    <s v="A3_nat, A2b, B1i_rod, B1i_inv, B1iii_sp, B2i_rod, B2i_inv, B2iii_sp, D3_inv"/>
    <n v="241.7792"/>
    <n v="200.304"/>
    <n v="0.82845836200963496"/>
    <n v="3.32659617345126E-2"/>
    <n v="2"/>
    <s v="RLE not adjusted"/>
    <m/>
  </r>
  <r>
    <s v="SKr16"/>
    <s v="LC"/>
    <n v="0"/>
    <s v="LC"/>
    <n v="0"/>
    <s v="LC"/>
    <s v="LC"/>
    <n v="0"/>
    <s v="LC"/>
    <n v="0"/>
    <s v="NA"/>
    <s v="LC"/>
    <m/>
    <s v="A3_nat, A2b, B1i_rod, B1i_inv, B1iii_sp, B2i_rod, B2i_inv, B2iii_sp, "/>
    <n v="432.84480000000002"/>
    <n v="432.33519999999999"/>
    <n v="0.99882267269931402"/>
    <n v="1.9908194617425001E-3"/>
    <n v="0"/>
    <s v="RLE not adjusted"/>
    <m/>
  </r>
  <r>
    <s v="SKr17"/>
    <s v="LC"/>
    <n v="0"/>
    <s v="LC"/>
    <n v="0"/>
    <s v="LC"/>
    <s v="LC"/>
    <n v="0"/>
    <s v="LC"/>
    <n v="0"/>
    <s v="NA"/>
    <s v="LC"/>
    <m/>
    <s v="A3_nat, A2b, B1i_rod, B1i_inv, B1iii_sp, B2i_rod, B2i_inv, B2iii_sp, "/>
    <n v="260.74560000000002"/>
    <n v="259.666"/>
    <n v="0.99585956579900103"/>
    <n v="9.7369217161091606E-3"/>
    <n v="0"/>
    <s v="RLE not adjusted"/>
    <m/>
  </r>
  <r>
    <s v="SKr18"/>
    <s v="LC"/>
    <n v="1"/>
    <s v="LC"/>
    <n v="1"/>
    <s v="LC"/>
    <s v="LC"/>
    <n v="0"/>
    <s v="LC"/>
    <n v="0"/>
    <n v="0"/>
    <s v="LC"/>
    <m/>
    <s v="A3_nat, A2b, B1i_rod, B1i_inv, B1iii_sp, B2i_rod, B2i_inv, B2iii_sp, D3_inv"/>
    <n v="817.7808"/>
    <n v="812.36199999999997"/>
    <n v="0.99337377448822495"/>
    <n v="1.3413693948991799E-2"/>
    <n v="1"/>
    <s v="RLE not adjusted"/>
    <m/>
  </r>
  <r>
    <s v="SKr19"/>
    <s v="LC"/>
    <n v="1"/>
    <s v="LC"/>
    <n v="1"/>
    <s v="LC"/>
    <s v="LC"/>
    <n v="0"/>
    <s v="LC"/>
    <n v="0"/>
    <n v="0"/>
    <s v="LC"/>
    <m/>
    <s v="A3_nat, A2b, B1i_rod, B1i_inv, B1iii_sp, B2i_rod, B2i_inv, B2iii_sp, D3_inv"/>
    <n v="371.96319999999997"/>
    <n v="367.71440000000001"/>
    <n v="0.98857736464252399"/>
    <n v="2.6940352428608101E-2"/>
    <n v="1"/>
    <s v="RLE not adjusted"/>
    <m/>
  </r>
  <r>
    <s v="SKr2"/>
    <s v="LC"/>
    <n v="0"/>
    <s v="LC"/>
    <n v="0"/>
    <s v="LC"/>
    <s v="LC"/>
    <n v="0"/>
    <s v="LC"/>
    <n v="0"/>
    <n v="0"/>
    <s v="CR"/>
    <s v="B1i_sup"/>
    <s v="A3_nat, A2b, B1i_rod, B1i_inv, B1iii_sp, B2i_rod, B2i_inv, B2iii_sp, D3_inv"/>
    <n v="192.11359999999999"/>
    <n v="191.3312"/>
    <n v="0.99592740961597703"/>
    <n v="6.8057792278229598E-3"/>
    <n v="0"/>
    <s v="RLE adjusted"/>
    <m/>
  </r>
  <r>
    <s v="SKr3"/>
    <s v="LC"/>
    <n v="0"/>
    <s v="LC"/>
    <n v="0"/>
    <s v="LC"/>
    <s v="LC"/>
    <n v="0"/>
    <s v="LC"/>
    <n v="0"/>
    <s v="NA"/>
    <s v="LC"/>
    <m/>
    <s v="A3_nat, A2b, B1i_rod, B1i_inv, B1iii_sp, B2i_rod, B2i_inv, B2iii_sp, "/>
    <n v="170.77440000000001"/>
    <n v="170.73759999999999"/>
    <n v="0.99978451102741395"/>
    <n v="6.7340303933193305E-4"/>
    <n v="0"/>
    <s v="RLE not adjusted"/>
    <m/>
  </r>
  <r>
    <s v="SKr4"/>
    <s v="LC"/>
    <n v="1"/>
    <s v="LC"/>
    <n v="0"/>
    <s v="LC"/>
    <s v="LC"/>
    <n v="0"/>
    <s v="LC"/>
    <n v="0"/>
    <n v="0"/>
    <s v="LC"/>
    <m/>
    <s v="A3_nat, A2b, B1i_rod, B1i_inv, B1iii_sp, B2i_rod, B2i_inv, B2iii_sp, D3_inv"/>
    <n v="836.22479999999996"/>
    <n v="827.16120000000001"/>
    <n v="0.989161287730285"/>
    <n v="5.3630703591384396E-3"/>
    <n v="0"/>
    <s v="RLE not adjusted"/>
    <m/>
  </r>
  <r>
    <s v="SKr5"/>
    <s v="LC"/>
    <n v="0"/>
    <s v="LC"/>
    <n v="0"/>
    <s v="LC"/>
    <s v="LC"/>
    <n v="0"/>
    <s v="LC"/>
    <n v="0"/>
    <s v="NA"/>
    <s v="LC"/>
    <m/>
    <s v="A3_nat, A2b, B1i_rod, B1i_inv, B1iii_sp, B2i_rod, B2i_inv, B2iii_sp, "/>
    <n v="18.365200000000002"/>
    <n v="18.365200000000002"/>
    <n v="1"/>
    <n v="0"/>
    <n v="0"/>
    <s v="RLE not adjusted"/>
    <m/>
  </r>
  <r>
    <s v="SKr6"/>
    <s v="LC"/>
    <n v="0"/>
    <s v="LC"/>
    <n v="0"/>
    <s v="LC"/>
    <s v="LC"/>
    <n v="0"/>
    <s v="LC"/>
    <n v="0"/>
    <s v="NA"/>
    <s v="LC"/>
    <m/>
    <s v="A3_nat, A2b, B1i_rod, B1i_inv, B1iii_sp, B2i_rod, B2i_inv, B2iii_sp, "/>
    <n v="65.872799999999998"/>
    <n v="65.8232"/>
    <n v="0.99924703367702605"/>
    <n v="2.1444273733684399E-3"/>
    <n v="0"/>
    <s v="RLE not adjusted"/>
    <m/>
  </r>
  <r>
    <s v="SKr7"/>
    <s v="LC"/>
    <n v="0"/>
    <s v="LC"/>
    <n v="0"/>
    <s v="LC"/>
    <s v="LC"/>
    <n v="0"/>
    <s v="LC"/>
    <n v="0"/>
    <s v="NA"/>
    <s v="EN"/>
    <s v="B1i_sup"/>
    <s v="A3_nat, A2b, B1i_rod, B1i_inv, B1iii_sp, B2i_rod, B2i_inv, B2iii_sp, "/>
    <n v="327.14960000000002"/>
    <n v="326.55439999999999"/>
    <n v="0.99818064885300195"/>
    <n v="5.5405362444308102E-3"/>
    <n v="0"/>
    <s v="RLE adjusted"/>
    <m/>
  </r>
  <r>
    <s v="SKr8"/>
    <s v="LC"/>
    <n v="0"/>
    <s v="LC"/>
    <n v="0"/>
    <s v="LC"/>
    <s v="LC"/>
    <n v="0"/>
    <s v="LC"/>
    <n v="0"/>
    <s v="NA"/>
    <s v="LC"/>
    <m/>
    <s v="A3_nat, A2b, B1i_rod, B1i_inv, B1iii_sp, B2i_rod, B2i_inv, B2iii_sp, "/>
    <n v="50.557600000000001"/>
    <n v="50.510399999999997"/>
    <n v="0.99906641138028696"/>
    <n v="2.91746443660323E-3"/>
    <n v="0"/>
    <s v="RLE not adjusted"/>
    <m/>
  </r>
  <r>
    <s v="SKr9"/>
    <s v="LC"/>
    <n v="0"/>
    <s v="LC"/>
    <n v="0"/>
    <s v="LC"/>
    <s v="LC"/>
    <n v="0"/>
    <s v="LC"/>
    <n v="0"/>
    <s v="NA"/>
    <s v="LC"/>
    <m/>
    <s v="A3_nat, A2b, B1i_rod, B1i_inv, B1iii_sp, B2i_rod, B2i_inv, B2iii_sp, "/>
    <n v="3.2652000000000001"/>
    <n v="3.2652000000000001"/>
    <n v="1"/>
    <n v="0"/>
    <n v="0"/>
    <s v="RLE not adjusted"/>
    <m/>
  </r>
  <r>
    <s v="SKs1"/>
    <s v="LC"/>
    <n v="39"/>
    <s v="LC"/>
    <n v="18"/>
    <s v="CR"/>
    <s v="EN"/>
    <n v="0.4"/>
    <s v="LC"/>
    <n v="0"/>
    <s v="NA"/>
    <s v="CR"/>
    <s v="B1i_rod"/>
    <s v="A3_nat, A2b, B1i_rod, B2i_rod, "/>
    <n v="508.02120000000002"/>
    <n v="311.00760000000002"/>
    <n v="0.61219413678011902"/>
    <n v="0.36643179495912798"/>
    <n v="18"/>
    <s v="RLE not adjusted"/>
    <m/>
  </r>
  <r>
    <s v="SKs10"/>
    <s v="LC"/>
    <n v="2"/>
    <s v="LC"/>
    <n v="0"/>
    <s v="LC"/>
    <s v="LC"/>
    <n v="0"/>
    <s v="LC"/>
    <n v="0"/>
    <s v="NA"/>
    <s v="LC"/>
    <m/>
    <s v="A3_nat, A2b, B1i_rod, B1i_inv, B1iii_sp, B2i_rod, B2i_inv, B2iii_sp, "/>
    <n v="136.4288"/>
    <n v="133.9984"/>
    <n v="0.98218557958436903"/>
    <n v="9.2728866375190993E-3"/>
    <n v="0"/>
    <s v="RLE not adjusted"/>
    <m/>
  </r>
  <r>
    <s v="SKs11"/>
    <s v="LC"/>
    <n v="0"/>
    <s v="LC"/>
    <n v="0"/>
    <s v="LC"/>
    <s v="LC"/>
    <n v="0"/>
    <s v="LC"/>
    <n v="0"/>
    <s v="NA"/>
    <s v="LC"/>
    <m/>
    <s v="A3_nat, A2b, B1i_rod, B1i_inv, B1iii_sp, B2i_rod, B2i_inv, B2iii_sp, "/>
    <n v="286.97919999999999"/>
    <n v="286.68520000000001"/>
    <n v="0.99897553550919405"/>
    <n v="2.92294642757559E-3"/>
    <n v="0"/>
    <s v="RLE not adjusted"/>
    <m/>
  </r>
  <r>
    <s v="SKs12"/>
    <s v="LC"/>
    <n v="5"/>
    <s v="LC"/>
    <n v="2"/>
    <s v="LC"/>
    <s v="LC"/>
    <n v="0"/>
    <s v="LC"/>
    <n v="0"/>
    <n v="2.11558258799974E-4"/>
    <s v="LC"/>
    <m/>
    <s v="A3_nat, A3_wc, A2b, B1i_rod, B1i_inv, B1iii_sp, B2i_rod, B2i_inv, B2iii_sp, D3_inv"/>
    <n v="469.92880000000002"/>
    <n v="423.524"/>
    <n v="0.90125142361991895"/>
    <n v="3.2368921349070601E-2"/>
    <n v="2"/>
    <s v="RLE not adjusted"/>
    <m/>
  </r>
  <r>
    <s v="SKs13"/>
    <s v="LC"/>
    <n v="44"/>
    <s v="LC"/>
    <n v="27"/>
    <s v="CR"/>
    <s v="EN"/>
    <n v="0.5"/>
    <s v="LC"/>
    <n v="0"/>
    <n v="1.6876435495622798E-2"/>
    <s v="CR"/>
    <s v="B1i_rod"/>
    <s v="A3_nat, A3_wc, A2b, B1i_rod, B2i_rod, D3_inv"/>
    <n v="201.12960000000001"/>
    <n v="108.1508"/>
    <n v="0.53771697452786704"/>
    <n v="0.54427090492029595"/>
    <n v="27"/>
    <s v="RLE not adjusted"/>
    <m/>
  </r>
  <r>
    <s v="SKs14"/>
    <s v="LC"/>
    <n v="23"/>
    <s v="LC"/>
    <n v="5"/>
    <s v="LC"/>
    <s v="LC"/>
    <n v="0.1"/>
    <s v="LC"/>
    <n v="0"/>
    <n v="3.9812774372746998E-4"/>
    <s v="LC"/>
    <m/>
    <s v="A3_nat, A2b, B1i_rod, B1i_inv, B1iii_sp, B2i_rod, B2i_inv, B2iii_sp, D3_inv"/>
    <n v="838.94560000000001"/>
    <n v="644.01440000000002"/>
    <n v="0.76764738977115998"/>
    <n v="9.6191672852069504E-2"/>
    <n v="5"/>
    <s v="RLE not adjusted"/>
    <m/>
  </r>
  <r>
    <s v="SKs2"/>
    <s v="LC"/>
    <n v="2"/>
    <s v="LC"/>
    <n v="1"/>
    <s v="LC"/>
    <s v="LC"/>
    <n v="0"/>
    <s v="LC"/>
    <n v="0"/>
    <n v="0"/>
    <s v="LC"/>
    <m/>
    <s v="A3_nat, A2b, B1i_rod, B1i_inv, B1iii_sp, B2i_rod, B2i_inv, B2iii_sp, D3_inv"/>
    <n v="536.10040000000004"/>
    <n v="524.90279999999996"/>
    <n v="0.97911286766434003"/>
    <n v="2.3943408482678199E-2"/>
    <n v="1"/>
    <s v="RLE not adjusted"/>
    <m/>
  </r>
  <r>
    <s v="SKs3"/>
    <s v="LC"/>
    <n v="9"/>
    <s v="LC"/>
    <n v="3"/>
    <s v="LC"/>
    <s v="LC"/>
    <n v="0.1"/>
    <s v="LC"/>
    <n v="0"/>
    <s v="NA"/>
    <s v="LC"/>
    <m/>
    <s v="A3_nat, A2b, B1i_rod, B1i_inv, B1iii_sp, B2i_rod, B2i_inv, B2iii_sp, "/>
    <n v="331.4"/>
    <n v="302.72000000000003"/>
    <n v="0.91345805672902802"/>
    <n v="6.52976385307735E-2"/>
    <n v="3"/>
    <s v="RLE not adjusted"/>
    <m/>
  </r>
  <r>
    <s v="SKs4"/>
    <s v="LC"/>
    <n v="2"/>
    <s v="LC"/>
    <n v="1"/>
    <s v="LC"/>
    <s v="LC"/>
    <n v="0"/>
    <s v="LC"/>
    <n v="0"/>
    <n v="0"/>
    <s v="LC"/>
    <m/>
    <s v="A3_nat, A2b, B1i_rod, B1i_inv, B1iii_sp, B2i_rod, B2i_inv, B2iii_sp, D3_inv"/>
    <n v="449.04399999999998"/>
    <n v="441.44080000000002"/>
    <n v="0.983068028968208"/>
    <n v="1.63096092273964E-2"/>
    <n v="1"/>
    <s v="RLE not adjusted"/>
    <m/>
  </r>
  <r>
    <s v="SKs5"/>
    <s v="LC"/>
    <n v="0"/>
    <s v="LC"/>
    <n v="0"/>
    <s v="LC"/>
    <s v="LC"/>
    <n v="0"/>
    <s v="LC"/>
    <n v="0"/>
    <n v="0"/>
    <s v="LC"/>
    <m/>
    <s v="A3_nat, A2b, B1i_rod, B1i_inv, B1iii_sp, B2i_rod, B2i_inv, B2iii_sp, D3_inv"/>
    <n v="566.1096"/>
    <n v="565.69079999999997"/>
    <n v="0.99926021392324005"/>
    <n v="1.9080045028905699E-3"/>
    <n v="0"/>
    <s v="RLE not adjusted"/>
    <m/>
  </r>
  <r>
    <s v="SKs6"/>
    <s v="LC"/>
    <n v="0"/>
    <s v="LC"/>
    <n v="0"/>
    <s v="LC"/>
    <s v="LC"/>
    <n v="0"/>
    <s v="LC"/>
    <n v="0"/>
    <s v="NA"/>
    <s v="LC"/>
    <m/>
    <s v="A3_nat, A2b, B1i_rod, B1i_inv, B1iii_sp, B2i_rod, B2i_inv, B2iii_sp, "/>
    <n v="123.30200000000001"/>
    <n v="122.7916"/>
    <n v="0.99586056998264405"/>
    <n v="9.8939289634166292E-3"/>
    <n v="0"/>
    <s v="RLE not adjusted"/>
    <m/>
  </r>
  <r>
    <s v="SKs7"/>
    <s v="LC"/>
    <n v="19"/>
    <s v="LC"/>
    <n v="4"/>
    <s v="LC"/>
    <s v="LC"/>
    <n v="0.1"/>
    <s v="LC"/>
    <n v="0"/>
    <n v="3.0582542313199301E-4"/>
    <s v="LC"/>
    <m/>
    <s v="A3_nat, A2b, B1i_rod, B1i_inv, B1iii_sp, B2i_rod, B2i_inv, B2iii_sp, D3_inv"/>
    <n v="3151.7932000000001"/>
    <n v="2540.0111999999999"/>
    <n v="0.80589399076056101"/>
    <n v="8.7911603535809693E-2"/>
    <n v="4"/>
    <s v="RLE not adjusted"/>
    <m/>
  </r>
  <r>
    <s v="SKs8"/>
    <s v="LC"/>
    <n v="16"/>
    <s v="LC"/>
    <n v="6"/>
    <s v="LC"/>
    <s v="LC"/>
    <n v="0.1"/>
    <s v="LC"/>
    <n v="0"/>
    <n v="0"/>
    <s v="LC"/>
    <m/>
    <s v="A3_nat, A2b, B1i_rod, B1i_inv, B1iii_sp, B2i_rod, B2i_inv, B2iii_sp, D3_inv"/>
    <n v="868.03120000000001"/>
    <n v="727.28800000000001"/>
    <n v="0.83785928432065604"/>
    <n v="0.12545743263360801"/>
    <n v="6"/>
    <s v="RLE not adjusted"/>
    <m/>
  </r>
  <r>
    <s v="SKs9"/>
    <s v="LC"/>
    <n v="4"/>
    <s v="LC"/>
    <n v="4"/>
    <s v="LC"/>
    <s v="LC"/>
    <n v="0.1"/>
    <s v="LC"/>
    <n v="0"/>
    <n v="1.87625064538501E-4"/>
    <s v="LC"/>
    <m/>
    <s v="A3_nat, A2b, B1i_rod, B1i_inv, B1iii_sp, B2i_rod, B2i_inv, B2iii_sp, D3_inv"/>
    <n v="917.39239999999995"/>
    <n v="884.7432"/>
    <n v="0.96441086714910695"/>
    <n v="7.1620967955683901E-2"/>
    <n v="4"/>
    <s v="RLE not adjusted"/>
    <m/>
  </r>
  <r>
    <s v="SKt1"/>
    <s v="LC"/>
    <n v="0"/>
    <s v="LC"/>
    <n v="1"/>
    <s v="LC"/>
    <s v="LC"/>
    <n v="0"/>
    <s v="LC"/>
    <n v="0"/>
    <n v="6.5529506041741496E-4"/>
    <s v="LC"/>
    <m/>
    <s v="A3_nat, A2b, B1i_rod, B1i_inv, B1iii_sp, B2i_rod, B2i_inv, B2iii_sp, D3_inv"/>
    <n v="101.7792"/>
    <n v="101.3284"/>
    <n v="0.99557080425077005"/>
    <n v="1.34621507210604E-2"/>
    <n v="1"/>
    <s v="RLE not adjusted"/>
    <m/>
  </r>
  <r>
    <s v="SKt2"/>
    <s v="LC"/>
    <n v="4"/>
    <s v="LC"/>
    <n v="1"/>
    <s v="LC"/>
    <s v="LC"/>
    <n v="0"/>
    <s v="LC"/>
    <n v="0"/>
    <n v="2.4724953759676302E-3"/>
    <s v="LC"/>
    <m/>
    <s v="A3_nat, A2b, B1i_rod, B1i_inv, B1iii_sp, B2i_rod, B2i_inv, B2iii_sp, D3_inv"/>
    <n v="7632.5540000000001"/>
    <n v="7313.0976000000001"/>
    <n v="0.958145543418363"/>
    <n v="1.94902638061384E-2"/>
    <n v="1"/>
    <s v="RLE not adjusted"/>
    <m/>
  </r>
  <r>
    <s v="SKt3"/>
    <s v="LC"/>
    <n v="3"/>
    <s v="LC"/>
    <n v="1"/>
    <s v="LC"/>
    <s v="LC"/>
    <n v="0"/>
    <s v="LC"/>
    <n v="0"/>
    <n v="1.3220704349069499E-3"/>
    <s v="LC"/>
    <m/>
    <s v="A3_nat, A2b, B1i_rod, B1i_inv, B1iii_sp, B2i_rod, B2i_inv, B2iii_sp, D3_inv"/>
    <n v="5357.9960000000001"/>
    <n v="5222.7172"/>
    <n v="0.97475197816497094"/>
    <n v="1.81048458605307E-2"/>
    <n v="1"/>
    <s v="RLE not adjusted"/>
    <m/>
  </r>
  <r>
    <s v="SKv1"/>
    <s v="LC"/>
    <n v="17"/>
    <s v="LC"/>
    <n v="7"/>
    <s v="LC"/>
    <s v="LC"/>
    <n v="0.1"/>
    <s v="LC"/>
    <n v="0"/>
    <n v="5.44217808556765E-3"/>
    <s v="LC"/>
    <m/>
    <s v="A3_nat, A2b, B1i_rod, B1i_inv, B1iii_sp, B2i_rod, B2i_inv, B2iii_sp, D3_inv"/>
    <n v="540.74"/>
    <n v="447.98239999999998"/>
    <n v="0.82846173761881903"/>
    <n v="0.14921491454059699"/>
    <n v="7"/>
    <s v="RLE not adjusted"/>
    <m/>
  </r>
  <r>
    <s v="SKv10"/>
    <s v="LC"/>
    <n v="6"/>
    <s v="LC"/>
    <n v="3"/>
    <s v="LC"/>
    <s v="LC"/>
    <n v="0.1"/>
    <s v="LC"/>
    <n v="19"/>
    <n v="2.36889743734797E-4"/>
    <s v="LC"/>
    <m/>
    <s v="A3_nat, A3_wc, A2b, B1i_rod, B1i_inv, B1iii_sp, B2i_rod, B2i_inv, B2iii_sp, D3_lk; D3_inv"/>
    <n v="240.126"/>
    <n v="226.26560000000001"/>
    <n v="0.94227863704888304"/>
    <n v="6.1857007695546702E-2"/>
    <n v="3"/>
    <s v="RLE not adjusted"/>
    <m/>
  </r>
  <r>
    <s v="SKv11"/>
    <s v="LC"/>
    <n v="12"/>
    <s v="LC"/>
    <n v="5"/>
    <s v="LC"/>
    <s v="LC"/>
    <n v="0.1"/>
    <s v="LC"/>
    <n v="24"/>
    <n v="1.1373346986413601E-3"/>
    <s v="EN"/>
    <s v="D1_elk"/>
    <s v="A3_nat, A3_wc, A2b, B1i_rod, B1i_inv, B1iii_sp, B2i_rod, B2i_inv, B2iii_sp, D3_lk; D3_inv"/>
    <n v="1578.5704000000001"/>
    <n v="1369.1659999999999"/>
    <n v="0.86734554252379203"/>
    <n v="9.9349519377231202E-2"/>
    <n v="5"/>
    <s v="RLE adjusted"/>
    <m/>
  </r>
  <r>
    <s v="SKv13"/>
    <s v="LC"/>
    <n v="2"/>
    <s v="LC"/>
    <n v="1"/>
    <s v="LC"/>
    <s v="LC"/>
    <n v="0"/>
    <s v="LC"/>
    <n v="0"/>
    <n v="6.8035869987207495E-4"/>
    <s v="LC"/>
    <m/>
    <s v="A3_nat, A2b, B1i_rod, B1i_inv, B1iii_sp, B2i_rod, B2i_inv, B2iii_sp, D3_step; D3_inv"/>
    <n v="2555.2608"/>
    <n v="2513.9679999999998"/>
    <n v="0.983840083955422"/>
    <n v="1.57438705763604E-2"/>
    <n v="1"/>
    <s v="RLE not adjusted"/>
    <m/>
  </r>
  <r>
    <s v="SKv14"/>
    <s v="LC"/>
    <n v="3"/>
    <s v="LC"/>
    <n v="1"/>
    <s v="LC"/>
    <s v="LC"/>
    <n v="0"/>
    <s v="LC"/>
    <n v="0"/>
    <n v="6.2086867535536105E-4"/>
    <s v="LC"/>
    <m/>
    <s v="A3_nat, A2b, B1i_rod, B1i_inv, B1iii_sp, B2i_rod, B2i_inv, B2iii_sp, D3_step; D3_inv"/>
    <n v="793.30560000000003"/>
    <n v="769.24480000000005"/>
    <n v="0.96967020023557104"/>
    <n v="2.8019359333700901E-2"/>
    <n v="1"/>
    <s v="RLE not adjusted"/>
    <m/>
  </r>
  <r>
    <s v="SKv2"/>
    <s v="LC"/>
    <n v="0"/>
    <s v="LC"/>
    <n v="1"/>
    <s v="LC"/>
    <s v="LC"/>
    <n v="0"/>
    <s v="LC"/>
    <n v="0"/>
    <n v="5.3917257471058097E-4"/>
    <s v="LC"/>
    <m/>
    <s v="A3_nat, A2b, B1i_rod, B1i_inv, B1iii_sp, B2i_rod, B2i_inv, B2iii_sp, D3_inv"/>
    <n v="559.38639999999998"/>
    <n v="557.15"/>
    <n v="0.99600204795826297"/>
    <n v="1.00590536671313E-2"/>
    <n v="1"/>
    <s v="RLE not adjusted"/>
    <m/>
  </r>
  <r>
    <s v="SKv3"/>
    <s v="LC"/>
    <n v="3"/>
    <s v="LC"/>
    <n v="1"/>
    <s v="LC"/>
    <s v="LC"/>
    <n v="0"/>
    <s v="LC"/>
    <n v="0"/>
    <n v="7.8450446427780402E-4"/>
    <s v="LC"/>
    <m/>
    <s v="A3_nat, A2b, B1i_rod, B1i_inv, B1iii_sp, B2i_rod, B2i_inv, B2iii_sp, D3_inv"/>
    <n v="928.57240000000002"/>
    <n v="902.99040000000002"/>
    <n v="0.97245018266750105"/>
    <n v="1.4979231590906E-2"/>
    <n v="1"/>
    <s v="RLE not adjusted"/>
    <m/>
  </r>
  <r>
    <s v="SKv4"/>
    <s v="LC"/>
    <n v="0"/>
    <s v="LC"/>
    <n v="0"/>
    <s v="LC"/>
    <s v="LC"/>
    <n v="0"/>
    <s v="LC"/>
    <n v="0"/>
    <n v="0"/>
    <s v="LC"/>
    <m/>
    <s v="A3_nat, A2b, B1i_rod, B1i_inv, B1iii_sp, B2i_rod, B2i_inv, B2iii_sp, D3_inv"/>
    <n v="1318.3684000000001"/>
    <n v="1313.5804000000001"/>
    <n v="0.99636823819502995"/>
    <n v="3.2330352818926E-3"/>
    <n v="0"/>
    <s v="RLE not adjusted"/>
    <m/>
  </r>
  <r>
    <s v="SKv5"/>
    <s v="LC"/>
    <n v="1"/>
    <s v="LC"/>
    <n v="0"/>
    <s v="LC"/>
    <s v="LC"/>
    <n v="0"/>
    <s v="LC"/>
    <n v="0"/>
    <n v="1.8466103659638101E-3"/>
    <s v="LC"/>
    <m/>
    <s v="A3_nat, A2b, B1i_rod, B1i_inv, B1iii_sp, B2i_rod, B2i_inv, B2iii_sp, D3_inv"/>
    <n v="6988.3064000000004"/>
    <n v="6923.8212000000003"/>
    <n v="0.99077241375678704"/>
    <n v="9.6612191980605198E-3"/>
    <n v="0"/>
    <s v="RLE not adjusted"/>
    <m/>
  </r>
  <r>
    <s v="SKv6"/>
    <s v="LC"/>
    <n v="1"/>
    <s v="LC"/>
    <n v="1"/>
    <s v="LC"/>
    <s v="LC"/>
    <n v="0"/>
    <s v="LC"/>
    <n v="0"/>
    <n v="7.7777643727566705E-5"/>
    <s v="LC"/>
    <m/>
    <s v="A3_nat, A2b, B1i_rod, B1i_inv, B1iii_sp, B2i_rod, B2i_inv, B2iii_sp, D3_inv"/>
    <n v="4714.4892"/>
    <n v="4674.8652000000002"/>
    <n v="0.991595271869538"/>
    <n v="1.0226612261188799E-2"/>
    <n v="1"/>
    <s v="RLE not adjusted"/>
    <m/>
  </r>
  <r>
    <s v="SKv7"/>
    <s v="LC"/>
    <n v="21"/>
    <s v="LC"/>
    <n v="10"/>
    <s v="LC"/>
    <s v="LC"/>
    <n v="0.2"/>
    <s v="LC"/>
    <n v="0"/>
    <n v="2.8018023101166298E-3"/>
    <s v="LC"/>
    <m/>
    <s v="A3_nat, A3_wc, A2b, B1i_rod, B1i_inv, B1iii_sp, B2i_rod, B2i_inv, B2iii_sp, D3_inv"/>
    <n v="653.35519999999997"/>
    <n v="496.25200000000001"/>
    <n v="0.75954396628357701"/>
    <n v="0.201955221337419"/>
    <n v="10"/>
    <s v="RLE not adjusted"/>
    <m/>
  </r>
  <r>
    <s v="SKv8"/>
    <s v="LC"/>
    <n v="4"/>
    <s v="LC"/>
    <n v="2"/>
    <s v="LC"/>
    <s v="LC"/>
    <n v="0"/>
    <s v="LC"/>
    <n v="0"/>
    <n v="1.16598209346128E-3"/>
    <s v="LC"/>
    <m/>
    <s v="A3_nat, A3_wc, A2b, B1i_rod, B1i_inv, B1iii_sp, B2i_rod, B2i_inv, B2iii_sp, D3_inv"/>
    <n v="4109.0248000000001"/>
    <n v="3931.7928000000002"/>
    <n v="0.95686762464904096"/>
    <n v="3.3465190414863698E-2"/>
    <n v="2"/>
    <s v="RLE not adjusted"/>
    <m/>
  </r>
  <r>
    <s v="SVcb1"/>
    <s v="LC"/>
    <n v="23"/>
    <s v="LC"/>
    <n v="9"/>
    <s v="LC"/>
    <s v="LC"/>
    <n v="0.2"/>
    <s v="LC"/>
    <n v="0"/>
    <n v="4.6977035589332401E-7"/>
    <s v="LC"/>
    <m/>
    <s v="A3_nat, A2b, B1i_rod, B1i_inv, B1iii_sp, B2i_rod, B2i_inv, B2iii_sp, D3_inv"/>
    <n v="6645.4948000000004"/>
    <n v="5108.8792000000003"/>
    <n v="0.76877333498176803"/>
    <n v="0.18118212821032501"/>
    <n v="9"/>
    <s v="RLE not adjusted"/>
    <m/>
  </r>
  <r>
    <s v="SVcb10"/>
    <s v="LC"/>
    <n v="36"/>
    <s v="LC"/>
    <n v="20"/>
    <s v="EN"/>
    <s v="LC"/>
    <n v="0.4"/>
    <s v="LC"/>
    <n v="0"/>
    <n v="2.8162048889201999E-2"/>
    <s v="EN"/>
    <s v="B1i_rod"/>
    <s v="A3_nat, A2b, B1i_rod, B2i_rod, B2i_inv, B2iii_sp, D3_inv"/>
    <n v="1442.1487999999999"/>
    <n v="919.66319999999996"/>
    <n v="0.63770340480815801"/>
    <n v="0.39620372308041701"/>
    <n v="20"/>
    <s v="RLE not adjusted"/>
    <m/>
  </r>
  <r>
    <s v="SVcb11"/>
    <s v="LC"/>
    <n v="24"/>
    <s v="LC"/>
    <n v="9"/>
    <s v="LC"/>
    <s v="LC"/>
    <n v="0.2"/>
    <s v="LC"/>
    <n v="0"/>
    <n v="8.1543485768668707E-3"/>
    <s v="LC"/>
    <m/>
    <s v="A3_nat, A2b, B1i_rod, B1i_inv, B1iii_sp, B2i_rod, B2i_inv, B2iii_sp, D3_inv"/>
    <n v="3285.6363999999999"/>
    <n v="2493.6388000000002"/>
    <n v="0.75895153827733397"/>
    <n v="0.184642520729905"/>
    <n v="9"/>
    <s v="RLE not adjusted"/>
    <m/>
  </r>
  <r>
    <s v="SVcb12"/>
    <s v="LC"/>
    <n v="38"/>
    <s v="LC"/>
    <n v="16"/>
    <s v="LC"/>
    <s v="LC"/>
    <n v="0.3"/>
    <s v="LC"/>
    <n v="0"/>
    <n v="4.9638379668722997E-3"/>
    <s v="LC"/>
    <m/>
    <s v="A3_nat, A2b, B1i_rod, B1i_inv, B1iii_sp, B2i_rod, B2i_inv, B2iii_sp, D3_inv"/>
    <n v="17384.092000000001"/>
    <n v="10862.8848"/>
    <n v="0.62487501791868105"/>
    <n v="0.31205365269454699"/>
    <n v="16"/>
    <s v="RLE not adjusted"/>
    <m/>
  </r>
  <r>
    <s v="SVcb13"/>
    <s v="LC"/>
    <n v="7"/>
    <s v="LC"/>
    <n v="3"/>
    <s v="LC"/>
    <s v="LC"/>
    <n v="0.1"/>
    <s v="LC"/>
    <n v="0"/>
    <n v="8.3462314487400702E-3"/>
    <s v="LC"/>
    <m/>
    <s v="A3_nat, A2b, B1i_rod, B1i_inv, B1iii_sp, B2i_rod, B2i_inv, B2iii_sp, D3_inv"/>
    <n v="2066.3027999999999"/>
    <n v="1920.4356"/>
    <n v="0.92940666779331704"/>
    <n v="5.5794450375759398E-2"/>
    <n v="3"/>
    <s v="RLE not adjusted"/>
    <m/>
  </r>
  <r>
    <s v="SVcb14"/>
    <s v="LC"/>
    <n v="42"/>
    <s v="LC"/>
    <n v="7"/>
    <s v="LC"/>
    <s v="LC"/>
    <n v="0.1"/>
    <s v="LC"/>
    <n v="0"/>
    <n v="1.6263729887912601E-3"/>
    <s v="LC"/>
    <m/>
    <s v="A3_nat, A2b, B1i_rod, B1i_inv, B1iii_sp, B2i_rod, B2i_inv, B2iii_sp, D3_inv"/>
    <n v="759.89200000000005"/>
    <n v="441.22719999999998"/>
    <n v="0.58064461791938804"/>
    <n v="0.13971516671530901"/>
    <n v="7"/>
    <s v="RLE not adjusted"/>
    <m/>
  </r>
  <r>
    <s v="SVcb15"/>
    <s v="VU"/>
    <n v="60"/>
    <s v="LC"/>
    <n v="22"/>
    <s v="EN"/>
    <s v="LC"/>
    <n v="0.4"/>
    <s v="LC"/>
    <n v="0"/>
    <n v="8.6950664425470897E-4"/>
    <s v="EN"/>
    <s v="B1i_rod"/>
    <s v="A3_nat, A2b, B1i_rod, B2i_rod, B2i_inv, B2iii_sp, D3_inv"/>
    <n v="7198.2151999999996"/>
    <n v="2856.3323999999998"/>
    <n v="0.39681119842040802"/>
    <n v="0.44248625029842298"/>
    <n v="22"/>
    <s v="RLE not adjusted"/>
    <m/>
  </r>
  <r>
    <s v="SVcb16"/>
    <s v="LC"/>
    <n v="18"/>
    <s v="LC"/>
    <n v="5"/>
    <s v="LC"/>
    <s v="LC"/>
    <n v="0.1"/>
    <s v="LC"/>
    <n v="0"/>
    <n v="2.6754899134151701E-4"/>
    <s v="LC"/>
    <m/>
    <s v="A3_nat, A2b, B1i_rod, B1i_inv, B1iii_sp, B2i_rod, B2i_inv, B2iii_sp, D3_inv"/>
    <n v="12074.1312"/>
    <n v="9880.8071999999993"/>
    <n v="0.81834519074962497"/>
    <n v="0.102873232750816"/>
    <n v="5"/>
    <s v="RLE not adjusted"/>
    <m/>
  </r>
  <r>
    <s v="SVcb17"/>
    <s v="LC"/>
    <n v="8"/>
    <s v="LC"/>
    <n v="2"/>
    <s v="LC"/>
    <s v="LC"/>
    <n v="0"/>
    <s v="LC"/>
    <n v="0"/>
    <n v="3.6646740468183302E-3"/>
    <s v="LC"/>
    <m/>
    <s v="A3_nat, A2b, B1i_rod, B1i_inv, B1iii_sp, B2i_rod, B2i_inv, B2iii_sp, D3_inv"/>
    <n v="8901.2312000000002"/>
    <n v="8214.6460000000006"/>
    <n v="0.92286626596105004"/>
    <n v="4.6383095644521997E-2"/>
    <n v="2"/>
    <s v="RLE not adjusted"/>
    <m/>
  </r>
  <r>
    <s v="SVcb18"/>
    <s v="LC"/>
    <n v="21"/>
    <s v="LC"/>
    <n v="8"/>
    <s v="LC"/>
    <s v="LC"/>
    <n v="0.2"/>
    <s v="LC"/>
    <n v="0"/>
    <n v="7.3079768515658299E-4"/>
    <s v="LC"/>
    <m/>
    <s v="A3_nat, A2b, B1i_rod, B1i_inv, B1iii_sp, B2i_rod, B2i_inv, B2iii_sp, D3_inv"/>
    <n v="6496.36"/>
    <n v="5101.8224"/>
    <n v="0.78533554174953402"/>
    <n v="0.16625764776271901"/>
    <n v="8"/>
    <s v="RLE not adjusted"/>
    <m/>
  </r>
  <r>
    <s v="SVcb19"/>
    <s v="LC"/>
    <n v="11"/>
    <s v="LC"/>
    <n v="7"/>
    <s v="LC"/>
    <s v="LC"/>
    <n v="0.1"/>
    <s v="LC"/>
    <n v="0"/>
    <n v="0"/>
    <s v="LC"/>
    <m/>
    <s v="A3_nat, A2b, B1i_rod, B1i_inv, B1iii_sp, B2i_rod, B2i_inv, B2iii_sp, D3_inv"/>
    <n v="12012.496800000001"/>
    <n v="10665.7168"/>
    <n v="0.88788508980081504"/>
    <n v="0.14139945428189299"/>
    <n v="7"/>
    <s v="RLE not adjusted"/>
    <m/>
  </r>
  <r>
    <s v="SVcb2"/>
    <s v="LC"/>
    <n v="3"/>
    <s v="LC"/>
    <n v="1"/>
    <s v="LC"/>
    <s v="LC"/>
    <n v="0"/>
    <s v="LC"/>
    <n v="0"/>
    <n v="4.53592133671371E-5"/>
    <s v="LC"/>
    <m/>
    <s v="A3_nat, A2b, B1i_rod, B1i_inv, B1iii_sp, B2i_rod, B2i_inv, B2iii_sp, D3_inv"/>
    <n v="1107.4924000000001"/>
    <n v="1075.8563999999999"/>
    <n v="0.97143456695504204"/>
    <n v="2.6643661276112798E-2"/>
    <n v="1"/>
    <s v="RLE not adjusted"/>
    <m/>
  </r>
  <r>
    <s v="SVcb20"/>
    <s v="LC"/>
    <n v="38"/>
    <s v="LC"/>
    <n v="18"/>
    <s v="EN"/>
    <s v="LC"/>
    <n v="0.4"/>
    <s v="LC"/>
    <n v="0"/>
    <n v="6.1160517933762301E-3"/>
    <s v="EN"/>
    <s v="B1i_rod"/>
    <s v="A3_nat, A2b, B1i_rod, B2i_rod, B2i_inv, B2iii_sp, D3_inv"/>
    <n v="10110.8896"/>
    <n v="6219.6988000000001"/>
    <n v="0.61514852263840403"/>
    <n v="0.36084855872048799"/>
    <n v="18"/>
    <s v="RLE not adjusted"/>
    <m/>
  </r>
  <r>
    <s v="SVcb21"/>
    <s v="LC"/>
    <n v="27"/>
    <s v="LC"/>
    <n v="10"/>
    <s v="LC"/>
    <s v="LC"/>
    <n v="0.2"/>
    <s v="LC"/>
    <n v="0"/>
    <n v="4.26379552294378E-2"/>
    <s v="LC"/>
    <m/>
    <s v="A3_nat, A2b, B1i_rod, B1i_inv, B1iii_sp, B2i_rod, B2i_inv, B2iii_sp, D3_inv"/>
    <n v="4147.7392"/>
    <n v="3045.6619999999998"/>
    <n v="0.73429448023154398"/>
    <n v="0.20711789322010499"/>
    <n v="10"/>
    <s v="RLE not adjusted"/>
    <m/>
  </r>
  <r>
    <s v="SVcb22"/>
    <s v="LC"/>
    <n v="12"/>
    <s v="LC"/>
    <n v="13"/>
    <s v="LC"/>
    <s v="LC"/>
    <n v="0.3"/>
    <s v="LC"/>
    <n v="0"/>
    <n v="0.112866817155756"/>
    <s v="LC"/>
    <m/>
    <s v="A3_nat, A2b, B1i_rod, B1i_inv, B1iii_sp, B2i_rod, B2i_inv, B2iii_sp, D3_inv"/>
    <n v="0.60199999999999998"/>
    <n v="0.53159999999999996"/>
    <n v="0.88305647840531598"/>
    <n v="0.25483759502418801"/>
    <n v="13"/>
    <s v="RLE not adjusted"/>
    <m/>
  </r>
  <r>
    <s v="SVcb23"/>
    <s v="LC"/>
    <n v="43"/>
    <s v="LC"/>
    <n v="20"/>
    <s v="EN"/>
    <s v="LC"/>
    <n v="0.4"/>
    <s v="LC"/>
    <n v="0"/>
    <n v="5.95989495951101E-3"/>
    <s v="EN"/>
    <s v="B1i_rod"/>
    <s v="A3_nat, A2b, B1i_rod, B2i_rod, B2i_inv, B2iii_sp, D3_inv"/>
    <n v="4445.3284000000003"/>
    <n v="2519.1048000000001"/>
    <n v="0.56668587184694796"/>
    <n v="0.40232294546236302"/>
    <n v="20"/>
    <s v="RLE not adjusted"/>
    <m/>
  </r>
  <r>
    <s v="SVcb24"/>
    <s v="LC"/>
    <n v="11"/>
    <s v="LC"/>
    <n v="3"/>
    <s v="LC"/>
    <s v="LC"/>
    <n v="0.1"/>
    <s v="LC"/>
    <n v="0"/>
    <n v="1.78288930360265E-2"/>
    <s v="LC"/>
    <m/>
    <s v="A3_nat, A2b, B1i_rod, B1i_inv, B1iii_sp, B2i_rod, B2i_inv, B2iii_sp, D3_inv"/>
    <n v="666.91"/>
    <n v="596.71680000000003"/>
    <n v="0.89474861675488504"/>
    <n v="5.3612652783706999E-2"/>
    <n v="3"/>
    <s v="RLE not adjusted"/>
    <m/>
  </r>
  <r>
    <s v="SVcb25"/>
    <s v="LC"/>
    <n v="8"/>
    <s v="LC"/>
    <n v="4"/>
    <s v="LC"/>
    <s v="LC"/>
    <n v="0.1"/>
    <s v="LC"/>
    <n v="0"/>
    <n v="5.7360810469027504E-3"/>
    <s v="LC"/>
    <m/>
    <s v="A3_nat, A2b, B1i_rod, B1i_inv, B1iii_sp, B2i_rod, B2i_inv, B2iii_sp, D3_inv"/>
    <n v="891.32399999999996"/>
    <n v="823.97720000000004"/>
    <n v="0.92444184157500497"/>
    <n v="7.1217367502489401E-2"/>
    <n v="4"/>
    <s v="RLE not adjusted"/>
    <m/>
  </r>
  <r>
    <s v="SVcb26"/>
    <s v="LC"/>
    <n v="13"/>
    <s v="LC"/>
    <n v="6"/>
    <s v="LC"/>
    <s v="LC"/>
    <n v="0.1"/>
    <s v="LC"/>
    <n v="0"/>
    <n v="1.77908456556032E-2"/>
    <s v="LC"/>
    <m/>
    <s v="A3_nat, A2b, B1i_rod, B1i_inv, B1iii_sp, B2i_rod, B2i_inv, B2iii_sp, D3_inv"/>
    <n v="2000.0168000000001"/>
    <n v="1747.8652"/>
    <n v="0.87392525902782403"/>
    <n v="0.112005171552885"/>
    <n v="6"/>
    <s v="RLE not adjusted"/>
    <m/>
  </r>
  <r>
    <s v="SVcb27"/>
    <s v="VU"/>
    <n v="52"/>
    <s v="VU"/>
    <n v="39"/>
    <s v="EN"/>
    <s v="VU"/>
    <n v="0.8"/>
    <s v="LC"/>
    <n v="0"/>
    <n v="1.32021710530665E-3"/>
    <s v="EN"/>
    <s v="B1i_rod"/>
    <s v="A3_nat, A2b, B1i_rod, B2i_rod, D3_inv"/>
    <n v="2522.8339999999998"/>
    <n v="1210.104"/>
    <n v="0.47966057219777403"/>
    <n v="0.78276786824745603"/>
    <n v="39"/>
    <s v="RLE not adjusted"/>
    <m/>
  </r>
  <r>
    <s v="SVcb28"/>
    <s v="LC"/>
    <n v="22"/>
    <s v="LC"/>
    <n v="13"/>
    <s v="LC"/>
    <s v="LC"/>
    <n v="0.3"/>
    <s v="LC"/>
    <n v="0"/>
    <n v="7.3694228184240903E-3"/>
    <s v="LC"/>
    <m/>
    <s v="A3_nat, A2b, B1i_rod, B1i_inv, B1iii_sp, B2i_rod, B2i_inv, B2iii_sp, D3_inv"/>
    <n v="2316.1448"/>
    <n v="1809.8568"/>
    <n v="0.78140917614477301"/>
    <n v="0.256419408633836"/>
    <n v="13"/>
    <s v="RLE not adjusted"/>
    <m/>
  </r>
  <r>
    <s v="SVcb29"/>
    <s v="LC"/>
    <n v="4"/>
    <s v="LC"/>
    <n v="1"/>
    <s v="LC"/>
    <s v="LC"/>
    <n v="0"/>
    <s v="LC"/>
    <n v="0"/>
    <n v="0"/>
    <s v="LC"/>
    <m/>
    <s v="A3_nat, A2b, B1i_rod, B1i_inv, B1iii_sp, B2i_rod, B2i_inv, B2iii_sp, D3_inv"/>
    <n v="388.17680000000001"/>
    <n v="373.66079999999999"/>
    <n v="0.96260466880040196"/>
    <n v="2.2342803909961E-2"/>
    <n v="1"/>
    <s v="RLE not adjusted"/>
    <m/>
  </r>
  <r>
    <s v="SVcb3"/>
    <s v="LC"/>
    <n v="33"/>
    <s v="LC"/>
    <n v="10"/>
    <s v="LC"/>
    <s v="LC"/>
    <n v="0.2"/>
    <s v="LC"/>
    <n v="0"/>
    <n v="9.9097782564024194E-3"/>
    <s v="LC"/>
    <m/>
    <s v="A3_nat, A2b, B1i_rod, B1i_inv, B1iii_sp, B2i_rod, B2i_inv, B2iii_sp, D3_inv"/>
    <n v="1331.3268"/>
    <n v="889.58600000000001"/>
    <n v="0.66819506675596096"/>
    <n v="0.194641333211901"/>
    <n v="10"/>
    <s v="RLE not adjusted"/>
    <m/>
  </r>
  <r>
    <s v="SVcb4"/>
    <s v="LC"/>
    <n v="11"/>
    <s v="LC"/>
    <n v="4"/>
    <s v="LC"/>
    <s v="LC"/>
    <n v="0.1"/>
    <s v="LC"/>
    <n v="0"/>
    <n v="3.9482542206012898E-3"/>
    <s v="LC"/>
    <m/>
    <s v="A3_nat, A2b, B1i_rod, B1i_inv, B1iii_sp, B2i_rod, B2i_inv, B2iii_sp, D3_inv"/>
    <n v="4119.6271999999999"/>
    <n v="3661.8715999999999"/>
    <n v="0.88888421748453394"/>
    <n v="7.0395829720844003E-2"/>
    <n v="4"/>
    <s v="RLE not adjusted"/>
    <m/>
  </r>
  <r>
    <s v="SVcb5"/>
    <s v="LC"/>
    <n v="2"/>
    <s v="LC"/>
    <n v="0"/>
    <s v="LC"/>
    <s v="LC"/>
    <n v="0"/>
    <s v="LC"/>
    <n v="0"/>
    <n v="0"/>
    <s v="LC"/>
    <m/>
    <s v="A3_nat, A2b, B1i_rod, B1i_inv, B1iii_sp, B2i_rod, B2i_inv, B2iii_sp, D3_inv"/>
    <n v="367.10359999999997"/>
    <n v="359.8116"/>
    <n v="0.98013639746382197"/>
    <n v="9.4278088913173092E-3"/>
    <n v="0"/>
    <s v="RLE not adjusted"/>
    <m/>
  </r>
  <r>
    <s v="SVcb6"/>
    <s v="VU"/>
    <n v="69"/>
    <s v="VU"/>
    <n v="43"/>
    <s v="EN"/>
    <s v="VU"/>
    <n v="0.9"/>
    <s v="LC"/>
    <n v="0"/>
    <n v="1.6818537515042701E-2"/>
    <s v="EN"/>
    <s v="B1i_rod"/>
    <s v="A3_nat, A2b, B1i_rod, B2i_rod, D3_inv"/>
    <n v="2285.098"/>
    <n v="708.9796"/>
    <n v="0.31026222945361598"/>
    <n v="0.858589565491364"/>
    <n v="43"/>
    <s v="RLE not adjusted"/>
    <m/>
  </r>
  <r>
    <s v="SVcb7"/>
    <s v="LC"/>
    <n v="27"/>
    <s v="LC"/>
    <n v="20"/>
    <s v="EN"/>
    <s v="VU"/>
    <n v="0.4"/>
    <s v="LC"/>
    <n v="0"/>
    <n v="2.57098751408779E-3"/>
    <s v="EN"/>
    <s v="B1i_rod"/>
    <s v="A3_nat, A2b, B1i_rod, B2i_rod, D3_inv"/>
    <n v="491.32839999999999"/>
    <n v="360.95080000000002"/>
    <n v="0.734642654485269"/>
    <n v="0.40636285764968799"/>
    <n v="20"/>
    <s v="RLE not adjusted"/>
    <m/>
  </r>
  <r>
    <s v="SVcb8"/>
    <s v="VU"/>
    <n v="54"/>
    <s v="LC"/>
    <n v="28"/>
    <s v="EN"/>
    <s v="LC"/>
    <n v="0.6"/>
    <s v="LC"/>
    <n v="0"/>
    <n v="1.4642822417894099E-2"/>
    <s v="EN"/>
    <s v="B1i_rod"/>
    <s v="A3_nat, A2b, B1i_rod, B2i_rod, B2i_inv, B2iii_sp, D3_inv"/>
    <n v="1833.3936000000001"/>
    <n v="843.36199999999997"/>
    <n v="0.46000051489216498"/>
    <n v="0.56093875259762005"/>
    <n v="28"/>
    <s v="RLE not adjusted"/>
    <m/>
  </r>
  <r>
    <s v="SVcb9"/>
    <s v="LC"/>
    <n v="16"/>
    <s v="LC"/>
    <n v="7"/>
    <s v="LC"/>
    <s v="LC"/>
    <n v="0.1"/>
    <s v="LC"/>
    <n v="0"/>
    <n v="2.22596664389779E-2"/>
    <s v="LC"/>
    <m/>
    <s v="A3_nat, A2b, B1i_rod, B1i_inv, B1iii_sp, B2i_rod, B2i_inv, B2iii_sp, D3_inv"/>
    <n v="3103.5983999999999"/>
    <n v="2593.0128"/>
    <n v="0.83548593142721095"/>
    <n v="0.13155972314473699"/>
    <n v="7"/>
    <s v="RLE not adjusted"/>
    <m/>
  </r>
  <r>
    <s v="SVk1"/>
    <s v="LC"/>
    <n v="22"/>
    <s v="LC"/>
    <n v="4"/>
    <s v="LC"/>
    <s v="LC"/>
    <n v="0.1"/>
    <s v="LC"/>
    <n v="0"/>
    <n v="1.53974712219763E-5"/>
    <s v="LC"/>
    <m/>
    <s v="A3_nat, A2b, B1i_rod, B1i_inv, B1iii_sp, B2i_rod, B2i_inv, B2iii_sp, D3_inv"/>
    <n v="15427.0416"/>
    <n v="12001.970799999999"/>
    <n v="0.777982656117295"/>
    <n v="7.1949201474223803E-2"/>
    <n v="4"/>
    <s v="RLE not adjusted"/>
    <m/>
  </r>
  <r>
    <s v="SVk10"/>
    <s v="LC"/>
    <n v="5"/>
    <s v="LC"/>
    <n v="2"/>
    <s v="LC"/>
    <s v="LC"/>
    <n v="0"/>
    <s v="LC"/>
    <n v="0"/>
    <n v="3.1561364759335401E-4"/>
    <s v="LC"/>
    <m/>
    <s v="A3_nat, A2b, B1i_rod, B1i_inv, B1iii_sp, B2i_rod, B2i_inv, B2iii_sp, D3_inv"/>
    <n v="5838.9755999999998"/>
    <n v="5539.6844000000001"/>
    <n v="0.94874251572484702"/>
    <n v="3.7043761807144603E-2"/>
    <n v="2"/>
    <s v="RLE not adjusted"/>
    <m/>
  </r>
  <r>
    <s v="SVk11"/>
    <s v="LC"/>
    <n v="2"/>
    <s v="LC"/>
    <n v="0"/>
    <s v="LC"/>
    <s v="LC"/>
    <n v="0"/>
    <s v="LC"/>
    <n v="0"/>
    <n v="4.1868136830038602E-4"/>
    <s v="LC"/>
    <m/>
    <s v="A3_nat, A2b, B1i_rod, B1i_inv, B1iii_sp, B2i_rod, B2i_inv, B2iii_sp, D3_inv"/>
    <n v="13886.185600000001"/>
    <n v="13624.6808"/>
    <n v="0.98116798899764102"/>
    <n v="8.7588897177307105E-3"/>
    <n v="0"/>
    <s v="RLE not adjusted"/>
    <m/>
  </r>
  <r>
    <s v="SVk12"/>
    <s v="LC"/>
    <n v="3"/>
    <s v="LC"/>
    <n v="2"/>
    <s v="LC"/>
    <s v="LC"/>
    <n v="0"/>
    <s v="LC"/>
    <n v="0"/>
    <n v="1.7902328074777201E-4"/>
    <s v="LC"/>
    <m/>
    <s v="A3_nat, A2b, B1i_rod, B1i_inv, B1iii_sp, B2i_rod, B2i_inv, B2iii_sp, D3_inv"/>
    <n v="7452.5748000000003"/>
    <n v="7252.6880000000001"/>
    <n v="0.97317882673247402"/>
    <n v="3.9513622363852599E-2"/>
    <n v="2"/>
    <s v="RLE not adjusted"/>
    <m/>
  </r>
  <r>
    <s v="SVk13"/>
    <s v="LC"/>
    <n v="1"/>
    <s v="LC"/>
    <n v="1"/>
    <s v="LC"/>
    <s v="LC"/>
    <n v="0"/>
    <s v="LC"/>
    <n v="0"/>
    <n v="5.1587921841163798E-3"/>
    <s v="LC"/>
    <m/>
    <s v="A3_nat, A2b, B1i_rod, B1i_inv, B1iii_sp, B2i_rod, B2i_inv, B2iii_sp, D3_inv"/>
    <n v="8517.6947999999993"/>
    <n v="8409.2551999999996"/>
    <n v="0.98726890284916102"/>
    <n v="1.8282417172672E-2"/>
    <n v="1"/>
    <s v="RLE not adjusted"/>
    <m/>
  </r>
  <r>
    <s v="SVk14"/>
    <s v="LC"/>
    <n v="5"/>
    <s v="LC"/>
    <n v="3"/>
    <s v="LC"/>
    <s v="LC"/>
    <n v="0.1"/>
    <s v="LC"/>
    <n v="0"/>
    <n v="2.17523986674272E-4"/>
    <s v="LC"/>
    <m/>
    <s v="A3_nat, A2b, B1i_rod, B1i_inv, B1iii_sp, B2i_rod, B2i_inv, B2iii_sp, D3_inv"/>
    <n v="929.22400000000005"/>
    <n v="880.82240000000002"/>
    <n v="0.94791180598004399"/>
    <n v="6.3032924458493206E-2"/>
    <n v="3"/>
    <s v="RLE not adjusted"/>
    <m/>
  </r>
  <r>
    <s v="SVk15"/>
    <s v="LC"/>
    <n v="0"/>
    <s v="LC"/>
    <n v="0"/>
    <s v="LC"/>
    <s v="LC"/>
    <n v="0"/>
    <s v="LC"/>
    <n v="0"/>
    <n v="5.8025687125791805E-4"/>
    <s v="LC"/>
    <m/>
    <s v="A3_nat, A2b, B1i_rod, B1i_inv, B1iii_sp, B2i_rod, B2i_inv, B2iii_sp, D3_inv"/>
    <n v="1620.8448000000001"/>
    <n v="1617.2148"/>
    <n v="0.997760427155024"/>
    <n v="2.6936692594261699E-3"/>
    <n v="0"/>
    <s v="RLE not adjusted"/>
    <m/>
  </r>
  <r>
    <s v="SVk16"/>
    <s v="LC"/>
    <n v="0"/>
    <s v="LC"/>
    <n v="0"/>
    <s v="LC"/>
    <s v="LC"/>
    <n v="0"/>
    <s v="LC"/>
    <n v="0"/>
    <n v="7.7730616133148004E-4"/>
    <s v="LC"/>
    <m/>
    <s v="A3_nat, A2b, B1i_rod, B1i_inv, B1iii_sp, B2i_rod, B2i_inv, B2iii_sp, D3_inv"/>
    <n v="7918.5928000000004"/>
    <n v="7905.7651999999998"/>
    <n v="0.99838006571066495"/>
    <n v="2.8271786763022699E-3"/>
    <n v="0"/>
    <s v="RLE not adjusted"/>
    <m/>
  </r>
  <r>
    <s v="SVk17"/>
    <s v="LC"/>
    <n v="48"/>
    <s v="LC"/>
    <n v="12"/>
    <s v="LC"/>
    <s v="LC"/>
    <n v="0.2"/>
    <s v="LC"/>
    <n v="0"/>
    <n v="1.52842595050821E-3"/>
    <s v="LC"/>
    <m/>
    <s v="A3_nat, A2b, B1i_rod, B1i_inv, B1iii_sp, B2i_rod, B2i_inv, B2iii_sp, D3_inv"/>
    <n v="7197.9931999999999"/>
    <n v="3751.5720000000001"/>
    <n v="0.52119693583483795"/>
    <n v="0.23027538008798801"/>
    <n v="12"/>
    <s v="RLE not adjusted"/>
    <m/>
  </r>
  <r>
    <s v="SVk18"/>
    <s v="LC"/>
    <n v="5"/>
    <s v="LC"/>
    <n v="2"/>
    <s v="LC"/>
    <s v="LC"/>
    <n v="0"/>
    <s v="LC"/>
    <n v="0"/>
    <s v="NA"/>
    <s v="LC"/>
    <m/>
    <s v="A3_nat, A2b, B1i_rod, B1i_inv, B1iii_sp, B2i_rod, B2i_inv, B2iii_sp, "/>
    <n v="999.60360000000003"/>
    <n v="953.04920000000004"/>
    <n v="0.95342713851770799"/>
    <n v="4.7724051837224203E-2"/>
    <n v="2"/>
    <s v="RLE not adjusted"/>
    <m/>
  </r>
  <r>
    <s v="SVk2"/>
    <s v="LC"/>
    <n v="23"/>
    <s v="LC"/>
    <n v="6"/>
    <s v="LC"/>
    <s v="LC"/>
    <n v="0.1"/>
    <s v="LC"/>
    <n v="0"/>
    <n v="1.20889041360065E-3"/>
    <s v="LC"/>
    <m/>
    <s v="A3_nat, A2b, B1i_rod, B1i_inv, B1iii_sp, B2i_rod, B2i_inv, B2iii_sp, D3_inv"/>
    <n v="4206.5528000000004"/>
    <n v="3227.4223999999999"/>
    <n v="0.76723686910574396"/>
    <n v="0.113772732826021"/>
    <n v="6"/>
    <s v="RLE not adjusted"/>
    <m/>
  </r>
  <r>
    <s v="SVk3"/>
    <s v="VU"/>
    <n v="58"/>
    <s v="LC"/>
    <n v="14"/>
    <s v="LC"/>
    <s v="LC"/>
    <n v="0.3"/>
    <s v="LC"/>
    <n v="0"/>
    <n v="0"/>
    <s v="VU"/>
    <s v="A3_nat"/>
    <s v="A3_nat, A2b, B1i_rod, B1i_inv, B1iii_sp, B2i_rod, B2i_inv, B2iii_sp, D3_inv"/>
    <n v="1366.9323999999999"/>
    <n v="576.26319999999998"/>
    <n v="0.42157402955698497"/>
    <n v="0.27914202436458901"/>
    <n v="14"/>
    <s v="RLE not adjusted"/>
    <m/>
  </r>
  <r>
    <s v="SVk4"/>
    <s v="LC"/>
    <n v="25"/>
    <s v="LC"/>
    <n v="8"/>
    <s v="LC"/>
    <s v="LC"/>
    <n v="0.2"/>
    <s v="LC"/>
    <n v="0"/>
    <n v="7.7791488622653605E-4"/>
    <s v="LC"/>
    <m/>
    <s v="A3_nat, A2b, B1i_rod, B1i_inv, B1iii_sp, B2i_rod, B2i_inv, B2iii_sp, D3_inv"/>
    <n v="16649.767199999998"/>
    <n v="12455.3472"/>
    <n v="0.74807936053304103"/>
    <n v="0.154346693112934"/>
    <n v="8"/>
    <s v="RLE not adjusted"/>
    <m/>
  </r>
  <r>
    <s v="SVk5"/>
    <s v="LC"/>
    <n v="3"/>
    <s v="LC"/>
    <n v="2"/>
    <s v="LC"/>
    <s v="LC"/>
    <n v="0"/>
    <s v="LC"/>
    <n v="0"/>
    <n v="1.7654421191622699E-4"/>
    <s v="LC"/>
    <m/>
    <s v="A3_nat, A2b, B1i_rod, B1i_inv, B1iii_sp, B2i_rod, B2i_inv, B2iii_sp, D3_inv"/>
    <n v="1457.8835999999999"/>
    <n v="1418.3416"/>
    <n v="0.97287712132847903"/>
    <n v="3.05806842756675E-2"/>
    <n v="2"/>
    <s v="RLE not adjusted"/>
    <m/>
  </r>
  <r>
    <s v="SVk6"/>
    <s v="LC"/>
    <n v="21"/>
    <s v="LC"/>
    <n v="6"/>
    <s v="LC"/>
    <s v="LC"/>
    <n v="0.1"/>
    <s v="LC"/>
    <n v="0"/>
    <n v="1.79130823126036E-3"/>
    <s v="LC"/>
    <m/>
    <s v="A3_nat, A2b, B1i_rod, B1i_inv, B1iii_sp, B2i_rod, B2i_inv, B2iii_sp, D3_inv"/>
    <n v="5313.8536000000004"/>
    <n v="4220.3792000000003"/>
    <n v="0.79422195598313095"/>
    <n v="0.126887203524368"/>
    <n v="6"/>
    <s v="RLE not adjusted"/>
    <m/>
  </r>
  <r>
    <s v="SVk7"/>
    <s v="LC"/>
    <n v="2"/>
    <s v="LC"/>
    <n v="1"/>
    <s v="LC"/>
    <s v="LC"/>
    <n v="0"/>
    <s v="LC"/>
    <n v="0"/>
    <n v="3.6377128416632202E-4"/>
    <s v="LC"/>
    <m/>
    <s v="A3_nat, A2b, B1i_rod, B1i_inv, B1iii_sp, B2i_rod, B2i_inv, B2iii_sp, D3_inv"/>
    <n v="13360.5836"/>
    <n v="13112.6348"/>
    <n v="0.98144176875626898"/>
    <n v="2.0781349499690099E-2"/>
    <n v="1"/>
    <s v="RLE not adjusted"/>
    <m/>
  </r>
  <r>
    <s v="SVk8"/>
    <s v="LC"/>
    <n v="4"/>
    <s v="LC"/>
    <n v="1"/>
    <s v="LC"/>
    <s v="LC"/>
    <n v="0"/>
    <s v="LC"/>
    <n v="0"/>
    <n v="3.3376615799056001E-6"/>
    <s v="LC"/>
    <m/>
    <s v="A3_nat, A2b, B1i_rod, B1i_inv, B1iii_sp, B2i_rod, B2i_inv, B2iii_sp, D3_inv"/>
    <n v="3363.5079999999998"/>
    <n v="3235.7984000000001"/>
    <n v="0.96203083209553797"/>
    <n v="2.68012801068695E-2"/>
    <n v="1"/>
    <s v="RLE not adjusted"/>
    <m/>
  </r>
  <r>
    <s v="SVk9"/>
    <s v="LC"/>
    <n v="5"/>
    <s v="LC"/>
    <n v="3"/>
    <s v="LC"/>
    <s v="LC"/>
    <n v="0.1"/>
    <s v="LC"/>
    <n v="0"/>
    <n v="1.7782623811245799E-4"/>
    <s v="LC"/>
    <m/>
    <s v="A3_nat, A2b, B1i_rod, B1i_inv, B1iii_sp, B2i_rod, B2i_inv, B2iii_sp, D3_inv"/>
    <n v="5779.5995999999996"/>
    <n v="5504.2496000000001"/>
    <n v="0.95235829139444195"/>
    <n v="6.6656202982318905E-2"/>
    <n v="3"/>
    <s v="RLE not adjusted"/>
    <m/>
  </r>
  <r>
    <s v="SVkd1"/>
    <s v="LC"/>
    <n v="0"/>
    <s v="LC"/>
    <n v="0"/>
    <s v="LC"/>
    <s v="LC"/>
    <n v="0"/>
    <s v="LC"/>
    <n v="0"/>
    <n v="1.1381575230203899E-3"/>
    <s v="LC"/>
    <m/>
    <s v="A3_nat, A2b, B1i_rod, B1i_inv, B1iii_sp, B2i_rod, B2i_inv, B2iii_sp, D3_inv"/>
    <n v="37063.725599999998"/>
    <n v="37004.719599999997"/>
    <n v="0.99840798519186102"/>
    <n v="2.9820074720822501E-3"/>
    <n v="0"/>
    <s v="RLE not adjusted"/>
    <m/>
  </r>
  <r>
    <s v="SVkd2"/>
    <s v="LC"/>
    <n v="0"/>
    <s v="LC"/>
    <n v="0"/>
    <s v="LC"/>
    <s v="LC"/>
    <n v="0"/>
    <s v="LC"/>
    <n v="0"/>
    <n v="0"/>
    <s v="LC"/>
    <m/>
    <s v="A3_nat, A2b, B1i_rod, B1i_inv, B1iii_sp, B2i_rod, B2i_inv, B2iii_sp, D3_inv"/>
    <n v="2242.3667999999998"/>
    <n v="2239.5115999999998"/>
    <n v="0.99872670251807105"/>
    <n v="3.6054394401245399E-3"/>
    <n v="0"/>
    <s v="RLE not adjusted"/>
    <m/>
  </r>
  <r>
    <s v="SVkd3"/>
    <s v="LC"/>
    <n v="0"/>
    <s v="LC"/>
    <n v="0"/>
    <s v="LC"/>
    <s v="LC"/>
    <n v="0"/>
    <s v="LC"/>
    <n v="0"/>
    <n v="0"/>
    <s v="LC"/>
    <m/>
    <s v="A3_nat, A2b, B1i_rod, B1i_inv, B1iii_sp, B2i_rod, B2i_inv, B2iii_sp, D3_inv"/>
    <n v="2898.1244000000002"/>
    <n v="2897.9319999999998"/>
    <n v="0.99999792969549495"/>
    <n v="0"/>
    <n v="0"/>
    <s v="RLE not adjusted"/>
    <m/>
  </r>
  <r>
    <s v="SVkd4"/>
    <s v="LC"/>
    <n v="0"/>
    <s v="LC"/>
    <n v="0"/>
    <s v="LC"/>
    <s v="LC"/>
    <n v="0"/>
    <s v="LC"/>
    <n v="0"/>
    <s v="NA"/>
    <s v="LC"/>
    <m/>
    <s v="A3_nat, A2b, B1i_rod, B1i_inv, B1iii_sp, B2i_rod, B2i_inv, B2iii_sp, "/>
    <n v="762.44280000000003"/>
    <n v="762.25440000000003"/>
    <n v="0.99975289949619806"/>
    <n v="3.3941673054924099E-4"/>
    <n v="0"/>
    <s v="RLE not adjusted"/>
    <m/>
  </r>
  <r>
    <s v="SVl1"/>
    <s v="LC"/>
    <n v="24"/>
    <s v="LC"/>
    <n v="11"/>
    <s v="LC"/>
    <s v="LC"/>
    <n v="0.2"/>
    <s v="LC"/>
    <n v="0"/>
    <n v="1.52002875271425E-2"/>
    <s v="LC"/>
    <m/>
    <s v="A3_nat, A2b, B1i_rod, B1i_inv, B1iii_sp, B2i_rod, B2i_inv, B2iii_sp, D3_inv"/>
    <n v="2090.6907999999999"/>
    <n v="1579.2596000000001"/>
    <n v="0.75537693091680502"/>
    <n v="0.228002285812232"/>
    <n v="11"/>
    <s v="RLE not adjusted"/>
    <m/>
  </r>
  <r>
    <s v="SVl10"/>
    <s v="LC"/>
    <n v="25"/>
    <s v="LC"/>
    <n v="13"/>
    <s v="LC"/>
    <s v="LC"/>
    <n v="0.3"/>
    <s v="LC"/>
    <n v="0"/>
    <n v="6.8700011898639203E-3"/>
    <s v="LC"/>
    <m/>
    <s v="A3_nat, A3_mpl, A2b, B1i_rod, B1i_inv, B1iii_sp, B2i_rod, B2i_inv, B2iii_sp, D3_inv"/>
    <n v="942.78359999999998"/>
    <n v="615.19640000000004"/>
    <n v="0.65253192779339797"/>
    <n v="0.26507971525886798"/>
    <n v="13"/>
    <s v="RLE not adjusted"/>
    <m/>
  </r>
  <r>
    <s v="SVl11"/>
    <s v="LC"/>
    <n v="4"/>
    <s v="LC"/>
    <n v="4"/>
    <s v="LC"/>
    <s v="LC"/>
    <n v="0.1"/>
    <s v="LC"/>
    <n v="0"/>
    <n v="5.0353074957022205E-4"/>
    <s v="LC"/>
    <m/>
    <s v="A3_nat, A3_mpl, A2b, B1i_rod, B1i_inv, B1iii_sp, B2i_rod, B2i_inv, B2iii_sp, D3_inv"/>
    <n v="630.61519999999996"/>
    <n v="596.58720000000005"/>
    <n v="0.946039993961452"/>
    <n v="7.7278710457036298E-2"/>
    <n v="4"/>
    <s v="RLE not adjusted"/>
    <m/>
  </r>
  <r>
    <s v="SVl12"/>
    <s v="LC"/>
    <n v="16"/>
    <s v="LC"/>
    <n v="7"/>
    <s v="LC"/>
    <s v="LC"/>
    <n v="0.1"/>
    <s v="LC"/>
    <n v="0"/>
    <n v="3.9611754639703602E-2"/>
    <s v="LC"/>
    <m/>
    <s v="A3_nat, A3_mpl, A2b, B1i_rod, B1i_inv, B1iii_sp, B2i_rod, B2i_inv, B2iii_sp, D3_inv"/>
    <n v="468.39479999999998"/>
    <n v="368.38560000000001"/>
    <n v="0.78648524706081302"/>
    <n v="0.130314555065346"/>
    <n v="7"/>
    <s v="RLE not adjusted"/>
    <m/>
  </r>
  <r>
    <s v="SVl13"/>
    <s v="LC"/>
    <n v="26"/>
    <s v="LC"/>
    <n v="8"/>
    <s v="LC"/>
    <s v="LC"/>
    <n v="0.2"/>
    <s v="LC"/>
    <n v="0"/>
    <n v="3.6676179803812201E-2"/>
    <s v="LC"/>
    <m/>
    <s v="A3_nat, A3_mpl, A2b, B1i_rod, B1i_inv, B1iii_sp, B2i_rod, B2i_inv, B2iii_sp, D3_inv"/>
    <n v="109.4832"/>
    <n v="72.461200000000005"/>
    <n v="0.661847662472416"/>
    <n v="0.152425016540469"/>
    <n v="8"/>
    <s v="RLE not adjusted"/>
    <m/>
  </r>
  <r>
    <s v="SVl14"/>
    <s v="LC"/>
    <n v="23"/>
    <s v="LC"/>
    <n v="4"/>
    <s v="LC"/>
    <s v="LC"/>
    <n v="0.1"/>
    <s v="LC"/>
    <n v="0"/>
    <n v="6.0489597620455599E-3"/>
    <s v="LC"/>
    <m/>
    <s v="A3_nat, A2b, B1i_rod, B1i_inv, B1iii_sp, B2i_rod, B2i_inv, B2iii_sp, D3_inv"/>
    <n v="4460.3123999999998"/>
    <n v="3420.6212"/>
    <n v="0.76690170849916295"/>
    <n v="7.3137190031301397E-2"/>
    <n v="4"/>
    <s v="RLE not adjusted"/>
    <m/>
  </r>
  <r>
    <s v="SVl15"/>
    <s v="LC"/>
    <n v="0"/>
    <s v="LC"/>
    <n v="0"/>
    <s v="LC"/>
    <s v="LC"/>
    <n v="0"/>
    <s v="LC"/>
    <n v="0"/>
    <s v="NA"/>
    <s v="LC"/>
    <m/>
    <s v="A3_nat, A2b, B1i_rod, B1i_inv, B1iii_sp, B2i_rod, B2i_inv, B2iii_sp, "/>
    <n v="1335.0152"/>
    <n v="1334.5932"/>
    <n v="1.0065323600809899"/>
    <n v="9.1785573315770905E-5"/>
    <n v="0"/>
    <s v="RLE not adjusted"/>
    <m/>
  </r>
  <r>
    <s v="SVl16"/>
    <s v="LC"/>
    <n v="13"/>
    <s v="LC"/>
    <n v="5"/>
    <s v="LC"/>
    <s v="LC"/>
    <n v="0.1"/>
    <s v="LC"/>
    <n v="0"/>
    <n v="2.99179503794475E-2"/>
    <s v="LC"/>
    <m/>
    <s v="A3_nat, A2b, B1i_rod, B1i_inv, B1iii_sp, B2i_rod, B2i_inv, B2iii_sp, D3_inv"/>
    <n v="2583.6644000000001"/>
    <n v="2251.9056"/>
    <n v="0.87159369459903502"/>
    <n v="9.1197344126924207E-2"/>
    <n v="5"/>
    <s v="RLE not adjusted"/>
    <m/>
  </r>
  <r>
    <s v="SVl17"/>
    <s v="VU"/>
    <n v="68"/>
    <s v="VU"/>
    <n v="39"/>
    <s v="EN"/>
    <s v="EN"/>
    <n v="0.8"/>
    <s v="LC"/>
    <n v="0"/>
    <n v="0.10966792021082"/>
    <s v="EN"/>
    <s v="B1i_rod, B2i_rod"/>
    <s v="A3_nat, A2b, B1i_rod, B2i_rod, D3_inv"/>
    <n v="134.51759999999999"/>
    <n v="42.6524"/>
    <n v="0.31707672453270103"/>
    <n v="0.78079382610959103"/>
    <n v="39"/>
    <s v="RLE not adjusted"/>
    <m/>
  </r>
  <r>
    <s v="SVl18"/>
    <s v="LC"/>
    <n v="20"/>
    <s v="LC"/>
    <n v="11"/>
    <s v="LC"/>
    <s v="LC"/>
    <n v="0.2"/>
    <s v="LC"/>
    <n v="0"/>
    <n v="2.3782296038950602E-3"/>
    <s v="LC"/>
    <m/>
    <s v="A3_nat, A3_kzn, A2b, B1i_rod, B1i_inv, B1iii_sp, B2i_rod, B2i_inv, B2iii_sp, D3_inv"/>
    <n v="1124.2472"/>
    <n v="865.01319999999998"/>
    <n v="0.76941548086577405"/>
    <n v="0.226470545975163"/>
    <n v="11"/>
    <s v="RLE not adjusted"/>
    <m/>
  </r>
  <r>
    <s v="SVl19"/>
    <s v="LC"/>
    <n v="24"/>
    <s v="LC"/>
    <n v="27"/>
    <s v="CR"/>
    <s v="EN"/>
    <n v="0.5"/>
    <s v="LC"/>
    <n v="0"/>
    <n v="2.6740616024561801E-3"/>
    <s v="CR"/>
    <s v="B1i_rod"/>
    <s v="A3_nat, A3_kzn, A2b, B1i_rod, B2i_rod, D3_inv"/>
    <n v="152.94560000000001"/>
    <n v="80.775999999999996"/>
    <n v="0.52813549392725201"/>
    <n v="0.53464411788851496"/>
    <n v="27"/>
    <s v="RLE not adjusted"/>
    <m/>
  </r>
  <r>
    <s v="SVl2"/>
    <s v="LC"/>
    <n v="0"/>
    <s v="LC"/>
    <n v="0"/>
    <s v="LC"/>
    <s v="LC"/>
    <n v="0"/>
    <s v="LC"/>
    <n v="0"/>
    <s v="NA"/>
    <s v="LC"/>
    <m/>
    <s v="A3_nat, A2b, B1i_rod, B1i_inv, B1iii_sp, B2i_rod, B2i_inv, B2iii_sp, "/>
    <n v="181.636"/>
    <n v="181.6164"/>
    <n v="1.0120702944350199"/>
    <n v="0"/>
    <n v="0"/>
    <s v="RLE not adjusted"/>
    <m/>
  </r>
  <r>
    <s v="SVl20"/>
    <s v="VU"/>
    <n v="52"/>
    <s v="VU"/>
    <n v="41"/>
    <s v="EN"/>
    <s v="VU"/>
    <n v="0.8"/>
    <s v="LC"/>
    <n v="0"/>
    <n v="3.3097766431099802E-2"/>
    <s v="EN"/>
    <s v="B1i_rod"/>
    <s v="A3_nat, A3_kzn, A2b, B1i_rod, B2i_rod, D3_inv"/>
    <n v="1645.0052000000001"/>
    <n v="648.64800000000002"/>
    <n v="0.39431364715442802"/>
    <n v="0.81368090187539499"/>
    <n v="41"/>
    <s v="RLE not adjusted"/>
    <m/>
  </r>
  <r>
    <s v="SVl21"/>
    <s v="LC"/>
    <n v="15"/>
    <s v="LC"/>
    <n v="11"/>
    <s v="LC"/>
    <s v="LC"/>
    <n v="0.2"/>
    <s v="LC"/>
    <n v="0"/>
    <n v="2.5947720303175201E-2"/>
    <s v="LC"/>
    <m/>
    <s v="A3_nat, A3_kzn, A2b, B1i_rod, B1i_inv, B1iii_sp, B2i_rod, B2i_inv, B2iii_sp, D3_inv"/>
    <n v="335.05799999999999"/>
    <n v="268.57080000000002"/>
    <n v="0.80156510216141696"/>
    <n v="0.22959620185215601"/>
    <n v="11"/>
    <s v="RLE not adjusted"/>
    <m/>
  </r>
  <r>
    <s v="SVl22"/>
    <s v="LC"/>
    <n v="29"/>
    <s v="LC"/>
    <n v="8"/>
    <s v="LC"/>
    <s v="LC"/>
    <n v="0.2"/>
    <s v="LC"/>
    <n v="0"/>
    <n v="3.9562177898230098E-2"/>
    <s v="LC"/>
    <m/>
    <s v="A3_nat, A2b, B1i_rod, B1i_inv, B1iii_sp, B2i_rod, B2i_inv, B2iii_sp, D3_inv"/>
    <n v="5173.6088"/>
    <n v="3681.6779999999999"/>
    <n v="0.71162666956960496"/>
    <n v="0.150366108786611"/>
    <n v="8"/>
    <s v="RLE not adjusted"/>
    <m/>
  </r>
  <r>
    <s v="SVl23"/>
    <s v="LC"/>
    <n v="33"/>
    <s v="LC"/>
    <n v="10"/>
    <s v="LC"/>
    <s v="LC"/>
    <n v="0.2"/>
    <s v="LC"/>
    <n v="0"/>
    <n v="3.0202126101212999E-2"/>
    <s v="LC"/>
    <m/>
    <s v="A3_nat, A2b, B1i_rod, B1i_inv, B1iii_sp, B2i_rod, B2i_inv, B2iii_sp, D3_inv"/>
    <n v="8564.76"/>
    <n v="5704.3004000000001"/>
    <n v="0.66601987679748198"/>
    <n v="0.20756326060894301"/>
    <n v="10"/>
    <s v="RLE not adjusted"/>
    <m/>
  </r>
  <r>
    <s v="SVl24"/>
    <s v="EN"/>
    <n v="74"/>
    <s v="VU"/>
    <n v="35"/>
    <s v="CR"/>
    <s v="EN"/>
    <n v="0.7"/>
    <s v="LC"/>
    <n v="0"/>
    <n v="2.88062321702875E-2"/>
    <s v="CR"/>
    <s v="B1i_rod"/>
    <s v="A3_nat, A2b, B1i_rod, B2i_rod, D3_inv"/>
    <n v="694.62400000000002"/>
    <n v="182.28"/>
    <n v="0.262415349887133"/>
    <n v="0.69570490818895803"/>
    <n v="35"/>
    <s v="RLE not adjusted"/>
    <m/>
  </r>
  <r>
    <s v="SVl25"/>
    <s v="LC"/>
    <n v="26"/>
    <s v="LC"/>
    <n v="14"/>
    <s v="LC"/>
    <s v="LC"/>
    <n v="0.3"/>
    <s v="LC"/>
    <n v="0"/>
    <n v="6.6448341075095702E-2"/>
    <s v="LC"/>
    <m/>
    <s v="A3_nat, A3_kzn, A2b, B1i_rod, B1i_inv, B1iii_sp, B2i_rod, B2i_inv, B2iii_sp, D3_inv"/>
    <n v="660.60680000000002"/>
    <n v="472.93279999999999"/>
    <n v="0.71590664825127404"/>
    <n v="0.28675072054964601"/>
    <n v="14"/>
    <s v="RLE not adjusted"/>
    <m/>
  </r>
  <r>
    <s v="SVl26"/>
    <s v="VU"/>
    <n v="52"/>
    <s v="LC"/>
    <n v="24"/>
    <s v="CR"/>
    <s v="VU"/>
    <n v="0.5"/>
    <s v="LC"/>
    <n v="0"/>
    <n v="1.5576944178828401E-2"/>
    <s v="CR"/>
    <s v="B1i_rod"/>
    <s v="A3_kzn, A2b, B1i_rod, B2i_rod, D3_inv"/>
    <n v="703.51319999999998"/>
    <n v="510.34399999999999"/>
    <n v="0.72542206741820903"/>
    <n v="0.47249323079174799"/>
    <n v="24"/>
    <s v="RLE not adjusted"/>
    <m/>
  </r>
  <r>
    <s v="SVl27"/>
    <s v="LC"/>
    <n v="14"/>
    <s v="LC"/>
    <n v="5"/>
    <s v="LC"/>
    <s v="LC"/>
    <n v="0.1"/>
    <s v="LC"/>
    <n v="0"/>
    <n v="3.7626556172191399E-2"/>
    <s v="LC"/>
    <m/>
    <s v="A3_nat, A3_mpl, A2b, B1i_rod, B1i_inv, B1iii_sp, B2i_rod, B2i_inv, B2iii_sp, D3_inv"/>
    <n v="539.90800000000002"/>
    <n v="426.68799999999999"/>
    <n v="0.79029760625884404"/>
    <n v="0.10967416661314699"/>
    <n v="5"/>
    <s v="RLE not adjusted"/>
    <m/>
  </r>
  <r>
    <s v="SVl3"/>
    <s v="LC"/>
    <n v="25"/>
    <s v="LC"/>
    <n v="9"/>
    <s v="LC"/>
    <s v="LC"/>
    <n v="0.2"/>
    <s v="LC"/>
    <n v="0"/>
    <n v="1.2303338095193299E-3"/>
    <s v="LC"/>
    <m/>
    <s v="A3_nat, A2b, B1i_rod, B1i_inv, B1iii_sp, B2i_rod, B2i_inv, B2iii_sp, D3_inv"/>
    <n v="19839.1584"/>
    <n v="14882.14"/>
    <n v="0.75013968334463199"/>
    <n v="0.174571946202386"/>
    <n v="9"/>
    <s v="RLE not adjusted"/>
    <m/>
  </r>
  <r>
    <s v="SVl4"/>
    <s v="LC"/>
    <n v="28"/>
    <s v="LC"/>
    <n v="5"/>
    <s v="LC"/>
    <s v="LC"/>
    <n v="0.1"/>
    <s v="LC"/>
    <n v="0"/>
    <n v="1.4050430333808E-3"/>
    <s v="LC"/>
    <m/>
    <s v="A3_nat, A2b, B1i_rod, B1i_inv, B1iii_sp, B2i_rod, B2i_inv, B2iii_sp, D3_inv"/>
    <n v="2722.0444000000002"/>
    <n v="1968.0536"/>
    <n v="0.72300569380866797"/>
    <n v="9.2106228674159504E-2"/>
    <n v="5"/>
    <s v="RLE not adjusted"/>
    <m/>
  </r>
  <r>
    <s v="SVl5"/>
    <s v="LC"/>
    <n v="17"/>
    <s v="LC"/>
    <n v="6"/>
    <s v="LC"/>
    <s v="LC"/>
    <n v="0.1"/>
    <s v="LC"/>
    <n v="0"/>
    <n v="2.96030489258274E-4"/>
    <s v="LC"/>
    <m/>
    <s v="A3_nat, A2b, B1i_rod, B1i_inv, B1iii_sp, B2i_rod, B2i_inv, B2iii_sp, D3_inv"/>
    <n v="3568.6239999999998"/>
    <n v="2975.3692000000001"/>
    <n v="0.833758109568282"/>
    <n v="0.12415637438794"/>
    <n v="6"/>
    <s v="RLE not adjusted"/>
    <m/>
  </r>
  <r>
    <s v="SVl6"/>
    <s v="LC"/>
    <n v="0"/>
    <s v="LC"/>
    <n v="0"/>
    <s v="LC"/>
    <s v="LC"/>
    <n v="0"/>
    <s v="LC"/>
    <n v="0"/>
    <s v="NA"/>
    <s v="LC"/>
    <m/>
    <s v="A3_nat, A3_mpl, A2b, B1i_rod, B1i_inv, B1iii_sp, B2i_rod, B2i_inv, B2iii_sp, "/>
    <n v="760.24680000000001"/>
    <n v="757.70159999999998"/>
    <n v="0.99665213980512601"/>
    <n v="4.2175985626424096E-3"/>
    <n v="0"/>
    <s v="RLE not adjusted"/>
    <m/>
  </r>
  <r>
    <s v="SVl7"/>
    <s v="LC"/>
    <n v="12"/>
    <s v="LC"/>
    <n v="4"/>
    <s v="LC"/>
    <s v="LC"/>
    <n v="0.1"/>
    <s v="LC"/>
    <n v="0"/>
    <n v="1.37198424111816E-2"/>
    <s v="LC"/>
    <m/>
    <s v="A3_nat, A2b, B1i_rod, B1i_inv, B1iii_sp, B2i_rod, B2i_inv, B2iii_sp, D3_inv"/>
    <n v="323.45359999999999"/>
    <n v="286.21319999999997"/>
    <n v="0.88486633013204996"/>
    <n v="7.5012173813411798E-2"/>
    <n v="4"/>
    <s v="RLE not adjusted"/>
    <m/>
  </r>
  <r>
    <s v="SVl8"/>
    <s v="LC"/>
    <n v="49"/>
    <s v="LC"/>
    <n v="19"/>
    <s v="EN"/>
    <s v="LC"/>
    <n v="0.4"/>
    <s v="LC"/>
    <n v="0"/>
    <n v="2.14924240812338E-2"/>
    <s v="EN"/>
    <s v="B1i_rod"/>
    <s v="A3_nat, A2b, B1i_rod, B2i_rod, B2i_inv, B2iii_sp, D3_inv"/>
    <n v="3399.5655999999999"/>
    <n v="1748.3556000000001"/>
    <n v="0.51428794314191195"/>
    <n v="0.38961758895932302"/>
    <n v="19"/>
    <s v="RLE not adjusted"/>
    <m/>
  </r>
  <r>
    <s v="SVl9"/>
    <s v="VU"/>
    <n v="52"/>
    <s v="LC"/>
    <n v="26"/>
    <s v="EN"/>
    <s v="LC"/>
    <n v="0.5"/>
    <s v="LC"/>
    <n v="0"/>
    <n v="0.11275230061734599"/>
    <s v="EN"/>
    <s v="B1i_rod"/>
    <s v="A3_nat, A3_mpl, A2b, B1i_rod, B2i_rod, B2i_inv, B2iii_sp, D3_inv"/>
    <n v="3562.4731999999999"/>
    <n v="1115.6135999999999"/>
    <n v="0.31315705055690002"/>
    <n v="0.518141606485643"/>
    <n v="26"/>
    <s v="RLE not adjusted"/>
    <m/>
  </r>
  <r>
    <s v="SVmp1"/>
    <s v="LC"/>
    <n v="8"/>
    <s v="LC"/>
    <n v="5"/>
    <s v="LC"/>
    <s v="LC"/>
    <n v="0.1"/>
    <s v="LC"/>
    <n v="0"/>
    <n v="3.1624161351094297E-5"/>
    <s v="LC"/>
    <m/>
    <s v="A3_nat, A2b, B1i_rod, B1i_inv, B1iii_sp, B2i_rod, B2i_inv, B2iii_sp, D3_inv"/>
    <n v="8796.3575999999994"/>
    <n v="8133.0219999999999"/>
    <n v="0.92458974155393603"/>
    <n v="0.10178249581649999"/>
    <n v="5"/>
    <s v="RLE not adjusted"/>
    <m/>
  </r>
  <r>
    <s v="SVmp2"/>
    <s v="LC"/>
    <n v="2"/>
    <s v="LC"/>
    <n v="1"/>
    <s v="LC"/>
    <s v="LC"/>
    <n v="0"/>
    <s v="LC"/>
    <n v="0"/>
    <n v="7.2546963490188802E-5"/>
    <s v="LC"/>
    <m/>
    <s v="A3_nat, A2b, B1i_rod, B1i_inv, B1iii_sp, B2i_rod, B2i_inv, B2iii_sp, D3_inv"/>
    <n v="2779.8908000000001"/>
    <n v="2718.2392"/>
    <n v="0.97782229431458201"/>
    <n v="2.5985650660043599E-2"/>
    <n v="1"/>
    <s v="RLE not adjusted"/>
    <m/>
  </r>
  <r>
    <s v="SVmp3"/>
    <s v="LC"/>
    <n v="0"/>
    <s v="LC"/>
    <n v="0"/>
    <s v="LC"/>
    <s v="LC"/>
    <n v="0"/>
    <s v="LC"/>
    <n v="0"/>
    <s v="NA"/>
    <s v="LC"/>
    <m/>
    <s v="A3_nat, A2b, B1i_rod, B1i_inv, B1iii_sp, B2i_rod, B2i_inv, B2iii_sp, "/>
    <n v="277.05919999999998"/>
    <n v="276.87799999999999"/>
    <n v="0.999345988149825"/>
    <n v="6.8155950926288499E-4"/>
    <n v="0"/>
    <s v="RLE not adjusted"/>
    <m/>
  </r>
  <r>
    <s v="SVmp4"/>
    <s v="LC"/>
    <n v="0"/>
    <s v="LC"/>
    <n v="0"/>
    <s v="LC"/>
    <s v="LC"/>
    <n v="0"/>
    <s v="LC"/>
    <n v="0"/>
    <s v="NA"/>
    <s v="LC"/>
    <m/>
    <s v="A3_nat, A2b, B1i_rod, B1i_inv, B1iii_sp, B2i_rod, B2i_inv, B2iii_sp, "/>
    <n v="2804.7060000000001"/>
    <n v="2800.2143999999998"/>
    <n v="0.99839854872489298"/>
    <n v="4.7221389872097701E-4"/>
    <n v="0"/>
    <s v="RLE not adjusted"/>
    <m/>
  </r>
  <r>
    <s v="SVmp5"/>
    <s v="LC"/>
    <n v="11"/>
    <s v="LC"/>
    <n v="4"/>
    <s v="LC"/>
    <s v="LC"/>
    <n v="0.1"/>
    <s v="LC"/>
    <n v="0"/>
    <s v="NA"/>
    <s v="LC"/>
    <m/>
    <s v="A3_nat, A2b, B1i_rod, B1i_inv, B1iii_sp, B2i_rod, B2i_inv, B2iii_sp, "/>
    <n v="5315.1355999999996"/>
    <n v="4722.0828000000001"/>
    <n v="0.88842188711046299"/>
    <n v="7.2286623188170598E-2"/>
    <n v="4"/>
    <s v="RLE not adjusted"/>
    <m/>
  </r>
  <r>
    <s v="SVmp6"/>
    <s v="LC"/>
    <n v="23"/>
    <s v="LC"/>
    <n v="8"/>
    <s v="LC"/>
    <s v="LC"/>
    <n v="0.2"/>
    <s v="LC"/>
    <n v="0"/>
    <s v="NA"/>
    <s v="LC"/>
    <m/>
    <s v="A3_nat, A2b, B1i_rod, B1i_inv, B1iii_sp, B2i_rod, B2i_inv, B2iii_sp, "/>
    <n v="3154.1124"/>
    <n v="2431.4684000000002"/>
    <n v="0.77088831710626404"/>
    <n v="0.16083524394713999"/>
    <n v="8"/>
    <s v="RLE not adjusted"/>
    <m/>
  </r>
  <r>
    <s v="SVmp7"/>
    <s v="LC"/>
    <n v="9"/>
    <s v="LC"/>
    <n v="5"/>
    <s v="LC"/>
    <s v="LC"/>
    <n v="0.1"/>
    <s v="LC"/>
    <n v="0"/>
    <n v="0"/>
    <s v="LC"/>
    <m/>
    <s v="A3_nat, A2b, B1i_rod, B1i_inv, B1iii_sp, B2i_rod, B2i_inv, B2iii_sp, D3_inv"/>
    <n v="2225.5536000000002"/>
    <n v="2027.626"/>
    <n v="0.91106590288366895"/>
    <n v="9.9481520281755595E-2"/>
    <n v="5"/>
    <s v="RLE not adjusted"/>
    <m/>
  </r>
  <r>
    <s v="SVmp8"/>
    <s v="LC"/>
    <n v="0"/>
    <s v="LC"/>
    <n v="0"/>
    <s v="LC"/>
    <s v="LC"/>
    <n v="0"/>
    <s v="LC"/>
    <n v="0"/>
    <s v="NA"/>
    <s v="LC"/>
    <m/>
    <s v="A3_nat, A2b, B1i_rod, B1i_inv, B1iii_sp, B2i_rod, B2i_inv, B2iii_sp, "/>
    <n v="310.43799999999999"/>
    <n v="310.28359999999998"/>
    <n v="0.99950263820795104"/>
    <n v="1.89331439266974E-4"/>
    <n v="0"/>
    <s v="RLE not adjusted"/>
    <m/>
  </r>
  <r>
    <s v="SVs1"/>
    <s v="LC"/>
    <n v="31"/>
    <s v="LC"/>
    <n v="8"/>
    <s v="LC"/>
    <s v="LC"/>
    <n v="0.2"/>
    <s v="LC"/>
    <n v="0"/>
    <n v="3.1100997625088502E-3"/>
    <s v="LC"/>
    <m/>
    <s v="A3_nat, A3_kzn, A2b, B1i_rod, B1i_inv, B1iii_sp, B2i_rod, B2i_inv, B2iii_sp, D3_inv"/>
    <n v="2706.5924"/>
    <n v="1972.2840000000001"/>
    <n v="0.72869634895893498"/>
    <n v="0.16688050850923"/>
    <n v="8"/>
    <s v="RLE not adjusted"/>
    <m/>
  </r>
  <r>
    <s v="SVs2"/>
    <s v="LC"/>
    <n v="27"/>
    <s v="LC"/>
    <n v="8"/>
    <s v="LC"/>
    <s v="LC"/>
    <n v="0.2"/>
    <s v="LC"/>
    <n v="0"/>
    <n v="1.23352229201777E-2"/>
    <s v="LC"/>
    <m/>
    <s v="A3_nat, A3_kzn, A2b, B1i_rod, B1i_inv, B1iii_sp, B2i_rod, B2i_inv, B2iii_sp, D3_inv"/>
    <n v="2215.6012000000001"/>
    <n v="1631.75"/>
    <n v="0.736481818117809"/>
    <n v="0.168464283867203"/>
    <n v="8"/>
    <s v="RLE not adjusted"/>
    <m/>
  </r>
  <r>
    <s v="SVs3"/>
    <s v="LC"/>
    <n v="26"/>
    <s v="LC"/>
    <n v="13"/>
    <s v="LC"/>
    <s v="LC"/>
    <n v="0.3"/>
    <s v="LC"/>
    <n v="0"/>
    <n v="0.115259056527877"/>
    <s v="LC"/>
    <m/>
    <s v="A3_nat, A3_kzn, A2b, B1i_rod, B1i_inv, B1iii_sp, B2i_rod, B2i_inv, B2iii_sp, D3_inv"/>
    <n v="1533.5047999999999"/>
    <n v="1014.296"/>
    <n v="0.661423426910695"/>
    <n v="0.26698161591796299"/>
    <n v="13"/>
    <s v="RLE not adjusted"/>
    <m/>
  </r>
  <r>
    <s v="SVs4"/>
    <s v="VU"/>
    <n v="59"/>
    <s v="LC"/>
    <n v="18"/>
    <s v="EN"/>
    <s v="VU"/>
    <n v="0.4"/>
    <s v="LC"/>
    <n v="0"/>
    <n v="7.5621990689317006E-2"/>
    <s v="EN"/>
    <s v="B1i_rod"/>
    <s v="A3_nat, A2b, B1i_rod, B2i_rod, D3_inv"/>
    <n v="803.10360000000003"/>
    <n v="325.90519999999998"/>
    <n v="0.40580717107979603"/>
    <n v="0.36934191842557001"/>
    <n v="18"/>
    <s v="RLE not adjusted"/>
    <m/>
  </r>
  <r>
    <s v="SVs5"/>
    <s v="EN"/>
    <n v="76"/>
    <s v="EN"/>
    <n v="52"/>
    <s v="EN"/>
    <s v="LC"/>
    <n v="1"/>
    <s v="LC"/>
    <n v="0"/>
    <n v="0.182556396744185"/>
    <s v="EN"/>
    <s v="A3_nat, A3_kzn, A2b, B1i_rod"/>
    <s v="A3_nat, A3_kzn, A2b, B1i_rod, B2i_rod, B2i_inv, B2iii_sp, D3_inv"/>
    <n v="1812.6007999999999"/>
    <n v="250.33359999999999"/>
    <n v="0.13810740897830301"/>
    <n v="1.04191297549587"/>
    <n v="52"/>
    <s v="RLE not adjusted"/>
    <m/>
  </r>
  <r>
    <s v="SVs6"/>
    <s v="LC"/>
    <n v="31"/>
    <s v="LC"/>
    <n v="6"/>
    <s v="LC"/>
    <s v="LC"/>
    <n v="0.1"/>
    <s v="LC"/>
    <n v="0"/>
    <n v="8.3570711481948404E-2"/>
    <s v="LC"/>
    <m/>
    <s v="A3_nat, A2b, B1i_rod, B1i_inv, B1iii_sp, B2i_rod, B2i_inv, B2iii_sp, D3_inv"/>
    <n v="10185.484399999999"/>
    <n v="7037.5756000000001"/>
    <n v="0.69094166989249906"/>
    <n v="0.122292242486316"/>
    <n v="6"/>
    <s v="RLE not adjusted"/>
    <m/>
  </r>
  <r>
    <s v="SVs7"/>
    <s v="LC"/>
    <n v="38"/>
    <s v="LC"/>
    <n v="13"/>
    <s v="LC"/>
    <s v="LC"/>
    <n v="0.3"/>
    <s v="LC"/>
    <n v="0"/>
    <n v="9.71798204237838E-2"/>
    <s v="LC"/>
    <m/>
    <s v="A3_nat, A2b, B1i_rod, B1i_inv, B1iii_sp, B2i_rod, B2i_inv, B2iii_sp, D3_inv"/>
    <n v="7762.2767999999996"/>
    <n v="4782.8159999999998"/>
    <n v="0.61616148499110501"/>
    <n v="0.263995621943375"/>
    <n v="13"/>
    <s v="RLE not adjusted"/>
    <m/>
  </r>
  <r>
    <s v="SVs8"/>
    <s v="LC"/>
    <n v="44"/>
    <s v="LC"/>
    <n v="18"/>
    <s v="EN"/>
    <s v="LC"/>
    <n v="0.4"/>
    <s v="LC"/>
    <n v="0"/>
    <n v="7.8638604971659601E-2"/>
    <s v="EN"/>
    <s v="B1i_rod"/>
    <s v="A3_nat, A2b, B1i_rod, B2i_rod, B2i_inv, B2iii_sp, D3_step; D3_inv"/>
    <n v="1527.7652"/>
    <n v="848.68240000000003"/>
    <n v="0.55550578060031697"/>
    <n v="0.36865104869057103"/>
    <n v="18"/>
    <s v="RLE not adjuste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DAE5ED-2BE3-425C-9DF7-18D2B9969C83}" name="PivotTable1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14" firstHeaderRow="1" firstDataRow="1" firstDataCol="1"/>
  <pivotFields count="23">
    <pivotField showAll="0"/>
    <pivotField showAll="0"/>
    <pivotField showAll="0"/>
    <pivotField showAll="0"/>
    <pivotField axis="axisRow" showAll="0">
      <items count="11">
        <item x="9"/>
        <item x="5"/>
        <item x="2"/>
        <item x="8"/>
        <item x="4"/>
        <item x="0"/>
        <item x="7"/>
        <item x="6"/>
        <item x="1"/>
        <item x="3"/>
        <item t="default"/>
      </items>
    </pivotField>
    <pivotField showAll="0"/>
    <pivotField showAll="0"/>
    <pivotField showAll="0"/>
    <pivotField showAll="0"/>
    <pivotField showAll="0"/>
    <pivotField showAll="0"/>
    <pivotField showAll="0"/>
    <pivotField showAll="0"/>
    <pivotField showAll="0"/>
    <pivotField dataField="1" showAll="0">
      <items count="464">
        <item x="299"/>
        <item x="285"/>
        <item x="96"/>
        <item x="184"/>
        <item x="369"/>
        <item x="230"/>
        <item x="30"/>
        <item x="114"/>
        <item x="132"/>
        <item x="311"/>
        <item x="454"/>
        <item x="98"/>
        <item x="267"/>
        <item x="16"/>
        <item x="345"/>
        <item x="278"/>
        <item x="61"/>
        <item x="40"/>
        <item x="431"/>
        <item x="41"/>
        <item x="436"/>
        <item x="382"/>
        <item x="149"/>
        <item x="334"/>
        <item x="418"/>
        <item x="403"/>
        <item x="76"/>
        <item x="116"/>
        <item x="456"/>
        <item x="409"/>
        <item x="90"/>
        <item x="458"/>
        <item x="435"/>
        <item x="221"/>
        <item x="393"/>
        <item x="301"/>
        <item x="310"/>
        <item x="129"/>
        <item x="419"/>
        <item x="399"/>
        <item x="341"/>
        <item x="425"/>
        <item x="381"/>
        <item x="372"/>
        <item x="6"/>
        <item x="161"/>
        <item x="346"/>
        <item x="284"/>
        <item x="110"/>
        <item x="202"/>
        <item x="245"/>
        <item x="185"/>
        <item x="218"/>
        <item x="111"/>
        <item x="219"/>
        <item x="312"/>
        <item x="44"/>
        <item x="459"/>
        <item x="108"/>
        <item x="103"/>
        <item x="446"/>
        <item x="68"/>
        <item x="43"/>
        <item x="323"/>
        <item x="106"/>
        <item x="130"/>
        <item x="373"/>
        <item x="389"/>
        <item x="107"/>
        <item x="457"/>
        <item x="255"/>
        <item x="287"/>
        <item x="342"/>
        <item x="274"/>
        <item x="257"/>
        <item x="241"/>
        <item x="315"/>
        <item x="348"/>
        <item x="440"/>
        <item x="192"/>
        <item x="147"/>
        <item x="102"/>
        <item x="156"/>
        <item x="133"/>
        <item x="22"/>
        <item x="427"/>
        <item x="417"/>
        <item x="169"/>
        <item x="420"/>
        <item x="109"/>
        <item x="25"/>
        <item x="292"/>
        <item x="207"/>
        <item x="97"/>
        <item x="437"/>
        <item x="344"/>
        <item x="349"/>
        <item x="119"/>
        <item x="59"/>
        <item x="326"/>
        <item x="270"/>
        <item x="252"/>
        <item x="405"/>
        <item x="305"/>
        <item x="17"/>
        <item x="51"/>
        <item x="289"/>
        <item x="272"/>
        <item x="216"/>
        <item x="414"/>
        <item x="66"/>
        <item x="422"/>
        <item x="201"/>
        <item x="172"/>
        <item x="58"/>
        <item x="72"/>
        <item x="124"/>
        <item x="115"/>
        <item x="450"/>
        <item x="118"/>
        <item x="265"/>
        <item x="196"/>
        <item x="239"/>
        <item x="271"/>
        <item x="426"/>
        <item x="291"/>
        <item x="122"/>
        <item x="171"/>
        <item x="153"/>
        <item x="79"/>
        <item x="424"/>
        <item x="137"/>
        <item x="406"/>
        <item x="100"/>
        <item x="307"/>
        <item x="29"/>
        <item x="455"/>
        <item x="453"/>
        <item x="347"/>
        <item x="175"/>
        <item x="246"/>
        <item x="375"/>
        <item x="377"/>
        <item x="366"/>
        <item x="2"/>
        <item x="45"/>
        <item x="95"/>
        <item x="367"/>
        <item x="249"/>
        <item x="18"/>
        <item x="144"/>
        <item x="290"/>
        <item x="63"/>
        <item x="182"/>
        <item x="215"/>
        <item x="127"/>
        <item x="404"/>
        <item x="460"/>
        <item x="15"/>
        <item x="105"/>
        <item x="179"/>
        <item x="151"/>
        <item x="211"/>
        <item x="186"/>
        <item x="197"/>
        <item x="190"/>
        <item x="176"/>
        <item x="112"/>
        <item x="57"/>
        <item x="27"/>
        <item x="4"/>
        <item x="121"/>
        <item x="69"/>
        <item x="217"/>
        <item x="13"/>
        <item x="49"/>
        <item x="416"/>
        <item x="233"/>
        <item x="298"/>
        <item x="374"/>
        <item x="42"/>
        <item x="46"/>
        <item x="316"/>
        <item x="321"/>
        <item x="199"/>
        <item x="54"/>
        <item x="237"/>
        <item x="166"/>
        <item x="146"/>
        <item x="21"/>
        <item x="232"/>
        <item x="87"/>
        <item x="248"/>
        <item x="392"/>
        <item x="296"/>
        <item x="31"/>
        <item x="113"/>
        <item x="308"/>
        <item x="429"/>
        <item x="433"/>
        <item x="180"/>
        <item x="314"/>
        <item x="423"/>
        <item x="33"/>
        <item x="145"/>
        <item x="86"/>
        <item x="173"/>
        <item x="160"/>
        <item x="10"/>
        <item x="398"/>
        <item x="354"/>
        <item x="413"/>
        <item x="258"/>
        <item x="259"/>
        <item x="71"/>
        <item x="64"/>
        <item x="286"/>
        <item x="222"/>
        <item x="428"/>
        <item x="439"/>
        <item x="390"/>
        <item x="53"/>
        <item x="343"/>
        <item x="400"/>
        <item x="35"/>
        <item x="352"/>
        <item x="174"/>
        <item x="438"/>
        <item x="93"/>
        <item x="412"/>
        <item x="452"/>
        <item x="208"/>
        <item x="269"/>
        <item x="94"/>
        <item x="3"/>
        <item x="139"/>
        <item x="300"/>
        <item x="164"/>
        <item x="444"/>
        <item x="302"/>
        <item x="224"/>
        <item x="295"/>
        <item x="89"/>
        <item x="445"/>
        <item x="188"/>
        <item x="206"/>
        <item x="430"/>
        <item x="250"/>
        <item x="350"/>
        <item x="9"/>
        <item x="320"/>
        <item x="330"/>
        <item x="244"/>
        <item x="37"/>
        <item x="183"/>
        <item x="67"/>
        <item x="340"/>
        <item x="187"/>
        <item x="443"/>
        <item x="462"/>
        <item x="167"/>
        <item x="101"/>
        <item x="411"/>
        <item x="395"/>
        <item x="242"/>
        <item x="243"/>
        <item x="85"/>
        <item x="319"/>
        <item x="402"/>
        <item x="177"/>
        <item x="24"/>
        <item x="123"/>
        <item x="209"/>
        <item x="391"/>
        <item x="82"/>
        <item x="165"/>
        <item x="262"/>
        <item x="401"/>
        <item x="200"/>
        <item x="378"/>
        <item x="324"/>
        <item x="268"/>
        <item x="253"/>
        <item x="447"/>
        <item x="104"/>
        <item x="410"/>
        <item x="91"/>
        <item x="142"/>
        <item x="421"/>
        <item x="157"/>
        <item x="128"/>
        <item x="210"/>
        <item x="263"/>
        <item x="203"/>
        <item x="135"/>
        <item x="52"/>
        <item x="134"/>
        <item x="317"/>
        <item x="75"/>
        <item x="120"/>
        <item x="370"/>
        <item x="359"/>
        <item x="36"/>
        <item x="39"/>
        <item x="251"/>
        <item x="281"/>
        <item x="48"/>
        <item x="313"/>
        <item x="442"/>
        <item x="297"/>
        <item x="247"/>
        <item x="136"/>
        <item x="140"/>
        <item x="387"/>
        <item x="32"/>
        <item x="74"/>
        <item x="380"/>
        <item x="365"/>
        <item x="193"/>
        <item x="168"/>
        <item x="386"/>
        <item x="325"/>
        <item x="83"/>
        <item x="368"/>
        <item x="23"/>
        <item x="355"/>
        <item x="150"/>
        <item x="434"/>
        <item x="234"/>
        <item x="379"/>
        <item x="155"/>
        <item x="181"/>
        <item x="304"/>
        <item x="152"/>
        <item x="99"/>
        <item x="408"/>
        <item x="8"/>
        <item x="276"/>
        <item x="78"/>
        <item x="363"/>
        <item x="441"/>
        <item x="328"/>
        <item x="5"/>
        <item x="88"/>
        <item x="336"/>
        <item x="162"/>
        <item x="80"/>
        <item x="84"/>
        <item x="293"/>
        <item x="19"/>
        <item x="117"/>
        <item x="11"/>
        <item x="214"/>
        <item x="194"/>
        <item x="266"/>
        <item x="283"/>
        <item x="65"/>
        <item x="364"/>
        <item x="159"/>
        <item x="407"/>
        <item x="396"/>
        <item x="327"/>
        <item x="138"/>
        <item x="195"/>
        <item x="154"/>
        <item x="158"/>
        <item x="238"/>
        <item x="351"/>
        <item x="254"/>
        <item x="70"/>
        <item x="303"/>
        <item x="62"/>
        <item x="415"/>
        <item x="329"/>
        <item x="47"/>
        <item x="448"/>
        <item x="394"/>
        <item x="223"/>
        <item x="318"/>
        <item x="376"/>
        <item x="60"/>
        <item x="38"/>
        <item x="371"/>
        <item x="55"/>
        <item x="358"/>
        <item x="332"/>
        <item x="220"/>
        <item x="1"/>
        <item x="191"/>
        <item x="339"/>
        <item x="388"/>
        <item x="228"/>
        <item x="77"/>
        <item x="231"/>
        <item x="229"/>
        <item x="260"/>
        <item x="7"/>
        <item x="163"/>
        <item x="131"/>
        <item x="279"/>
        <item x="361"/>
        <item x="256"/>
        <item x="213"/>
        <item x="432"/>
        <item x="282"/>
        <item x="236"/>
        <item x="125"/>
        <item x="170"/>
        <item x="397"/>
        <item x="353"/>
        <item x="288"/>
        <item x="383"/>
        <item x="306"/>
        <item x="204"/>
        <item x="141"/>
        <item x="235"/>
        <item x="28"/>
        <item x="178"/>
        <item x="461"/>
        <item x="338"/>
        <item x="226"/>
        <item x="205"/>
        <item x="261"/>
        <item x="277"/>
        <item x="357"/>
        <item x="12"/>
        <item x="50"/>
        <item x="356"/>
        <item x="331"/>
        <item x="14"/>
        <item x="337"/>
        <item x="143"/>
        <item x="294"/>
        <item x="240"/>
        <item x="189"/>
        <item x="333"/>
        <item x="126"/>
        <item x="81"/>
        <item x="26"/>
        <item x="280"/>
        <item x="212"/>
        <item x="225"/>
        <item x="20"/>
        <item x="56"/>
        <item x="449"/>
        <item x="362"/>
        <item x="0"/>
        <item x="309"/>
        <item x="275"/>
        <item x="335"/>
        <item x="451"/>
        <item x="264"/>
        <item x="227"/>
        <item x="360"/>
        <item x="273"/>
        <item x="322"/>
        <item x="385"/>
        <item x="384"/>
        <item x="148"/>
        <item x="198"/>
        <item x="73"/>
        <item x="92"/>
        <item x="34"/>
        <item t="default"/>
      </items>
    </pivotField>
    <pivotField showAll="0"/>
    <pivotField showAll="0"/>
    <pivotField showAll="0"/>
    <pivotField showAll="0">
      <items count="6">
        <item x="2"/>
        <item x="3"/>
        <item x="0"/>
        <item x="4"/>
        <item x="1"/>
        <item t="default"/>
      </items>
    </pivotField>
    <pivotField showAll="0">
      <items count="5">
        <item x="2"/>
        <item x="1"/>
        <item x="0"/>
        <item x="3"/>
        <item t="default"/>
      </items>
    </pivotField>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Sum of Historic_area_km2"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B8BC92-D8F4-46FF-9572-BF22CF8D8CE5}"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5" firstHeaderRow="1" firstDataRow="2" firstDataCol="1"/>
  <pivotFields count="23">
    <pivotField showAll="0"/>
    <pivotField showAll="0"/>
    <pivotField showAll="0"/>
    <pivotField showAll="0"/>
    <pivotField axis="axisRow" showAll="0">
      <items count="11">
        <item x="9"/>
        <item x="5"/>
        <item x="2"/>
        <item x="8"/>
        <item x="4"/>
        <item x="0"/>
        <item x="7"/>
        <item x="6"/>
        <item x="1"/>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6">
        <item x="2"/>
        <item x="3"/>
        <item x="0"/>
        <item x="4"/>
        <item x="1"/>
        <item t="default"/>
      </items>
    </pivotField>
    <pivotField axis="axisCol" showAll="0">
      <items count="5">
        <item x="2"/>
        <item x="1"/>
        <item x="0"/>
        <item x="3"/>
        <item t="default"/>
      </items>
    </pivotField>
    <pivotField showAll="0"/>
    <pivotField showAll="0"/>
    <pivotField showAll="0"/>
  </pivotFields>
  <rowFields count="1">
    <field x="4"/>
  </rowFields>
  <rowItems count="11">
    <i>
      <x/>
    </i>
    <i>
      <x v="1"/>
    </i>
    <i>
      <x v="2"/>
    </i>
    <i>
      <x v="3"/>
    </i>
    <i>
      <x v="4"/>
    </i>
    <i>
      <x v="5"/>
    </i>
    <i>
      <x v="6"/>
    </i>
    <i>
      <x v="7"/>
    </i>
    <i>
      <x v="8"/>
    </i>
    <i>
      <x v="9"/>
    </i>
    <i t="grand">
      <x/>
    </i>
  </rowItems>
  <colFields count="1">
    <field x="19"/>
  </colFields>
  <colItems count="5">
    <i>
      <x/>
    </i>
    <i>
      <x v="1"/>
    </i>
    <i>
      <x v="2"/>
    </i>
    <i>
      <x v="3"/>
    </i>
    <i t="grand">
      <x/>
    </i>
  </colItems>
  <dataFields count="1">
    <dataField name="Sum of Nat.2022km2"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977E6-E778-4221-BD46-C4DBA54C26E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F26" firstHeaderRow="0"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axis="axisRow" showAll="0">
      <items count="5">
        <item x="3"/>
        <item x="1"/>
        <item x="0"/>
        <item x="2"/>
        <item t="default"/>
      </items>
    </pivotField>
    <pivotField showAll="0"/>
    <pivotField dataField="1" showAll="0">
      <items count="5">
        <item x="1"/>
        <item x="2"/>
        <item x="0"/>
        <item x="3"/>
        <item t="default"/>
      </items>
    </pivotField>
    <pivotField showAll="0"/>
    <pivotField showAll="0"/>
    <pivotField showAll="0"/>
  </pivotFields>
  <rowFields count="1">
    <field x="17"/>
  </rowFields>
  <rowItems count="5">
    <i>
      <x/>
    </i>
    <i>
      <x v="1"/>
    </i>
    <i>
      <x v="2"/>
    </i>
    <i>
      <x v="3"/>
    </i>
    <i t="grand">
      <x/>
    </i>
  </rowItems>
  <colFields count="1">
    <field x="-2"/>
  </colFields>
  <colItems count="5">
    <i>
      <x/>
    </i>
    <i i="1">
      <x v="1"/>
    </i>
    <i i="2">
      <x v="2"/>
    </i>
    <i i="3">
      <x v="3"/>
    </i>
    <i i="4">
      <x v="4"/>
    </i>
  </colItems>
  <dataFields count="5">
    <dataField name="Count of RLE_2025" fld="19" subtotal="count" baseField="0" baseItem="0"/>
    <dataField name="Sum of Historic_area_km2" fld="14" baseField="0" baseItem="0"/>
    <dataField name="Sum of Historic_area_km2_2" fld="14" showDataAs="percentOfTotal" baseField="0" baseItem="0" numFmtId="10"/>
    <dataField name="Sum of Nat.2022km2" fld="16" baseField="0" baseItem="0"/>
    <dataField name="Sum of Nat.2022km2_2"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1712C8-3393-401B-A896-8EA74FBDA3E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0"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axis="axisRow" dataField="1" showAll="0">
      <items count="5">
        <item x="1"/>
        <item x="2"/>
        <item x="0"/>
        <item x="3"/>
        <item t="default"/>
      </items>
    </pivotField>
    <pivotField showAll="0"/>
    <pivotField showAll="0"/>
    <pivotField showAll="0"/>
  </pivotFields>
  <rowFields count="1">
    <field x="19"/>
  </rowFields>
  <rowItems count="5">
    <i>
      <x/>
    </i>
    <i>
      <x v="1"/>
    </i>
    <i>
      <x v="2"/>
    </i>
    <i>
      <x v="3"/>
    </i>
    <i t="grand">
      <x/>
    </i>
  </rowItems>
  <colFields count="1">
    <field x="-2"/>
  </colFields>
  <colItems count="5">
    <i>
      <x/>
    </i>
    <i i="1">
      <x v="1"/>
    </i>
    <i i="2">
      <x v="2"/>
    </i>
    <i i="3">
      <x v="3"/>
    </i>
    <i i="4">
      <x v="4"/>
    </i>
  </colItems>
  <dataFields count="5">
    <dataField name="Count of RLE_2025" fld="19" subtotal="count" baseField="0" baseItem="0"/>
    <dataField name="Sum of Historic_area_km2" fld="14" baseField="0" baseItem="0"/>
    <dataField name="Sum of Historic_area_km2_2" fld="14" showDataAs="percentOfTotal" baseField="0" baseItem="0" numFmtId="10"/>
    <dataField name="Sum of Nat.2022km2" fld="16" baseField="0" baseItem="0"/>
    <dataField name="Sum of Nat.2022km2_2"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92BB98-C4B3-4EA5-B9FC-288769AE6B8F}" name="PivotTable1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s>
  <rowItems count="1">
    <i/>
  </rowItems>
  <colFields count="1">
    <field x="-2"/>
  </colFields>
  <colItems count="2">
    <i>
      <x/>
    </i>
    <i i="1">
      <x v="1"/>
    </i>
  </colItems>
  <dataFields count="2">
    <dataField name="Sum of X1750" fld="14" baseField="0" baseItem="0"/>
    <dataField name="Sum of X2022"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ECA4-F946-4D11-9CE0-54FE38E3FBFA}">
  <dimension ref="A3:I34"/>
  <sheetViews>
    <sheetView topLeftCell="A12" workbookViewId="0">
      <selection activeCell="D37" sqref="D37"/>
    </sheetView>
  </sheetViews>
  <sheetFormatPr defaultRowHeight="14.4" x14ac:dyDescent="0.3"/>
  <cols>
    <col min="1" max="1" width="22.21875" bestFit="1" customWidth="1"/>
    <col min="2" max="2" width="15.5546875" bestFit="1" customWidth="1"/>
    <col min="3" max="3" width="11" bestFit="1" customWidth="1"/>
    <col min="4" max="4" width="12" bestFit="1" customWidth="1"/>
    <col min="5" max="5" width="11" bestFit="1" customWidth="1"/>
    <col min="6" max="7" width="12" bestFit="1" customWidth="1"/>
    <col min="8" max="8" width="22.21875" bestFit="1" customWidth="1"/>
    <col min="9" max="9" width="23.33203125" bestFit="1" customWidth="1"/>
    <col min="10" max="10" width="18.88671875" bestFit="1" customWidth="1"/>
    <col min="11" max="39" width="12" bestFit="1" customWidth="1"/>
    <col min="40" max="40" width="11" bestFit="1" customWidth="1"/>
    <col min="41" max="49" width="12" bestFit="1" customWidth="1"/>
    <col min="50" max="50" width="11" bestFit="1" customWidth="1"/>
    <col min="51" max="55" width="12" bestFit="1" customWidth="1"/>
    <col min="56" max="56" width="11" bestFit="1" customWidth="1"/>
    <col min="57" max="66" width="12" bestFit="1" customWidth="1"/>
    <col min="67" max="67" width="11" bestFit="1" customWidth="1"/>
    <col min="68" max="95" width="12" bestFit="1" customWidth="1"/>
    <col min="96" max="96" width="11" bestFit="1" customWidth="1"/>
    <col min="97" max="105" width="12" bestFit="1" customWidth="1"/>
    <col min="106" max="106" width="11" bestFit="1" customWidth="1"/>
    <col min="107" max="126" width="12" bestFit="1" customWidth="1"/>
    <col min="127" max="128" width="11" bestFit="1" customWidth="1"/>
    <col min="129" max="136" width="12" bestFit="1" customWidth="1"/>
    <col min="137" max="137" width="11" bestFit="1" customWidth="1"/>
    <col min="138" max="140" width="12" bestFit="1" customWidth="1"/>
    <col min="141" max="141" width="11" bestFit="1" customWidth="1"/>
    <col min="142" max="143" width="12" bestFit="1" customWidth="1"/>
    <col min="144" max="144" width="11" bestFit="1" customWidth="1"/>
    <col min="145" max="146" width="12" bestFit="1" customWidth="1"/>
    <col min="147" max="147" width="11" bestFit="1" customWidth="1"/>
    <col min="148" max="152" width="12" bestFit="1" customWidth="1"/>
    <col min="153" max="153" width="11" bestFit="1" customWidth="1"/>
    <col min="154" max="166" width="12" bestFit="1" customWidth="1"/>
    <col min="167" max="167" width="10" bestFit="1" customWidth="1"/>
    <col min="168" max="170" width="12" bestFit="1" customWidth="1"/>
    <col min="171" max="171" width="11" bestFit="1" customWidth="1"/>
    <col min="172" max="172" width="12" bestFit="1" customWidth="1"/>
    <col min="173" max="173" width="11" bestFit="1" customWidth="1"/>
    <col min="174" max="182" width="12" bestFit="1" customWidth="1"/>
    <col min="183" max="183" width="11" bestFit="1" customWidth="1"/>
    <col min="184" max="199" width="12" bestFit="1" customWidth="1"/>
    <col min="200" max="200" width="11" bestFit="1" customWidth="1"/>
    <col min="201" max="206" width="12" bestFit="1" customWidth="1"/>
    <col min="207" max="207" width="11" bestFit="1" customWidth="1"/>
    <col min="208" max="210" width="12" bestFit="1" customWidth="1"/>
    <col min="211" max="211" width="11" bestFit="1" customWidth="1"/>
    <col min="212" max="229" width="12" bestFit="1" customWidth="1"/>
    <col min="230" max="231" width="10" bestFit="1" customWidth="1"/>
    <col min="232" max="233" width="12" bestFit="1" customWidth="1"/>
    <col min="234" max="234" width="11" bestFit="1" customWidth="1"/>
    <col min="235" max="240" width="12" bestFit="1" customWidth="1"/>
    <col min="241" max="241" width="11" bestFit="1" customWidth="1"/>
    <col min="242" max="254" width="12" bestFit="1" customWidth="1"/>
    <col min="255" max="255" width="11" bestFit="1" customWidth="1"/>
    <col min="256" max="256" width="10" bestFit="1" customWidth="1"/>
    <col min="257" max="267" width="12" bestFit="1" customWidth="1"/>
    <col min="268" max="268" width="11" bestFit="1" customWidth="1"/>
    <col min="269" max="272" width="12" bestFit="1" customWidth="1"/>
    <col min="273" max="273" width="11" bestFit="1" customWidth="1"/>
    <col min="274" max="299" width="12" bestFit="1" customWidth="1"/>
    <col min="300" max="300" width="11" bestFit="1" customWidth="1"/>
    <col min="301" max="301" width="12" bestFit="1" customWidth="1"/>
    <col min="302" max="302" width="11" bestFit="1" customWidth="1"/>
    <col min="303" max="313" width="12" bestFit="1" customWidth="1"/>
    <col min="314" max="314" width="11" bestFit="1" customWidth="1"/>
    <col min="315" max="317" width="12" bestFit="1" customWidth="1"/>
    <col min="318" max="318" width="11" bestFit="1" customWidth="1"/>
    <col min="319" max="327" width="12" bestFit="1" customWidth="1"/>
    <col min="328" max="328" width="11" bestFit="1" customWidth="1"/>
    <col min="329" max="336" width="12" bestFit="1" customWidth="1"/>
    <col min="337" max="337" width="11" bestFit="1" customWidth="1"/>
    <col min="338" max="347" width="12" bestFit="1" customWidth="1"/>
    <col min="348" max="348" width="11" bestFit="1" customWidth="1"/>
    <col min="349" max="353" width="12" bestFit="1" customWidth="1"/>
    <col min="354" max="354" width="11" bestFit="1" customWidth="1"/>
    <col min="355" max="360" width="12" bestFit="1" customWidth="1"/>
    <col min="361" max="361" width="11" bestFit="1" customWidth="1"/>
    <col min="362" max="378" width="12" bestFit="1" customWidth="1"/>
    <col min="379" max="379" width="11" bestFit="1" customWidth="1"/>
    <col min="380" max="414" width="12" bestFit="1" customWidth="1"/>
    <col min="415" max="415" width="11" bestFit="1" customWidth="1"/>
    <col min="416" max="429" width="12" bestFit="1" customWidth="1"/>
    <col min="430" max="431" width="11" bestFit="1" customWidth="1"/>
    <col min="432" max="437" width="12" bestFit="1" customWidth="1"/>
    <col min="438" max="438" width="11" bestFit="1" customWidth="1"/>
    <col min="439" max="444" width="12" bestFit="1" customWidth="1"/>
    <col min="445" max="445" width="11" bestFit="1" customWidth="1"/>
    <col min="446" max="457" width="12" bestFit="1" customWidth="1"/>
    <col min="458" max="458" width="11" bestFit="1" customWidth="1"/>
    <col min="459" max="468" width="12" bestFit="1" customWidth="1"/>
    <col min="469" max="469" width="11" bestFit="1" customWidth="1"/>
    <col min="470" max="473" width="12" bestFit="1" customWidth="1"/>
    <col min="474" max="475" width="11" bestFit="1" customWidth="1"/>
    <col min="476" max="476" width="12" bestFit="1" customWidth="1"/>
  </cols>
  <sheetData>
    <row r="3" spans="1:9" x14ac:dyDescent="0.3">
      <c r="A3" s="1" t="s">
        <v>2789</v>
      </c>
      <c r="B3" s="1" t="s">
        <v>2804</v>
      </c>
      <c r="H3" s="1" t="s">
        <v>2786</v>
      </c>
      <c r="I3" t="s">
        <v>2788</v>
      </c>
    </row>
    <row r="4" spans="1:9" x14ac:dyDescent="0.3">
      <c r="A4" s="1" t="s">
        <v>2786</v>
      </c>
      <c r="B4" t="s">
        <v>106</v>
      </c>
      <c r="C4" t="s">
        <v>51</v>
      </c>
      <c r="D4" t="s">
        <v>38</v>
      </c>
      <c r="E4" t="s">
        <v>76</v>
      </c>
      <c r="F4" t="s">
        <v>2787</v>
      </c>
      <c r="H4" s="2" t="s">
        <v>2516</v>
      </c>
      <c r="I4" s="6">
        <v>35076.608863939313</v>
      </c>
    </row>
    <row r="5" spans="1:9" x14ac:dyDescent="0.3">
      <c r="A5" s="2" t="s">
        <v>2516</v>
      </c>
      <c r="B5" s="6">
        <v>319.81880000000001</v>
      </c>
      <c r="C5" s="6">
        <v>568.61559999999997</v>
      </c>
      <c r="D5" s="6">
        <v>25246.816399999996</v>
      </c>
      <c r="E5" s="6">
        <v>5523.9787999999999</v>
      </c>
      <c r="F5" s="6">
        <v>31659.229599999995</v>
      </c>
      <c r="H5" s="2" t="s">
        <v>112</v>
      </c>
      <c r="I5" s="6">
        <v>24772.819137618892</v>
      </c>
    </row>
    <row r="6" spans="1:9" x14ac:dyDescent="0.3">
      <c r="A6" s="2" t="s">
        <v>112</v>
      </c>
      <c r="B6" s="6">
        <v>9.8140000000000001</v>
      </c>
      <c r="C6" s="6">
        <v>546.09080000000006</v>
      </c>
      <c r="D6" s="6">
        <v>19465.539999999997</v>
      </c>
      <c r="E6" s="6"/>
      <c r="F6" s="6">
        <v>20021.444799999997</v>
      </c>
      <c r="H6" s="2" t="s">
        <v>58</v>
      </c>
      <c r="I6" s="6">
        <v>6262.4152774691493</v>
      </c>
    </row>
    <row r="7" spans="1:9" x14ac:dyDescent="0.3">
      <c r="A7" s="2" t="s">
        <v>58</v>
      </c>
      <c r="B7" s="6">
        <v>197.1644</v>
      </c>
      <c r="C7" s="6"/>
      <c r="D7" s="6">
        <v>5934.5612000000001</v>
      </c>
      <c r="E7" s="6"/>
      <c r="F7" s="6">
        <v>6131.7255999999998</v>
      </c>
      <c r="H7" s="2" t="s">
        <v>873</v>
      </c>
      <c r="I7" s="6">
        <v>4601.1174377994066</v>
      </c>
    </row>
    <row r="8" spans="1:9" x14ac:dyDescent="0.3">
      <c r="A8" s="2" t="s">
        <v>873</v>
      </c>
      <c r="B8" s="6"/>
      <c r="C8" s="6"/>
      <c r="D8" s="6">
        <v>3925.1548000000003</v>
      </c>
      <c r="E8" s="6">
        <v>133.42599999999999</v>
      </c>
      <c r="F8" s="6">
        <v>4058.5808000000002</v>
      </c>
      <c r="H8" s="2" t="s">
        <v>90</v>
      </c>
      <c r="I8" s="6">
        <v>81930.823572136127</v>
      </c>
    </row>
    <row r="9" spans="1:9" x14ac:dyDescent="0.3">
      <c r="A9" s="2" t="s">
        <v>90</v>
      </c>
      <c r="B9" s="6">
        <v>5689.9600000000009</v>
      </c>
      <c r="C9" s="6">
        <v>7936.6828000000014</v>
      </c>
      <c r="D9" s="6">
        <v>41164.752</v>
      </c>
      <c r="E9" s="6"/>
      <c r="F9" s="6">
        <v>54791.394800000002</v>
      </c>
      <c r="H9" s="2" t="s">
        <v>27</v>
      </c>
      <c r="I9" s="6">
        <v>333901.85763274104</v>
      </c>
    </row>
    <row r="10" spans="1:9" x14ac:dyDescent="0.3">
      <c r="A10" s="2" t="s">
        <v>27</v>
      </c>
      <c r="B10" s="6">
        <v>851.95839999999998</v>
      </c>
      <c r="C10" s="6">
        <v>35466.576800000003</v>
      </c>
      <c r="D10" s="6">
        <v>158172.57760000005</v>
      </c>
      <c r="E10" s="6">
        <v>23557.191999999999</v>
      </c>
      <c r="F10" s="6">
        <v>218048.30480000007</v>
      </c>
      <c r="H10" s="2" t="s">
        <v>616</v>
      </c>
      <c r="I10" s="6">
        <v>11690.870115724279</v>
      </c>
    </row>
    <row r="11" spans="1:9" x14ac:dyDescent="0.3">
      <c r="A11" s="2" t="s">
        <v>616</v>
      </c>
      <c r="B11" s="6"/>
      <c r="C11" s="6">
        <v>3217.1219999999998</v>
      </c>
      <c r="D11" s="6"/>
      <c r="E11" s="6">
        <v>641.178</v>
      </c>
      <c r="F11" s="6">
        <v>3858.2999999999997</v>
      </c>
      <c r="H11" s="2" t="s">
        <v>154</v>
      </c>
      <c r="I11" s="6">
        <v>249353.69273244843</v>
      </c>
    </row>
    <row r="12" spans="1:9" x14ac:dyDescent="0.3">
      <c r="A12" s="2" t="s">
        <v>154</v>
      </c>
      <c r="B12" s="6"/>
      <c r="C12" s="6"/>
      <c r="D12" s="6">
        <v>243964.60119999998</v>
      </c>
      <c r="E12" s="6"/>
      <c r="F12" s="6">
        <v>243964.60119999998</v>
      </c>
      <c r="H12" s="2" t="s">
        <v>44</v>
      </c>
      <c r="I12" s="6">
        <v>392655.26453696343</v>
      </c>
    </row>
    <row r="13" spans="1:9" x14ac:dyDescent="0.3">
      <c r="A13" s="2" t="s">
        <v>44</v>
      </c>
      <c r="B13" s="6">
        <v>773.35760000000005</v>
      </c>
      <c r="C13" s="6">
        <v>20618.3652</v>
      </c>
      <c r="D13" s="6">
        <v>302264.21840000013</v>
      </c>
      <c r="E13" s="6">
        <v>576.26440000000002</v>
      </c>
      <c r="F13" s="6">
        <v>324232.2056000001</v>
      </c>
      <c r="H13" s="2" t="s">
        <v>81</v>
      </c>
      <c r="I13" s="6">
        <v>78208.153830995987</v>
      </c>
    </row>
    <row r="14" spans="1:9" x14ac:dyDescent="0.3">
      <c r="A14" s="2" t="s">
        <v>81</v>
      </c>
      <c r="B14" s="6">
        <v>1332.9859999999999</v>
      </c>
      <c r="C14" s="6">
        <v>1695.7744</v>
      </c>
      <c r="D14" s="6">
        <v>71163.727200000023</v>
      </c>
      <c r="E14" s="6"/>
      <c r="F14" s="6">
        <v>74192.487600000022</v>
      </c>
      <c r="H14" s="2" t="s">
        <v>2787</v>
      </c>
      <c r="I14" s="6">
        <v>1218453.6231378361</v>
      </c>
    </row>
    <row r="15" spans="1:9" x14ac:dyDescent="0.3">
      <c r="A15" s="2" t="s">
        <v>2787</v>
      </c>
      <c r="B15" s="6">
        <v>9175.0592000000015</v>
      </c>
      <c r="C15" s="6">
        <v>70049.227599999998</v>
      </c>
      <c r="D15" s="6">
        <v>871301.94880000013</v>
      </c>
      <c r="E15" s="6">
        <v>30432.039199999999</v>
      </c>
      <c r="F15" s="6">
        <v>980958.27480000013</v>
      </c>
    </row>
    <row r="19" spans="1:8" x14ac:dyDescent="0.3">
      <c r="A19" t="s">
        <v>2789</v>
      </c>
      <c r="B19" t="s">
        <v>2804</v>
      </c>
    </row>
    <row r="20" spans="1:8" x14ac:dyDescent="0.3">
      <c r="A20" t="s">
        <v>2786</v>
      </c>
      <c r="B20" t="s">
        <v>106</v>
      </c>
      <c r="C20" t="s">
        <v>51</v>
      </c>
      <c r="D20" t="s">
        <v>38</v>
      </c>
      <c r="E20" t="s">
        <v>2766</v>
      </c>
      <c r="F20" t="s">
        <v>76</v>
      </c>
      <c r="G20" t="s">
        <v>2787</v>
      </c>
      <c r="H20" t="s">
        <v>2805</v>
      </c>
    </row>
    <row r="21" spans="1:8" x14ac:dyDescent="0.3">
      <c r="A21" t="s">
        <v>2516</v>
      </c>
      <c r="B21">
        <v>278.35239999999999</v>
      </c>
      <c r="C21">
        <v>463.14600000000002</v>
      </c>
      <c r="D21">
        <v>25393.752399999998</v>
      </c>
      <c r="F21">
        <v>5523.9787999999999</v>
      </c>
      <c r="G21">
        <f>SUM(B21:F21)</f>
        <v>31659.229599999999</v>
      </c>
      <c r="H21">
        <f>G21/$G$31*100</f>
        <v>3.246022671083225</v>
      </c>
    </row>
    <row r="22" spans="1:8" x14ac:dyDescent="0.3">
      <c r="A22" t="s">
        <v>112</v>
      </c>
      <c r="B22">
        <v>9.8140000000000001</v>
      </c>
      <c r="C22">
        <v>546.09080000000006</v>
      </c>
      <c r="D22">
        <v>19465.539999999997</v>
      </c>
      <c r="G22">
        <f t="shared" ref="G22:G31" si="0">SUM(B22:F22)</f>
        <v>20021.444799999997</v>
      </c>
      <c r="H22">
        <f t="shared" ref="H22:H31" si="1">G22/$G$31*100</f>
        <v>2.0527999117401561</v>
      </c>
    </row>
    <row r="23" spans="1:8" x14ac:dyDescent="0.3">
      <c r="A23" t="s">
        <v>58</v>
      </c>
      <c r="B23">
        <v>2.3647999999999998</v>
      </c>
      <c r="D23">
        <v>6129.3608000000004</v>
      </c>
      <c r="G23">
        <f t="shared" si="0"/>
        <v>6131.7256000000007</v>
      </c>
      <c r="H23">
        <f t="shared" si="1"/>
        <v>0.62868618604861415</v>
      </c>
    </row>
    <row r="24" spans="1:8" x14ac:dyDescent="0.3">
      <c r="A24" t="s">
        <v>873</v>
      </c>
      <c r="D24">
        <v>3925.1548000000003</v>
      </c>
      <c r="F24">
        <v>133.42599999999999</v>
      </c>
      <c r="G24">
        <f t="shared" si="0"/>
        <v>4058.5808000000002</v>
      </c>
      <c r="H24">
        <f t="shared" si="1"/>
        <v>0.41612652789324645</v>
      </c>
    </row>
    <row r="25" spans="1:8" x14ac:dyDescent="0.3">
      <c r="A25" t="s">
        <v>90</v>
      </c>
      <c r="B25">
        <v>4992.7503999999999</v>
      </c>
      <c r="C25">
        <v>6901.6820000000007</v>
      </c>
      <c r="D25">
        <v>42298.928</v>
      </c>
      <c r="F25">
        <v>41.831200000000003</v>
      </c>
      <c r="G25">
        <f t="shared" si="0"/>
        <v>54235.191600000006</v>
      </c>
      <c r="H25">
        <f t="shared" si="1"/>
        <v>5.560737381434655</v>
      </c>
    </row>
    <row r="26" spans="1:8" x14ac:dyDescent="0.3">
      <c r="A26" t="s">
        <v>27</v>
      </c>
      <c r="B26">
        <v>851.95839999999998</v>
      </c>
      <c r="C26">
        <v>35466.576800000003</v>
      </c>
      <c r="D26">
        <v>158172.57760000005</v>
      </c>
      <c r="F26">
        <v>23557.191999999999</v>
      </c>
      <c r="G26">
        <f t="shared" si="0"/>
        <v>218048.30480000007</v>
      </c>
      <c r="H26">
        <f t="shared" si="1"/>
        <v>22.356505502966044</v>
      </c>
    </row>
    <row r="27" spans="1:8" x14ac:dyDescent="0.3">
      <c r="A27" t="s">
        <v>616</v>
      </c>
      <c r="C27">
        <v>3217.1219999999998</v>
      </c>
      <c r="F27">
        <v>641.178</v>
      </c>
      <c r="G27">
        <f t="shared" si="0"/>
        <v>3858.2999999999997</v>
      </c>
      <c r="H27">
        <f t="shared" si="1"/>
        <v>0.39559172570138623</v>
      </c>
    </row>
    <row r="28" spans="1:8" x14ac:dyDescent="0.3">
      <c r="A28" t="s">
        <v>154</v>
      </c>
      <c r="D28">
        <v>243964.60119999998</v>
      </c>
      <c r="G28">
        <f t="shared" si="0"/>
        <v>243964.60119999998</v>
      </c>
      <c r="H28">
        <f t="shared" si="1"/>
        <v>25.013704895616844</v>
      </c>
    </row>
    <row r="29" spans="1:8" x14ac:dyDescent="0.3">
      <c r="A29" t="s">
        <v>44</v>
      </c>
      <c r="B29">
        <v>773.35760000000005</v>
      </c>
      <c r="C29">
        <v>5724.4740000000002</v>
      </c>
      <c r="D29">
        <v>308897.44920000015</v>
      </c>
      <c r="F29">
        <v>3758.5896000000002</v>
      </c>
      <c r="G29">
        <f t="shared" si="0"/>
        <v>319153.87040000013</v>
      </c>
      <c r="H29">
        <f t="shared" si="1"/>
        <v>32.722865084574195</v>
      </c>
    </row>
    <row r="30" spans="1:8" x14ac:dyDescent="0.3">
      <c r="A30" t="s">
        <v>81</v>
      </c>
      <c r="B30">
        <v>419.83240000000001</v>
      </c>
      <c r="C30">
        <v>1369.2056</v>
      </c>
      <c r="D30">
        <v>72403.449600000022</v>
      </c>
      <c r="G30">
        <f t="shared" si="0"/>
        <v>74192.487600000022</v>
      </c>
      <c r="H30">
        <f t="shared" si="1"/>
        <v>7.6069601129416338</v>
      </c>
    </row>
    <row r="31" spans="1:8" x14ac:dyDescent="0.3">
      <c r="A31" t="s">
        <v>2787</v>
      </c>
      <c r="B31">
        <v>7328.43</v>
      </c>
      <c r="C31">
        <v>53688.297200000008</v>
      </c>
      <c r="D31">
        <v>880650.81360000023</v>
      </c>
      <c r="F31">
        <v>33656.195599999999</v>
      </c>
      <c r="G31">
        <f t="shared" si="0"/>
        <v>975323.73640000017</v>
      </c>
      <c r="H31">
        <f t="shared" si="1"/>
        <v>100</v>
      </c>
    </row>
    <row r="33" spans="1:3" x14ac:dyDescent="0.3">
      <c r="A33" t="s">
        <v>2874</v>
      </c>
      <c r="B33" t="s">
        <v>2875</v>
      </c>
      <c r="C33" t="s">
        <v>2876</v>
      </c>
    </row>
    <row r="34" spans="1:3" x14ac:dyDescent="0.3">
      <c r="A34">
        <v>1264180.1715999988</v>
      </c>
      <c r="B34">
        <v>980945.0159999996</v>
      </c>
      <c r="C34">
        <f>B34/A34*100</f>
        <v>77.595348988781794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E3316-51DF-4613-BD63-D13884399566}">
  <dimension ref="A1:U464"/>
  <sheetViews>
    <sheetView workbookViewId="0">
      <selection sqref="A1:W464"/>
    </sheetView>
  </sheetViews>
  <sheetFormatPr defaultRowHeight="14.4" x14ac:dyDescent="0.3"/>
  <sheetData>
    <row r="1" spans="1:21" x14ac:dyDescent="0.3">
      <c r="B1" t="s">
        <v>2806</v>
      </c>
      <c r="C1" t="s">
        <v>2807</v>
      </c>
      <c r="D1" t="s">
        <v>2808</v>
      </c>
      <c r="E1" t="s">
        <v>2809</v>
      </c>
      <c r="F1" t="s">
        <v>2810</v>
      </c>
      <c r="G1" t="s">
        <v>2811</v>
      </c>
      <c r="H1" t="s">
        <v>2812</v>
      </c>
      <c r="I1" t="s">
        <v>2813</v>
      </c>
      <c r="J1" t="s">
        <v>2814</v>
      </c>
      <c r="K1" t="s">
        <v>2815</v>
      </c>
      <c r="L1" t="s">
        <v>2816</v>
      </c>
      <c r="M1" t="s">
        <v>2817</v>
      </c>
      <c r="N1" t="s">
        <v>21</v>
      </c>
      <c r="O1" t="s">
        <v>2818</v>
      </c>
      <c r="P1" t="s">
        <v>2819</v>
      </c>
      <c r="Q1" t="s">
        <v>2820</v>
      </c>
      <c r="R1" t="s">
        <v>2821</v>
      </c>
      <c r="S1" t="s">
        <v>2822</v>
      </c>
      <c r="T1" t="s">
        <v>2823</v>
      </c>
      <c r="U1" t="s">
        <v>2824</v>
      </c>
    </row>
    <row r="2" spans="1:21" x14ac:dyDescent="0.3">
      <c r="A2">
        <v>1</v>
      </c>
      <c r="B2" t="s">
        <v>2760</v>
      </c>
      <c r="C2" t="s">
        <v>38</v>
      </c>
      <c r="D2">
        <v>0</v>
      </c>
      <c r="E2" t="s">
        <v>38</v>
      </c>
      <c r="F2">
        <v>0</v>
      </c>
      <c r="G2" t="s">
        <v>38</v>
      </c>
      <c r="H2" t="s">
        <v>38</v>
      </c>
      <c r="I2">
        <v>0</v>
      </c>
      <c r="J2" t="s">
        <v>38</v>
      </c>
      <c r="K2">
        <v>0</v>
      </c>
      <c r="L2">
        <v>2.8185635480418299E-2</v>
      </c>
      <c r="M2" t="s">
        <v>38</v>
      </c>
      <c r="O2" t="s">
        <v>2825</v>
      </c>
      <c r="P2">
        <v>14.6008</v>
      </c>
      <c r="Q2">
        <v>14.5748</v>
      </c>
      <c r="R2">
        <v>0.998219275656128</v>
      </c>
      <c r="S2">
        <v>2.5708174513945099E-3</v>
      </c>
      <c r="T2">
        <v>0</v>
      </c>
      <c r="U2" t="s">
        <v>2826</v>
      </c>
    </row>
    <row r="3" spans="1:21" x14ac:dyDescent="0.3">
      <c r="A3">
        <v>2</v>
      </c>
      <c r="B3" t="s">
        <v>2514</v>
      </c>
      <c r="C3" t="s">
        <v>38</v>
      </c>
      <c r="D3">
        <v>5</v>
      </c>
      <c r="E3" t="s">
        <v>38</v>
      </c>
      <c r="F3">
        <v>2</v>
      </c>
      <c r="G3" t="s">
        <v>38</v>
      </c>
      <c r="H3" t="s">
        <v>38</v>
      </c>
      <c r="I3">
        <v>0</v>
      </c>
      <c r="J3" t="s">
        <v>38</v>
      </c>
      <c r="K3">
        <v>0</v>
      </c>
      <c r="L3">
        <v>1.9255425605103502E-2</v>
      </c>
      <c r="M3" t="s">
        <v>38</v>
      </c>
      <c r="O3" t="s">
        <v>2825</v>
      </c>
      <c r="P3">
        <v>53.769199999999998</v>
      </c>
      <c r="Q3">
        <v>51.1648</v>
      </c>
      <c r="R3">
        <v>0.95156334853410496</v>
      </c>
      <c r="S3">
        <v>3.0602390518435999E-2</v>
      </c>
      <c r="T3">
        <v>2</v>
      </c>
      <c r="U3" t="s">
        <v>2826</v>
      </c>
    </row>
    <row r="4" spans="1:21" x14ac:dyDescent="0.3">
      <c r="A4">
        <v>3</v>
      </c>
      <c r="B4" t="s">
        <v>2520</v>
      </c>
      <c r="C4" t="s">
        <v>38</v>
      </c>
      <c r="D4">
        <v>21</v>
      </c>
      <c r="E4" t="s">
        <v>38</v>
      </c>
      <c r="F4">
        <v>5</v>
      </c>
      <c r="G4" t="s">
        <v>38</v>
      </c>
      <c r="H4" t="s">
        <v>38</v>
      </c>
      <c r="I4">
        <v>0.1</v>
      </c>
      <c r="J4" t="s">
        <v>38</v>
      </c>
      <c r="K4">
        <v>3</v>
      </c>
      <c r="L4">
        <v>8.2557131463050895E-2</v>
      </c>
      <c r="M4" t="s">
        <v>38</v>
      </c>
      <c r="O4" t="s">
        <v>2825</v>
      </c>
      <c r="P4">
        <v>729.20280000000002</v>
      </c>
      <c r="Q4">
        <v>576.74</v>
      </c>
      <c r="R4">
        <v>0.79091852088335401</v>
      </c>
      <c r="S4">
        <v>0.104223443061363</v>
      </c>
      <c r="T4">
        <v>5</v>
      </c>
      <c r="U4" t="s">
        <v>2826</v>
      </c>
    </row>
    <row r="5" spans="1:21" x14ac:dyDescent="0.3">
      <c r="A5">
        <v>4</v>
      </c>
      <c r="B5" t="s">
        <v>2524</v>
      </c>
      <c r="C5" t="s">
        <v>38</v>
      </c>
      <c r="D5">
        <v>12</v>
      </c>
      <c r="E5" t="s">
        <v>38</v>
      </c>
      <c r="F5">
        <v>3</v>
      </c>
      <c r="G5" t="s">
        <v>38</v>
      </c>
      <c r="H5" t="s">
        <v>38</v>
      </c>
      <c r="I5">
        <v>0.1</v>
      </c>
      <c r="J5" t="s">
        <v>38</v>
      </c>
      <c r="K5">
        <v>16</v>
      </c>
      <c r="L5">
        <v>7.9381051934918206E-2</v>
      </c>
      <c r="M5" t="s">
        <v>38</v>
      </c>
      <c r="O5" t="s">
        <v>2825</v>
      </c>
      <c r="P5">
        <v>1175.6312</v>
      </c>
      <c r="Q5">
        <v>1034.7103999999999</v>
      </c>
      <c r="R5">
        <v>0.88013179643411998</v>
      </c>
      <c r="S5">
        <v>5.44672084756802E-2</v>
      </c>
      <c r="T5">
        <v>3</v>
      </c>
      <c r="U5" t="s">
        <v>2826</v>
      </c>
    </row>
    <row r="6" spans="1:21" x14ac:dyDescent="0.3">
      <c r="A6">
        <v>5</v>
      </c>
      <c r="B6" t="s">
        <v>2528</v>
      </c>
      <c r="C6" t="s">
        <v>38</v>
      </c>
      <c r="D6">
        <v>1</v>
      </c>
      <c r="E6" t="s">
        <v>38</v>
      </c>
      <c r="F6">
        <v>1</v>
      </c>
      <c r="G6" t="s">
        <v>38</v>
      </c>
      <c r="H6" t="s">
        <v>38</v>
      </c>
      <c r="I6">
        <v>0</v>
      </c>
      <c r="J6" t="s">
        <v>38</v>
      </c>
      <c r="K6">
        <v>19</v>
      </c>
      <c r="L6">
        <v>1.5070636782057801E-2</v>
      </c>
      <c r="M6" t="s">
        <v>38</v>
      </c>
      <c r="O6" t="s">
        <v>2825</v>
      </c>
      <c r="P6">
        <v>1077.8671999999999</v>
      </c>
      <c r="Q6">
        <v>1061.8263999999999</v>
      </c>
      <c r="R6">
        <v>0.98511801824937295</v>
      </c>
      <c r="S6">
        <v>1.30080257737102E-2</v>
      </c>
      <c r="T6">
        <v>1</v>
      </c>
      <c r="U6" t="s">
        <v>2826</v>
      </c>
    </row>
    <row r="7" spans="1:21" x14ac:dyDescent="0.3">
      <c r="A7">
        <v>6</v>
      </c>
      <c r="B7" t="s">
        <v>2532</v>
      </c>
      <c r="C7" t="s">
        <v>38</v>
      </c>
      <c r="D7">
        <v>48</v>
      </c>
      <c r="E7" t="s">
        <v>38</v>
      </c>
      <c r="F7">
        <v>16</v>
      </c>
      <c r="G7" t="s">
        <v>38</v>
      </c>
      <c r="H7" t="s">
        <v>38</v>
      </c>
      <c r="I7">
        <v>0.3</v>
      </c>
      <c r="J7" t="s">
        <v>38</v>
      </c>
      <c r="K7">
        <v>17</v>
      </c>
      <c r="L7">
        <v>5.2255819534437302E-2</v>
      </c>
      <c r="M7" t="s">
        <v>38</v>
      </c>
      <c r="O7" t="s">
        <v>2827</v>
      </c>
      <c r="P7">
        <v>35.516399999999997</v>
      </c>
      <c r="Q7">
        <v>20.0016</v>
      </c>
      <c r="R7">
        <v>0.56316518566070894</v>
      </c>
      <c r="S7">
        <v>0.31123390654542199</v>
      </c>
      <c r="T7">
        <v>16</v>
      </c>
      <c r="U7" t="s">
        <v>2826</v>
      </c>
    </row>
    <row r="8" spans="1:21" x14ac:dyDescent="0.3">
      <c r="A8">
        <v>7</v>
      </c>
      <c r="B8" t="s">
        <v>2537</v>
      </c>
      <c r="C8" t="s">
        <v>38</v>
      </c>
      <c r="D8">
        <v>20</v>
      </c>
      <c r="E8" t="s">
        <v>38</v>
      </c>
      <c r="F8">
        <v>5</v>
      </c>
      <c r="G8" t="s">
        <v>38</v>
      </c>
      <c r="H8" t="s">
        <v>38</v>
      </c>
      <c r="I8">
        <v>0.1</v>
      </c>
      <c r="J8" t="s">
        <v>38</v>
      </c>
      <c r="K8">
        <v>0</v>
      </c>
      <c r="L8">
        <v>0.14204805698081899</v>
      </c>
      <c r="M8" t="s">
        <v>38</v>
      </c>
      <c r="O8" t="s">
        <v>2825</v>
      </c>
      <c r="P8">
        <v>386.30680000000001</v>
      </c>
      <c r="Q8">
        <v>310.89760000000001</v>
      </c>
      <c r="R8">
        <v>0.80479453118609401</v>
      </c>
      <c r="S8">
        <v>9.9536474779369694E-2</v>
      </c>
      <c r="T8">
        <v>5</v>
      </c>
      <c r="U8" t="s">
        <v>2826</v>
      </c>
    </row>
    <row r="9" spans="1:21" x14ac:dyDescent="0.3">
      <c r="A9">
        <v>8</v>
      </c>
      <c r="B9" t="s">
        <v>2541</v>
      </c>
      <c r="C9" t="s">
        <v>76</v>
      </c>
      <c r="D9">
        <v>57</v>
      </c>
      <c r="E9" t="s">
        <v>38</v>
      </c>
      <c r="F9">
        <v>24</v>
      </c>
      <c r="G9" t="s">
        <v>106</v>
      </c>
      <c r="H9" t="s">
        <v>51</v>
      </c>
      <c r="I9">
        <v>0.5</v>
      </c>
      <c r="J9" t="s">
        <v>38</v>
      </c>
      <c r="K9">
        <v>5</v>
      </c>
      <c r="L9">
        <v>9.9167936551915206E-2</v>
      </c>
      <c r="M9" t="s">
        <v>106</v>
      </c>
      <c r="N9" t="s">
        <v>53</v>
      </c>
      <c r="O9" t="s">
        <v>2828</v>
      </c>
      <c r="P9">
        <v>215.488</v>
      </c>
      <c r="Q9">
        <v>92.396799999999999</v>
      </c>
      <c r="R9">
        <v>0.42877932877932901</v>
      </c>
      <c r="S9">
        <v>0.48852878441455999</v>
      </c>
      <c r="T9">
        <v>24</v>
      </c>
      <c r="U9" t="s">
        <v>2826</v>
      </c>
    </row>
    <row r="10" spans="1:21" x14ac:dyDescent="0.3">
      <c r="A10">
        <v>9</v>
      </c>
      <c r="B10" t="s">
        <v>2545</v>
      </c>
      <c r="C10" t="s">
        <v>38</v>
      </c>
      <c r="D10">
        <v>14</v>
      </c>
      <c r="E10" t="s">
        <v>38</v>
      </c>
      <c r="F10">
        <v>2</v>
      </c>
      <c r="G10" t="s">
        <v>38</v>
      </c>
      <c r="H10" t="s">
        <v>38</v>
      </c>
      <c r="I10">
        <v>0</v>
      </c>
      <c r="J10" t="s">
        <v>38</v>
      </c>
      <c r="K10">
        <v>0</v>
      </c>
      <c r="L10" s="18">
        <v>4.4729453898097403E-5</v>
      </c>
      <c r="M10" t="s">
        <v>38</v>
      </c>
      <c r="O10" t="s">
        <v>2825</v>
      </c>
      <c r="P10">
        <v>311.19279999999998</v>
      </c>
      <c r="Q10">
        <v>268.27960000000002</v>
      </c>
      <c r="R10">
        <v>0.86210092264345495</v>
      </c>
      <c r="S10">
        <v>4.8371985661524598E-2</v>
      </c>
      <c r="T10">
        <v>2</v>
      </c>
      <c r="U10" t="s">
        <v>2826</v>
      </c>
    </row>
    <row r="11" spans="1:21" x14ac:dyDescent="0.3">
      <c r="A11">
        <v>10</v>
      </c>
      <c r="B11" t="s">
        <v>2549</v>
      </c>
      <c r="C11" t="s">
        <v>38</v>
      </c>
      <c r="D11">
        <v>13</v>
      </c>
      <c r="E11" t="s">
        <v>38</v>
      </c>
      <c r="F11">
        <v>2</v>
      </c>
      <c r="G11" t="s">
        <v>38</v>
      </c>
      <c r="H11" t="s">
        <v>38</v>
      </c>
      <c r="I11">
        <v>0</v>
      </c>
      <c r="J11" t="s">
        <v>38</v>
      </c>
      <c r="K11">
        <v>0</v>
      </c>
      <c r="L11">
        <v>4.72955371389826E-3</v>
      </c>
      <c r="M11" t="s">
        <v>38</v>
      </c>
      <c r="O11" t="s">
        <v>2825</v>
      </c>
      <c r="P11">
        <v>2976.1347999999998</v>
      </c>
      <c r="Q11">
        <v>2598.0464000000002</v>
      </c>
      <c r="R11">
        <v>0.87295992103583497</v>
      </c>
      <c r="S11">
        <v>4.00021369937631E-2</v>
      </c>
      <c r="T11">
        <v>2</v>
      </c>
      <c r="U11" t="s">
        <v>2826</v>
      </c>
    </row>
    <row r="12" spans="1:21" x14ac:dyDescent="0.3">
      <c r="A12">
        <v>11</v>
      </c>
      <c r="B12" t="s">
        <v>2553</v>
      </c>
      <c r="C12" t="s">
        <v>38</v>
      </c>
      <c r="D12">
        <v>1</v>
      </c>
      <c r="E12" t="s">
        <v>38</v>
      </c>
      <c r="F12">
        <v>1</v>
      </c>
      <c r="G12" t="s">
        <v>38</v>
      </c>
      <c r="H12" t="s">
        <v>38</v>
      </c>
      <c r="I12">
        <v>0</v>
      </c>
      <c r="J12" t="s">
        <v>38</v>
      </c>
      <c r="K12">
        <v>0</v>
      </c>
      <c r="L12">
        <v>2.3013242238696299E-3</v>
      </c>
      <c r="M12" t="s">
        <v>38</v>
      </c>
      <c r="O12" t="s">
        <v>2825</v>
      </c>
      <c r="P12">
        <v>2128.9656</v>
      </c>
      <c r="Q12">
        <v>2109.2204000000002</v>
      </c>
      <c r="R12">
        <v>0.99072544901617998</v>
      </c>
      <c r="S12">
        <v>1.1282613822186901E-2</v>
      </c>
      <c r="T12">
        <v>1</v>
      </c>
      <c r="U12" t="s">
        <v>2826</v>
      </c>
    </row>
    <row r="13" spans="1:21" x14ac:dyDescent="0.3">
      <c r="A13">
        <v>12</v>
      </c>
      <c r="B13" t="s">
        <v>2558</v>
      </c>
      <c r="C13" t="s">
        <v>38</v>
      </c>
      <c r="D13">
        <v>25</v>
      </c>
      <c r="E13" t="s">
        <v>38</v>
      </c>
      <c r="F13">
        <v>11</v>
      </c>
      <c r="G13" t="s">
        <v>38</v>
      </c>
      <c r="H13" t="s">
        <v>38</v>
      </c>
      <c r="I13">
        <v>0.2</v>
      </c>
      <c r="J13" t="s">
        <v>38</v>
      </c>
      <c r="K13">
        <v>0</v>
      </c>
      <c r="L13">
        <v>0.26400212103135201</v>
      </c>
      <c r="M13" t="s">
        <v>38</v>
      </c>
      <c r="O13" t="s">
        <v>2825</v>
      </c>
      <c r="P13">
        <v>40.482399999999998</v>
      </c>
      <c r="Q13">
        <v>30.173999999999999</v>
      </c>
      <c r="R13">
        <v>0.74536094697942801</v>
      </c>
      <c r="S13">
        <v>0.212253805664014</v>
      </c>
      <c r="T13">
        <v>11</v>
      </c>
      <c r="U13" t="s">
        <v>2826</v>
      </c>
    </row>
    <row r="14" spans="1:21" x14ac:dyDescent="0.3">
      <c r="A14">
        <v>13</v>
      </c>
      <c r="B14" t="s">
        <v>2562</v>
      </c>
      <c r="C14" t="s">
        <v>38</v>
      </c>
      <c r="D14">
        <v>1</v>
      </c>
      <c r="E14" t="s">
        <v>38</v>
      </c>
      <c r="F14">
        <v>0</v>
      </c>
      <c r="G14" t="s">
        <v>38</v>
      </c>
      <c r="H14" t="s">
        <v>38</v>
      </c>
      <c r="I14">
        <v>0</v>
      </c>
      <c r="J14" t="s">
        <v>38</v>
      </c>
      <c r="K14">
        <v>33</v>
      </c>
      <c r="L14">
        <v>5.3289846980989503E-3</v>
      </c>
      <c r="M14" t="s">
        <v>38</v>
      </c>
      <c r="O14" t="s">
        <v>2825</v>
      </c>
      <c r="P14">
        <v>1239.9792</v>
      </c>
      <c r="Q14">
        <v>1230.8535999999999</v>
      </c>
      <c r="R14">
        <v>0.99264052171197703</v>
      </c>
      <c r="S14">
        <v>9.1002183647370307E-3</v>
      </c>
      <c r="T14">
        <v>0</v>
      </c>
      <c r="U14" t="s">
        <v>2826</v>
      </c>
    </row>
    <row r="15" spans="1:21" x14ac:dyDescent="0.3">
      <c r="A15">
        <v>14</v>
      </c>
      <c r="B15" t="s">
        <v>2566</v>
      </c>
      <c r="C15" t="s">
        <v>38</v>
      </c>
      <c r="D15">
        <v>12</v>
      </c>
      <c r="E15" t="s">
        <v>38</v>
      </c>
      <c r="F15">
        <v>2</v>
      </c>
      <c r="G15" t="s">
        <v>38</v>
      </c>
      <c r="H15" t="s">
        <v>38</v>
      </c>
      <c r="I15">
        <v>0</v>
      </c>
      <c r="J15" t="s">
        <v>38</v>
      </c>
      <c r="K15">
        <v>19</v>
      </c>
      <c r="L15">
        <v>3.95511279056453E-2</v>
      </c>
      <c r="M15" t="s">
        <v>38</v>
      </c>
      <c r="O15" t="s">
        <v>2825</v>
      </c>
      <c r="P15">
        <v>1030.5103999999999</v>
      </c>
      <c r="Q15">
        <v>908.23199999999997</v>
      </c>
      <c r="R15">
        <v>0.88134190591380701</v>
      </c>
      <c r="S15">
        <v>4.0852478597408703E-2</v>
      </c>
      <c r="T15">
        <v>2</v>
      </c>
      <c r="U15" t="s">
        <v>2826</v>
      </c>
    </row>
    <row r="16" spans="1:21" x14ac:dyDescent="0.3">
      <c r="A16">
        <v>15</v>
      </c>
      <c r="B16" t="s">
        <v>2570</v>
      </c>
      <c r="C16" t="s">
        <v>38</v>
      </c>
      <c r="D16">
        <v>2</v>
      </c>
      <c r="E16" t="s">
        <v>38</v>
      </c>
      <c r="F16">
        <v>1</v>
      </c>
      <c r="G16" t="s">
        <v>38</v>
      </c>
      <c r="H16" t="s">
        <v>38</v>
      </c>
      <c r="I16">
        <v>0</v>
      </c>
      <c r="J16" t="s">
        <v>38</v>
      </c>
      <c r="K16">
        <v>43</v>
      </c>
      <c r="L16">
        <v>8.7597779328590605E-4</v>
      </c>
      <c r="M16" t="s">
        <v>38</v>
      </c>
      <c r="O16" t="s">
        <v>2825</v>
      </c>
      <c r="P16">
        <v>784.61400000000003</v>
      </c>
      <c r="Q16">
        <v>768.05600000000004</v>
      </c>
      <c r="R16">
        <v>0.97889662942542399</v>
      </c>
      <c r="S16">
        <v>1.4943380364326801E-2</v>
      </c>
      <c r="T16">
        <v>1</v>
      </c>
      <c r="U16" t="s">
        <v>2826</v>
      </c>
    </row>
    <row r="17" spans="1:21" x14ac:dyDescent="0.3">
      <c r="A17">
        <v>16</v>
      </c>
      <c r="B17" t="s">
        <v>2574</v>
      </c>
      <c r="C17" t="s">
        <v>38</v>
      </c>
      <c r="D17">
        <v>7</v>
      </c>
      <c r="E17" t="s">
        <v>38</v>
      </c>
      <c r="F17">
        <v>2</v>
      </c>
      <c r="G17" t="s">
        <v>38</v>
      </c>
      <c r="H17" t="s">
        <v>38</v>
      </c>
      <c r="I17">
        <v>0</v>
      </c>
      <c r="J17" t="s">
        <v>38</v>
      </c>
      <c r="K17">
        <v>12</v>
      </c>
      <c r="L17">
        <v>5.3859941125071501E-3</v>
      </c>
      <c r="M17" t="s">
        <v>38</v>
      </c>
      <c r="O17" t="s">
        <v>2825</v>
      </c>
      <c r="P17">
        <v>674.05840000000001</v>
      </c>
      <c r="Q17">
        <v>625.32560000000001</v>
      </c>
      <c r="R17">
        <v>0.92770240679442595</v>
      </c>
      <c r="S17">
        <v>4.1645523403068402E-2</v>
      </c>
      <c r="T17">
        <v>2</v>
      </c>
      <c r="U17" t="s">
        <v>2826</v>
      </c>
    </row>
    <row r="18" spans="1:21" x14ac:dyDescent="0.3">
      <c r="A18">
        <v>17</v>
      </c>
      <c r="B18" t="s">
        <v>2578</v>
      </c>
      <c r="C18" t="s">
        <v>38</v>
      </c>
      <c r="D18">
        <v>13</v>
      </c>
      <c r="E18" t="s">
        <v>38</v>
      </c>
      <c r="F18">
        <v>2</v>
      </c>
      <c r="G18" t="s">
        <v>38</v>
      </c>
      <c r="H18" t="s">
        <v>38</v>
      </c>
      <c r="I18">
        <v>0</v>
      </c>
      <c r="J18" t="s">
        <v>38</v>
      </c>
      <c r="K18">
        <v>2</v>
      </c>
      <c r="L18">
        <v>6.1045880987268999E-2</v>
      </c>
      <c r="M18" t="s">
        <v>38</v>
      </c>
      <c r="O18" t="s">
        <v>2825</v>
      </c>
      <c r="P18">
        <v>240.80160000000001</v>
      </c>
      <c r="Q18">
        <v>210.196</v>
      </c>
      <c r="R18">
        <v>0.87290117673636702</v>
      </c>
      <c r="S18">
        <v>3.01714714867523E-2</v>
      </c>
      <c r="T18">
        <v>2</v>
      </c>
      <c r="U18" t="s">
        <v>2826</v>
      </c>
    </row>
    <row r="19" spans="1:21" x14ac:dyDescent="0.3">
      <c r="A19">
        <v>18</v>
      </c>
      <c r="B19" t="s">
        <v>2582</v>
      </c>
      <c r="C19" t="s">
        <v>38</v>
      </c>
      <c r="D19">
        <v>4</v>
      </c>
      <c r="E19" t="s">
        <v>38</v>
      </c>
      <c r="F19">
        <v>2</v>
      </c>
      <c r="G19" t="s">
        <v>38</v>
      </c>
      <c r="H19" t="s">
        <v>38</v>
      </c>
      <c r="I19">
        <v>0</v>
      </c>
      <c r="J19" t="s">
        <v>38</v>
      </c>
      <c r="K19">
        <v>38</v>
      </c>
      <c r="L19">
        <v>7.7170048256202904E-3</v>
      </c>
      <c r="M19" t="s">
        <v>38</v>
      </c>
      <c r="O19" t="s">
        <v>2825</v>
      </c>
      <c r="P19">
        <v>3596.1840000000002</v>
      </c>
      <c r="Q19">
        <v>3450.6651999999999</v>
      </c>
      <c r="R19">
        <v>0.95953521844265999</v>
      </c>
      <c r="S19">
        <v>3.43389546128351E-2</v>
      </c>
      <c r="T19">
        <v>2</v>
      </c>
      <c r="U19" t="s">
        <v>2826</v>
      </c>
    </row>
    <row r="20" spans="1:21" x14ac:dyDescent="0.3">
      <c r="A20">
        <v>19</v>
      </c>
      <c r="B20" t="s">
        <v>2586</v>
      </c>
      <c r="C20" t="s">
        <v>38</v>
      </c>
      <c r="D20">
        <v>2</v>
      </c>
      <c r="E20" t="s">
        <v>38</v>
      </c>
      <c r="F20">
        <v>1</v>
      </c>
      <c r="G20" t="s">
        <v>38</v>
      </c>
      <c r="H20" t="s">
        <v>38</v>
      </c>
      <c r="I20">
        <v>0</v>
      </c>
      <c r="J20" t="s">
        <v>38</v>
      </c>
      <c r="K20">
        <v>25</v>
      </c>
      <c r="L20">
        <v>1.32542704532233E-3</v>
      </c>
      <c r="M20" t="s">
        <v>38</v>
      </c>
      <c r="O20" t="s">
        <v>2825</v>
      </c>
      <c r="P20">
        <v>491.80560000000003</v>
      </c>
      <c r="Q20">
        <v>484.07040000000001</v>
      </c>
      <c r="R20">
        <v>0.98427183423694198</v>
      </c>
      <c r="S20">
        <v>1.55782498341199E-2</v>
      </c>
      <c r="T20">
        <v>1</v>
      </c>
      <c r="U20" t="s">
        <v>2826</v>
      </c>
    </row>
    <row r="21" spans="1:21" x14ac:dyDescent="0.3">
      <c r="A21">
        <v>20</v>
      </c>
      <c r="B21" t="s">
        <v>2590</v>
      </c>
      <c r="C21" t="s">
        <v>38</v>
      </c>
      <c r="D21">
        <v>4</v>
      </c>
      <c r="E21" t="s">
        <v>38</v>
      </c>
      <c r="F21">
        <v>2</v>
      </c>
      <c r="G21" t="s">
        <v>38</v>
      </c>
      <c r="H21" t="s">
        <v>38</v>
      </c>
      <c r="I21">
        <v>0</v>
      </c>
      <c r="J21" t="s">
        <v>38</v>
      </c>
      <c r="K21">
        <v>7</v>
      </c>
      <c r="L21">
        <v>6.50939545010329E-3</v>
      </c>
      <c r="M21" t="s">
        <v>38</v>
      </c>
      <c r="O21" t="s">
        <v>2829</v>
      </c>
      <c r="P21">
        <v>167.52680000000001</v>
      </c>
      <c r="Q21">
        <v>161.67400000000001</v>
      </c>
      <c r="R21">
        <v>0.96506350028771504</v>
      </c>
      <c r="S21">
        <v>3.5384367952173701E-2</v>
      </c>
      <c r="T21">
        <v>2</v>
      </c>
      <c r="U21" t="s">
        <v>2826</v>
      </c>
    </row>
    <row r="22" spans="1:21" x14ac:dyDescent="0.3">
      <c r="A22">
        <v>21</v>
      </c>
      <c r="B22" t="s">
        <v>2594</v>
      </c>
      <c r="C22" t="s">
        <v>38</v>
      </c>
      <c r="D22">
        <v>39</v>
      </c>
      <c r="E22" t="s">
        <v>38</v>
      </c>
      <c r="F22">
        <v>9</v>
      </c>
      <c r="G22" t="s">
        <v>38</v>
      </c>
      <c r="H22" t="s">
        <v>38</v>
      </c>
      <c r="I22">
        <v>0.2</v>
      </c>
      <c r="J22" t="s">
        <v>38</v>
      </c>
      <c r="K22">
        <v>0</v>
      </c>
      <c r="L22">
        <v>3.5244688261929599E-2</v>
      </c>
      <c r="M22" t="s">
        <v>38</v>
      </c>
      <c r="O22" t="s">
        <v>2825</v>
      </c>
      <c r="P22">
        <v>30.147600000000001</v>
      </c>
      <c r="Q22">
        <v>18.374400000000001</v>
      </c>
      <c r="R22">
        <v>0.609481351749393</v>
      </c>
      <c r="S22">
        <v>0.18231622319707999</v>
      </c>
      <c r="T22">
        <v>9</v>
      </c>
      <c r="U22" t="s">
        <v>2826</v>
      </c>
    </row>
    <row r="23" spans="1:21" x14ac:dyDescent="0.3">
      <c r="A23">
        <v>22</v>
      </c>
      <c r="B23" t="s">
        <v>2598</v>
      </c>
      <c r="C23" t="s">
        <v>38</v>
      </c>
      <c r="D23">
        <v>37</v>
      </c>
      <c r="E23" t="s">
        <v>38</v>
      </c>
      <c r="F23">
        <v>18</v>
      </c>
      <c r="G23" t="s">
        <v>106</v>
      </c>
      <c r="H23" t="s">
        <v>51</v>
      </c>
      <c r="I23">
        <v>0.4</v>
      </c>
      <c r="J23" t="s">
        <v>38</v>
      </c>
      <c r="K23">
        <v>1</v>
      </c>
      <c r="L23">
        <v>0.29535955705473699</v>
      </c>
      <c r="M23" t="s">
        <v>106</v>
      </c>
      <c r="N23" t="s">
        <v>53</v>
      </c>
      <c r="O23" t="s">
        <v>2830</v>
      </c>
      <c r="P23">
        <v>51.4116</v>
      </c>
      <c r="Q23">
        <v>29.764399999999998</v>
      </c>
      <c r="R23">
        <v>0.57894327350247798</v>
      </c>
      <c r="S23">
        <v>0.35102055423670198</v>
      </c>
      <c r="T23">
        <v>18</v>
      </c>
      <c r="U23" t="s">
        <v>2826</v>
      </c>
    </row>
    <row r="24" spans="1:21" x14ac:dyDescent="0.3">
      <c r="A24">
        <v>23</v>
      </c>
      <c r="B24" t="s">
        <v>2602</v>
      </c>
      <c r="C24" t="s">
        <v>38</v>
      </c>
      <c r="D24">
        <v>37</v>
      </c>
      <c r="E24" t="s">
        <v>38</v>
      </c>
      <c r="F24">
        <v>21</v>
      </c>
      <c r="G24" t="s">
        <v>106</v>
      </c>
      <c r="H24" t="s">
        <v>51</v>
      </c>
      <c r="I24">
        <v>0.4</v>
      </c>
      <c r="J24" t="s">
        <v>38</v>
      </c>
      <c r="K24">
        <v>1</v>
      </c>
      <c r="L24">
        <v>9.9827376958969996E-2</v>
      </c>
      <c r="M24" t="s">
        <v>106</v>
      </c>
      <c r="N24" t="s">
        <v>53</v>
      </c>
      <c r="O24" t="s">
        <v>2830</v>
      </c>
      <c r="P24">
        <v>176.6464</v>
      </c>
      <c r="Q24">
        <v>106.1272</v>
      </c>
      <c r="R24">
        <v>0.60078892069127898</v>
      </c>
      <c r="S24">
        <v>0.41707219888824298</v>
      </c>
      <c r="T24">
        <v>21</v>
      </c>
      <c r="U24" t="s">
        <v>2826</v>
      </c>
    </row>
    <row r="25" spans="1:21" x14ac:dyDescent="0.3">
      <c r="A25">
        <v>24</v>
      </c>
      <c r="B25" t="s">
        <v>2607</v>
      </c>
      <c r="C25" t="s">
        <v>38</v>
      </c>
      <c r="D25">
        <v>34</v>
      </c>
      <c r="E25" t="s">
        <v>38</v>
      </c>
      <c r="F25">
        <v>10</v>
      </c>
      <c r="G25" t="s">
        <v>38</v>
      </c>
      <c r="H25" t="s">
        <v>38</v>
      </c>
      <c r="I25">
        <v>0.2</v>
      </c>
      <c r="J25" t="s">
        <v>38</v>
      </c>
      <c r="K25">
        <v>0</v>
      </c>
      <c r="L25">
        <v>7.7635092611464895E-2</v>
      </c>
      <c r="M25" t="s">
        <v>38</v>
      </c>
      <c r="O25" t="s">
        <v>2825</v>
      </c>
      <c r="P25">
        <v>1290.854</v>
      </c>
      <c r="Q25">
        <v>849.76520000000005</v>
      </c>
      <c r="R25">
        <v>0.65829691041744498</v>
      </c>
      <c r="S25">
        <v>0.204659056267714</v>
      </c>
      <c r="T25">
        <v>10</v>
      </c>
      <c r="U25" t="s">
        <v>2826</v>
      </c>
    </row>
    <row r="26" spans="1:21" x14ac:dyDescent="0.3">
      <c r="A26">
        <v>25</v>
      </c>
      <c r="B26" t="s">
        <v>2611</v>
      </c>
      <c r="C26" t="s">
        <v>38</v>
      </c>
      <c r="D26">
        <v>12</v>
      </c>
      <c r="E26" t="s">
        <v>38</v>
      </c>
      <c r="F26">
        <v>6</v>
      </c>
      <c r="G26" t="s">
        <v>38</v>
      </c>
      <c r="H26" t="s">
        <v>38</v>
      </c>
      <c r="I26">
        <v>0.1</v>
      </c>
      <c r="J26" t="s">
        <v>38</v>
      </c>
      <c r="K26">
        <v>0</v>
      </c>
      <c r="L26">
        <v>2.4447885558382201E-2</v>
      </c>
      <c r="M26" t="s">
        <v>38</v>
      </c>
      <c r="O26" t="s">
        <v>2825</v>
      </c>
      <c r="P26">
        <v>245.8596</v>
      </c>
      <c r="Q26">
        <v>216.98400000000001</v>
      </c>
      <c r="R26">
        <v>0.88255248117218099</v>
      </c>
      <c r="S26">
        <v>0.121611595871905</v>
      </c>
      <c r="T26">
        <v>6</v>
      </c>
      <c r="U26" t="s">
        <v>2826</v>
      </c>
    </row>
    <row r="27" spans="1:21" x14ac:dyDescent="0.3">
      <c r="A27">
        <v>26</v>
      </c>
      <c r="B27" t="s">
        <v>2616</v>
      </c>
      <c r="C27" t="s">
        <v>38</v>
      </c>
      <c r="D27">
        <v>18</v>
      </c>
      <c r="E27" t="s">
        <v>38</v>
      </c>
      <c r="F27">
        <v>12</v>
      </c>
      <c r="G27" t="s">
        <v>51</v>
      </c>
      <c r="H27" t="s">
        <v>76</v>
      </c>
      <c r="I27">
        <v>0.2</v>
      </c>
      <c r="J27" t="s">
        <v>38</v>
      </c>
      <c r="K27">
        <v>0</v>
      </c>
      <c r="L27">
        <v>0.155642110717679</v>
      </c>
      <c r="M27" t="s">
        <v>51</v>
      </c>
      <c r="N27" t="s">
        <v>108</v>
      </c>
      <c r="O27" t="s">
        <v>2831</v>
      </c>
      <c r="P27">
        <v>596.31719999999996</v>
      </c>
      <c r="Q27">
        <v>463.16</v>
      </c>
      <c r="R27">
        <v>0.77670072236722298</v>
      </c>
      <c r="S27">
        <v>0.24190462474493099</v>
      </c>
      <c r="T27">
        <v>12</v>
      </c>
      <c r="U27" t="s">
        <v>2826</v>
      </c>
    </row>
    <row r="28" spans="1:21" x14ac:dyDescent="0.3">
      <c r="A28">
        <v>27</v>
      </c>
      <c r="B28" t="s">
        <v>2620</v>
      </c>
      <c r="C28" t="s">
        <v>38</v>
      </c>
      <c r="D28">
        <v>32</v>
      </c>
      <c r="E28" t="s">
        <v>38</v>
      </c>
      <c r="F28">
        <v>9</v>
      </c>
      <c r="G28" t="s">
        <v>38</v>
      </c>
      <c r="H28" t="s">
        <v>38</v>
      </c>
      <c r="I28">
        <v>0.2</v>
      </c>
      <c r="J28" t="s">
        <v>38</v>
      </c>
      <c r="K28">
        <v>1</v>
      </c>
      <c r="L28">
        <v>8.0276871209088996E-2</v>
      </c>
      <c r="M28" t="s">
        <v>38</v>
      </c>
      <c r="O28" t="s">
        <v>2825</v>
      </c>
      <c r="P28">
        <v>307.52159999999998</v>
      </c>
      <c r="Q28">
        <v>207.8656</v>
      </c>
      <c r="R28">
        <v>0.675938210519196</v>
      </c>
      <c r="S28">
        <v>0.177893479870498</v>
      </c>
      <c r="T28">
        <v>9</v>
      </c>
      <c r="U28" t="s">
        <v>2826</v>
      </c>
    </row>
    <row r="29" spans="1:21" x14ac:dyDescent="0.3">
      <c r="A29">
        <v>28</v>
      </c>
      <c r="B29" t="s">
        <v>2624</v>
      </c>
      <c r="C29" t="s">
        <v>38</v>
      </c>
      <c r="D29">
        <v>14</v>
      </c>
      <c r="E29" t="s">
        <v>38</v>
      </c>
      <c r="F29">
        <v>8</v>
      </c>
      <c r="G29" t="s">
        <v>38</v>
      </c>
      <c r="H29" t="s">
        <v>38</v>
      </c>
      <c r="I29">
        <v>0.2</v>
      </c>
      <c r="J29" t="s">
        <v>38</v>
      </c>
      <c r="K29">
        <v>0</v>
      </c>
      <c r="L29">
        <v>2.70015310146452E-2</v>
      </c>
      <c r="M29" t="s">
        <v>38</v>
      </c>
      <c r="O29" t="s">
        <v>2825</v>
      </c>
      <c r="P29">
        <v>59.856400000000001</v>
      </c>
      <c r="Q29">
        <v>51.730400000000003</v>
      </c>
      <c r="R29">
        <v>0.86424175192627695</v>
      </c>
      <c r="S29">
        <v>0.16820398293862401</v>
      </c>
      <c r="T29">
        <v>8</v>
      </c>
      <c r="U29" t="s">
        <v>2826</v>
      </c>
    </row>
    <row r="30" spans="1:21" x14ac:dyDescent="0.3">
      <c r="A30">
        <v>29</v>
      </c>
      <c r="B30" t="s">
        <v>2628</v>
      </c>
      <c r="C30" t="s">
        <v>38</v>
      </c>
      <c r="D30">
        <v>6</v>
      </c>
      <c r="E30" t="s">
        <v>38</v>
      </c>
      <c r="F30">
        <v>3</v>
      </c>
      <c r="G30" t="s">
        <v>38</v>
      </c>
      <c r="H30" t="s">
        <v>38</v>
      </c>
      <c r="I30">
        <v>0.1</v>
      </c>
      <c r="J30" t="s">
        <v>38</v>
      </c>
      <c r="K30">
        <v>9</v>
      </c>
      <c r="L30">
        <v>3.96599714135259E-3</v>
      </c>
      <c r="M30" t="s">
        <v>38</v>
      </c>
      <c r="O30" t="s">
        <v>2829</v>
      </c>
      <c r="P30">
        <v>286.20319999999998</v>
      </c>
      <c r="Q30">
        <v>265.86</v>
      </c>
      <c r="R30">
        <v>0.92892043135786095</v>
      </c>
      <c r="S30">
        <v>5.6680695731303903E-2</v>
      </c>
      <c r="T30">
        <v>3</v>
      </c>
      <c r="U30" t="s">
        <v>2826</v>
      </c>
    </row>
    <row r="31" spans="1:21" x14ac:dyDescent="0.3">
      <c r="A31">
        <v>30</v>
      </c>
      <c r="B31" t="s">
        <v>2632</v>
      </c>
      <c r="C31" t="s">
        <v>51</v>
      </c>
      <c r="D31">
        <v>79</v>
      </c>
      <c r="E31" t="s">
        <v>76</v>
      </c>
      <c r="F31">
        <v>45</v>
      </c>
      <c r="G31" t="s">
        <v>106</v>
      </c>
      <c r="H31" t="s">
        <v>51</v>
      </c>
      <c r="I31">
        <v>0.9</v>
      </c>
      <c r="J31" t="s">
        <v>38</v>
      </c>
      <c r="K31">
        <v>3</v>
      </c>
      <c r="L31">
        <v>3.9560383968432603E-2</v>
      </c>
      <c r="M31" t="s">
        <v>106</v>
      </c>
      <c r="N31" t="s">
        <v>53</v>
      </c>
      <c r="O31" t="s">
        <v>2832</v>
      </c>
      <c r="P31">
        <v>163.45760000000001</v>
      </c>
      <c r="Q31">
        <v>63.255200000000002</v>
      </c>
      <c r="R31">
        <v>0.386982312232652</v>
      </c>
      <c r="S31">
        <v>0.89681043889154399</v>
      </c>
      <c r="T31">
        <v>45</v>
      </c>
      <c r="U31" t="s">
        <v>2826</v>
      </c>
    </row>
    <row r="32" spans="1:21" x14ac:dyDescent="0.3">
      <c r="A32">
        <v>31</v>
      </c>
      <c r="B32" t="s">
        <v>2637</v>
      </c>
      <c r="C32" t="s">
        <v>38</v>
      </c>
      <c r="D32">
        <v>38</v>
      </c>
      <c r="E32" t="s">
        <v>38</v>
      </c>
      <c r="F32">
        <v>7</v>
      </c>
      <c r="G32" t="s">
        <v>38</v>
      </c>
      <c r="H32" t="s">
        <v>38</v>
      </c>
      <c r="I32">
        <v>0.1</v>
      </c>
      <c r="J32" t="s">
        <v>38</v>
      </c>
      <c r="K32">
        <v>0</v>
      </c>
      <c r="L32">
        <v>2.3112031190185098E-2</v>
      </c>
      <c r="M32" t="s">
        <v>38</v>
      </c>
      <c r="O32" t="s">
        <v>2825</v>
      </c>
      <c r="P32">
        <v>697.02520000000004</v>
      </c>
      <c r="Q32">
        <v>430.49439999999998</v>
      </c>
      <c r="R32">
        <v>0.61761669448966805</v>
      </c>
      <c r="S32">
        <v>0.14522392370610801</v>
      </c>
      <c r="T32">
        <v>7</v>
      </c>
      <c r="U32" t="s">
        <v>2826</v>
      </c>
    </row>
    <row r="33" spans="1:21" x14ac:dyDescent="0.3">
      <c r="A33">
        <v>32</v>
      </c>
      <c r="B33" t="s">
        <v>2641</v>
      </c>
      <c r="C33" t="s">
        <v>38</v>
      </c>
      <c r="D33">
        <v>3</v>
      </c>
      <c r="E33" t="s">
        <v>38</v>
      </c>
      <c r="F33">
        <v>1</v>
      </c>
      <c r="G33" t="s">
        <v>38</v>
      </c>
      <c r="H33" t="s">
        <v>38</v>
      </c>
      <c r="I33">
        <v>0</v>
      </c>
      <c r="J33" t="s">
        <v>38</v>
      </c>
      <c r="K33">
        <v>0</v>
      </c>
      <c r="L33">
        <v>3.00687160730692E-4</v>
      </c>
      <c r="M33" t="s">
        <v>38</v>
      </c>
      <c r="O33" t="s">
        <v>2833</v>
      </c>
      <c r="P33">
        <v>571.85760000000005</v>
      </c>
      <c r="Q33">
        <v>552.06880000000001</v>
      </c>
      <c r="R33">
        <v>0.965395580997787</v>
      </c>
      <c r="S33">
        <v>2.9322283589749101E-2</v>
      </c>
      <c r="T33">
        <v>1</v>
      </c>
      <c r="U33" t="s">
        <v>2826</v>
      </c>
    </row>
    <row r="34" spans="1:21" x14ac:dyDescent="0.3">
      <c r="A34">
        <v>33</v>
      </c>
      <c r="B34" t="s">
        <v>2645</v>
      </c>
      <c r="C34" t="s">
        <v>38</v>
      </c>
      <c r="D34">
        <v>3</v>
      </c>
      <c r="E34" t="s">
        <v>38</v>
      </c>
      <c r="F34">
        <v>1</v>
      </c>
      <c r="G34" t="s">
        <v>38</v>
      </c>
      <c r="H34" t="s">
        <v>38</v>
      </c>
      <c r="I34">
        <v>0</v>
      </c>
      <c r="J34" t="s">
        <v>38</v>
      </c>
      <c r="K34">
        <v>2</v>
      </c>
      <c r="L34">
        <v>2.3232992564720199E-3</v>
      </c>
      <c r="M34" t="s">
        <v>38</v>
      </c>
      <c r="O34" t="s">
        <v>2825</v>
      </c>
      <c r="P34">
        <v>910.57560000000001</v>
      </c>
      <c r="Q34">
        <v>886.15359999999998</v>
      </c>
      <c r="R34">
        <v>0.97317960200119602</v>
      </c>
      <c r="S34">
        <v>2.83209655379098E-2</v>
      </c>
      <c r="T34">
        <v>1</v>
      </c>
      <c r="U34" t="s">
        <v>2826</v>
      </c>
    </row>
    <row r="35" spans="1:21" x14ac:dyDescent="0.3">
      <c r="A35">
        <v>34</v>
      </c>
      <c r="B35" t="s">
        <v>2649</v>
      </c>
      <c r="C35" t="s">
        <v>76</v>
      </c>
      <c r="D35">
        <v>63</v>
      </c>
      <c r="E35" t="s">
        <v>38</v>
      </c>
      <c r="F35">
        <v>8</v>
      </c>
      <c r="G35" t="s">
        <v>106</v>
      </c>
      <c r="H35" t="s">
        <v>51</v>
      </c>
      <c r="I35">
        <v>0.2</v>
      </c>
      <c r="J35" t="s">
        <v>38</v>
      </c>
      <c r="K35">
        <v>4</v>
      </c>
      <c r="L35">
        <v>0.45056110578896902</v>
      </c>
      <c r="M35" t="s">
        <v>106</v>
      </c>
      <c r="N35" t="s">
        <v>1352</v>
      </c>
      <c r="O35" t="s">
        <v>2834</v>
      </c>
      <c r="P35">
        <v>20.376799999999999</v>
      </c>
      <c r="Q35">
        <v>11.6912</v>
      </c>
      <c r="R35">
        <v>0.57375053982961</v>
      </c>
      <c r="S35">
        <v>0.15564044213264</v>
      </c>
      <c r="T35">
        <v>8</v>
      </c>
      <c r="U35" t="s">
        <v>2826</v>
      </c>
    </row>
    <row r="36" spans="1:21" x14ac:dyDescent="0.3">
      <c r="A36">
        <v>35</v>
      </c>
      <c r="B36" t="s">
        <v>2653</v>
      </c>
      <c r="C36" t="s">
        <v>38</v>
      </c>
      <c r="D36">
        <v>2</v>
      </c>
      <c r="E36" t="s">
        <v>38</v>
      </c>
      <c r="F36">
        <v>1</v>
      </c>
      <c r="G36" t="s">
        <v>38</v>
      </c>
      <c r="H36" t="s">
        <v>38</v>
      </c>
      <c r="I36">
        <v>0</v>
      </c>
      <c r="J36" t="s">
        <v>76</v>
      </c>
      <c r="K36">
        <v>71</v>
      </c>
      <c r="L36">
        <v>2.2448889890736702E-3</v>
      </c>
      <c r="M36" t="s">
        <v>76</v>
      </c>
      <c r="N36" t="s">
        <v>2657</v>
      </c>
      <c r="O36" t="s">
        <v>2825</v>
      </c>
      <c r="P36">
        <v>5647.1167999999998</v>
      </c>
      <c r="Q36">
        <v>5524.0147999999999</v>
      </c>
      <c r="R36">
        <v>0.97820091130397702</v>
      </c>
      <c r="S36">
        <v>2.11698181898472E-2</v>
      </c>
      <c r="T36">
        <v>1</v>
      </c>
      <c r="U36" t="s">
        <v>2826</v>
      </c>
    </row>
    <row r="37" spans="1:21" x14ac:dyDescent="0.3">
      <c r="A37">
        <v>36</v>
      </c>
      <c r="B37" t="s">
        <v>2658</v>
      </c>
      <c r="C37" t="s">
        <v>38</v>
      </c>
      <c r="D37">
        <v>11</v>
      </c>
      <c r="E37" t="s">
        <v>38</v>
      </c>
      <c r="F37">
        <v>3</v>
      </c>
      <c r="G37" t="s">
        <v>38</v>
      </c>
      <c r="H37" t="s">
        <v>38</v>
      </c>
      <c r="I37">
        <v>0.1</v>
      </c>
      <c r="J37" t="s">
        <v>38</v>
      </c>
      <c r="K37">
        <v>5</v>
      </c>
      <c r="L37">
        <v>5.1132774486538198E-2</v>
      </c>
      <c r="M37" t="s">
        <v>38</v>
      </c>
      <c r="O37" t="s">
        <v>2825</v>
      </c>
      <c r="P37">
        <v>577.54240000000004</v>
      </c>
      <c r="Q37">
        <v>515.44240000000002</v>
      </c>
      <c r="R37">
        <v>0.89247542691237902</v>
      </c>
      <c r="S37">
        <v>6.6333308521045894E-2</v>
      </c>
      <c r="T37">
        <v>3</v>
      </c>
      <c r="U37" t="s">
        <v>2826</v>
      </c>
    </row>
    <row r="38" spans="1:21" x14ac:dyDescent="0.3">
      <c r="A38">
        <v>37</v>
      </c>
      <c r="B38" t="s">
        <v>2662</v>
      </c>
      <c r="C38" t="s">
        <v>38</v>
      </c>
      <c r="D38">
        <v>14</v>
      </c>
      <c r="E38" t="s">
        <v>38</v>
      </c>
      <c r="F38">
        <v>8</v>
      </c>
      <c r="G38" t="s">
        <v>38</v>
      </c>
      <c r="H38" t="s">
        <v>38</v>
      </c>
      <c r="I38">
        <v>0.2</v>
      </c>
      <c r="J38" t="s">
        <v>38</v>
      </c>
      <c r="K38">
        <v>20</v>
      </c>
      <c r="L38">
        <v>6.9590727660086005E-2</v>
      </c>
      <c r="M38" t="s">
        <v>38</v>
      </c>
      <c r="O38" t="s">
        <v>2825</v>
      </c>
      <c r="P38">
        <v>1963.4028000000001</v>
      </c>
      <c r="Q38">
        <v>1693.7084</v>
      </c>
      <c r="R38">
        <v>0.86263929133644901</v>
      </c>
      <c r="S38">
        <v>0.16791322873207101</v>
      </c>
      <c r="T38">
        <v>8</v>
      </c>
      <c r="U38" t="s">
        <v>2826</v>
      </c>
    </row>
    <row r="39" spans="1:21" x14ac:dyDescent="0.3">
      <c r="A39">
        <v>38</v>
      </c>
      <c r="B39" t="s">
        <v>2666</v>
      </c>
      <c r="C39" t="s">
        <v>38</v>
      </c>
      <c r="D39">
        <v>31</v>
      </c>
      <c r="E39" t="s">
        <v>38</v>
      </c>
      <c r="F39">
        <v>8</v>
      </c>
      <c r="G39" t="s">
        <v>38</v>
      </c>
      <c r="H39" t="s">
        <v>38</v>
      </c>
      <c r="I39">
        <v>0.2</v>
      </c>
      <c r="J39" t="s">
        <v>38</v>
      </c>
      <c r="K39">
        <v>0</v>
      </c>
      <c r="L39">
        <v>6.0644939421194602E-2</v>
      </c>
      <c r="M39" t="s">
        <v>38</v>
      </c>
      <c r="O39" t="s">
        <v>2825</v>
      </c>
      <c r="P39">
        <v>43.596800000000002</v>
      </c>
      <c r="Q39">
        <v>30.241599999999998</v>
      </c>
      <c r="R39">
        <v>0.69366559013505602</v>
      </c>
      <c r="S39">
        <v>0.15452713831298701</v>
      </c>
      <c r="T39">
        <v>8</v>
      </c>
      <c r="U39" t="s">
        <v>2826</v>
      </c>
    </row>
    <row r="40" spans="1:21" x14ac:dyDescent="0.3">
      <c r="A40">
        <v>39</v>
      </c>
      <c r="B40" t="s">
        <v>2670</v>
      </c>
      <c r="C40" t="s">
        <v>38</v>
      </c>
      <c r="D40">
        <v>39</v>
      </c>
      <c r="E40" t="s">
        <v>38</v>
      </c>
      <c r="F40">
        <v>24</v>
      </c>
      <c r="G40" t="s">
        <v>106</v>
      </c>
      <c r="H40" t="s">
        <v>51</v>
      </c>
      <c r="I40">
        <v>0.5</v>
      </c>
      <c r="J40" t="s">
        <v>38</v>
      </c>
      <c r="K40">
        <v>0</v>
      </c>
      <c r="L40">
        <v>0.16621549765553201</v>
      </c>
      <c r="M40" t="s">
        <v>106</v>
      </c>
      <c r="N40" t="s">
        <v>53</v>
      </c>
      <c r="O40" t="s">
        <v>2828</v>
      </c>
      <c r="P40">
        <v>27.102799999999998</v>
      </c>
      <c r="Q40">
        <v>16.549600000000002</v>
      </c>
      <c r="R40">
        <v>0.61062325663769101</v>
      </c>
      <c r="S40">
        <v>0.47178643984322099</v>
      </c>
      <c r="T40">
        <v>24</v>
      </c>
      <c r="U40" t="s">
        <v>2826</v>
      </c>
    </row>
    <row r="41" spans="1:21" x14ac:dyDescent="0.3">
      <c r="A41">
        <v>40</v>
      </c>
      <c r="B41" t="s">
        <v>2674</v>
      </c>
      <c r="C41" t="s">
        <v>38</v>
      </c>
      <c r="D41">
        <v>2</v>
      </c>
      <c r="E41" t="s">
        <v>38</v>
      </c>
      <c r="F41">
        <v>1</v>
      </c>
      <c r="G41" t="s">
        <v>38</v>
      </c>
      <c r="H41" t="s">
        <v>38</v>
      </c>
      <c r="I41">
        <v>0</v>
      </c>
      <c r="J41" t="s">
        <v>38</v>
      </c>
      <c r="K41">
        <v>0</v>
      </c>
      <c r="L41">
        <v>8.6628822623353696E-2</v>
      </c>
      <c r="M41" t="s">
        <v>38</v>
      </c>
      <c r="O41" t="s">
        <v>2825</v>
      </c>
      <c r="P41">
        <v>187.72040000000001</v>
      </c>
      <c r="Q41">
        <v>184.89920000000001</v>
      </c>
      <c r="R41">
        <v>0.98497126577612204</v>
      </c>
      <c r="S41">
        <v>1.21417150270118E-2</v>
      </c>
      <c r="T41">
        <v>1</v>
      </c>
      <c r="U41" t="s">
        <v>2826</v>
      </c>
    </row>
    <row r="42" spans="1:21" x14ac:dyDescent="0.3">
      <c r="A42">
        <v>41</v>
      </c>
      <c r="B42" t="s">
        <v>2678</v>
      </c>
      <c r="C42" t="s">
        <v>38</v>
      </c>
      <c r="D42">
        <v>3</v>
      </c>
      <c r="E42" t="s">
        <v>38</v>
      </c>
      <c r="F42">
        <v>2</v>
      </c>
      <c r="G42" t="s">
        <v>38</v>
      </c>
      <c r="H42" t="s">
        <v>38</v>
      </c>
      <c r="I42">
        <v>0</v>
      </c>
      <c r="J42" t="s">
        <v>38</v>
      </c>
      <c r="K42">
        <v>13</v>
      </c>
      <c r="L42">
        <v>8.26863517357661E-4</v>
      </c>
      <c r="M42" t="s">
        <v>38</v>
      </c>
      <c r="O42" t="s">
        <v>2829</v>
      </c>
      <c r="P42">
        <v>760.38720000000001</v>
      </c>
      <c r="Q42">
        <v>741.59760000000006</v>
      </c>
      <c r="R42">
        <v>0.97528943148964098</v>
      </c>
      <c r="S42">
        <v>3.30905426088514E-2</v>
      </c>
      <c r="T42">
        <v>2</v>
      </c>
      <c r="U42" t="s">
        <v>2826</v>
      </c>
    </row>
    <row r="43" spans="1:21" x14ac:dyDescent="0.3">
      <c r="A43">
        <v>42</v>
      </c>
      <c r="B43" t="s">
        <v>2683</v>
      </c>
      <c r="C43" t="s">
        <v>38</v>
      </c>
      <c r="D43">
        <v>34</v>
      </c>
      <c r="E43" t="s">
        <v>38</v>
      </c>
      <c r="F43">
        <v>10</v>
      </c>
      <c r="G43" t="s">
        <v>38</v>
      </c>
      <c r="H43" t="s">
        <v>38</v>
      </c>
      <c r="I43">
        <v>0.2</v>
      </c>
      <c r="J43" t="s">
        <v>38</v>
      </c>
      <c r="K43">
        <v>0</v>
      </c>
      <c r="L43">
        <v>8.7356304077783595E-2</v>
      </c>
      <c r="M43" t="s">
        <v>38</v>
      </c>
      <c r="O43" t="s">
        <v>2825</v>
      </c>
      <c r="P43">
        <v>701.61760000000004</v>
      </c>
      <c r="Q43">
        <v>465.94920000000002</v>
      </c>
      <c r="R43">
        <v>0.66410705774769596</v>
      </c>
      <c r="S43">
        <v>0.20862491918381901</v>
      </c>
      <c r="T43">
        <v>10</v>
      </c>
      <c r="U43" t="s">
        <v>2826</v>
      </c>
    </row>
    <row r="44" spans="1:21" x14ac:dyDescent="0.3">
      <c r="A44">
        <v>43</v>
      </c>
      <c r="B44" t="s">
        <v>2687</v>
      </c>
      <c r="C44" t="s">
        <v>38</v>
      </c>
      <c r="D44">
        <v>23</v>
      </c>
      <c r="E44" t="s">
        <v>38</v>
      </c>
      <c r="F44">
        <v>9</v>
      </c>
      <c r="G44" t="s">
        <v>51</v>
      </c>
      <c r="H44" t="s">
        <v>51</v>
      </c>
      <c r="I44">
        <v>0.2</v>
      </c>
      <c r="J44" t="s">
        <v>38</v>
      </c>
      <c r="K44">
        <v>2</v>
      </c>
      <c r="L44">
        <v>0.195512067148392</v>
      </c>
      <c r="M44" t="s">
        <v>51</v>
      </c>
      <c r="N44" t="s">
        <v>2691</v>
      </c>
      <c r="O44" t="s">
        <v>2835</v>
      </c>
      <c r="P44">
        <v>137.06479999999999</v>
      </c>
      <c r="Q44">
        <v>105.50960000000001</v>
      </c>
      <c r="R44">
        <v>0.76977896586140304</v>
      </c>
      <c r="S44">
        <v>0.18206071576482</v>
      </c>
      <c r="T44">
        <v>9</v>
      </c>
      <c r="U44" t="s">
        <v>2826</v>
      </c>
    </row>
    <row r="45" spans="1:21" x14ac:dyDescent="0.3">
      <c r="A45">
        <v>44</v>
      </c>
      <c r="B45" t="s">
        <v>2692</v>
      </c>
      <c r="C45" t="s">
        <v>38</v>
      </c>
      <c r="D45">
        <v>1</v>
      </c>
      <c r="E45" t="s">
        <v>38</v>
      </c>
      <c r="F45">
        <v>1</v>
      </c>
      <c r="G45" t="s">
        <v>38</v>
      </c>
      <c r="H45" t="s">
        <v>38</v>
      </c>
      <c r="I45">
        <v>0</v>
      </c>
      <c r="J45" t="s">
        <v>38</v>
      </c>
      <c r="K45">
        <v>0</v>
      </c>
      <c r="L45">
        <v>3.3025777033147101E-4</v>
      </c>
      <c r="M45" t="s">
        <v>38</v>
      </c>
      <c r="O45" t="s">
        <v>2825</v>
      </c>
      <c r="P45">
        <v>2252.3447999999999</v>
      </c>
      <c r="Q45">
        <v>2221.2952</v>
      </c>
      <c r="R45">
        <v>0.98621454406092701</v>
      </c>
      <c r="S45">
        <v>1.4390642899381099E-2</v>
      </c>
      <c r="T45">
        <v>1</v>
      </c>
      <c r="U45" t="s">
        <v>2826</v>
      </c>
    </row>
    <row r="46" spans="1:21" x14ac:dyDescent="0.3">
      <c r="A46">
        <v>45</v>
      </c>
      <c r="B46" t="s">
        <v>1809</v>
      </c>
      <c r="C46" t="s">
        <v>38</v>
      </c>
      <c r="D46">
        <v>1</v>
      </c>
      <c r="E46" t="s">
        <v>38</v>
      </c>
      <c r="F46">
        <v>1</v>
      </c>
      <c r="G46" t="s">
        <v>38</v>
      </c>
      <c r="H46" t="s">
        <v>38</v>
      </c>
      <c r="I46">
        <v>0</v>
      </c>
      <c r="J46" t="s">
        <v>38</v>
      </c>
      <c r="K46">
        <v>0</v>
      </c>
      <c r="L46">
        <v>2.9142015087865899E-2</v>
      </c>
      <c r="M46" t="s">
        <v>38</v>
      </c>
      <c r="O46" t="s">
        <v>2836</v>
      </c>
      <c r="P46">
        <v>18.7044</v>
      </c>
      <c r="Q46">
        <v>18.186800000000002</v>
      </c>
      <c r="R46">
        <v>0.97232736682277998</v>
      </c>
      <c r="S46">
        <v>2.2111331921119901E-2</v>
      </c>
      <c r="T46">
        <v>1</v>
      </c>
      <c r="U46" t="s">
        <v>2826</v>
      </c>
    </row>
    <row r="47" spans="1:21" x14ac:dyDescent="0.3">
      <c r="A47">
        <v>46</v>
      </c>
      <c r="B47" t="s">
        <v>2340</v>
      </c>
      <c r="C47" t="s">
        <v>76</v>
      </c>
      <c r="D47">
        <v>62</v>
      </c>
      <c r="E47" t="s">
        <v>76</v>
      </c>
      <c r="F47">
        <v>41</v>
      </c>
      <c r="G47" t="s">
        <v>51</v>
      </c>
      <c r="H47" t="s">
        <v>76</v>
      </c>
      <c r="I47">
        <v>0.8</v>
      </c>
      <c r="J47" t="s">
        <v>38</v>
      </c>
      <c r="K47">
        <v>0</v>
      </c>
      <c r="L47">
        <v>0.318271809827463</v>
      </c>
      <c r="M47" t="s">
        <v>51</v>
      </c>
      <c r="N47" t="s">
        <v>811</v>
      </c>
      <c r="O47" t="s">
        <v>2837</v>
      </c>
      <c r="P47">
        <v>350.79599999999999</v>
      </c>
      <c r="Q47">
        <v>116.1724</v>
      </c>
      <c r="R47">
        <v>0.33116797226878297</v>
      </c>
      <c r="S47">
        <v>0.810900222588813</v>
      </c>
      <c r="T47">
        <v>41</v>
      </c>
      <c r="U47" t="s">
        <v>2826</v>
      </c>
    </row>
    <row r="48" spans="1:21" x14ac:dyDescent="0.3">
      <c r="A48">
        <v>47</v>
      </c>
      <c r="B48" t="s">
        <v>2709</v>
      </c>
      <c r="C48" t="s">
        <v>38</v>
      </c>
      <c r="D48">
        <v>39</v>
      </c>
      <c r="E48" t="s">
        <v>38</v>
      </c>
      <c r="F48">
        <v>16</v>
      </c>
      <c r="G48" t="s">
        <v>38</v>
      </c>
      <c r="H48" t="s">
        <v>38</v>
      </c>
      <c r="I48">
        <v>0.3</v>
      </c>
      <c r="J48" t="s">
        <v>38</v>
      </c>
      <c r="K48">
        <v>0</v>
      </c>
      <c r="L48">
        <v>0.11211419712397901</v>
      </c>
      <c r="M48" t="s">
        <v>38</v>
      </c>
      <c r="O48" t="s">
        <v>2838</v>
      </c>
      <c r="P48">
        <v>867.58720000000005</v>
      </c>
      <c r="Q48">
        <v>530.98360000000002</v>
      </c>
      <c r="R48">
        <v>0.61202332169031504</v>
      </c>
      <c r="S48">
        <v>0.32869547427463602</v>
      </c>
      <c r="T48">
        <v>16</v>
      </c>
      <c r="U48" t="s">
        <v>2826</v>
      </c>
    </row>
    <row r="49" spans="1:21" x14ac:dyDescent="0.3">
      <c r="A49">
        <v>48</v>
      </c>
      <c r="B49" t="s">
        <v>2346</v>
      </c>
      <c r="C49" t="s">
        <v>38</v>
      </c>
      <c r="D49">
        <v>30</v>
      </c>
      <c r="E49" t="s">
        <v>38</v>
      </c>
      <c r="F49">
        <v>13</v>
      </c>
      <c r="G49" t="s">
        <v>38</v>
      </c>
      <c r="H49" t="s">
        <v>38</v>
      </c>
      <c r="I49">
        <v>0.3</v>
      </c>
      <c r="J49" t="s">
        <v>38</v>
      </c>
      <c r="K49">
        <v>0</v>
      </c>
      <c r="L49">
        <v>0.10495566850964699</v>
      </c>
      <c r="M49" t="s">
        <v>38</v>
      </c>
      <c r="O49" t="s">
        <v>2838</v>
      </c>
      <c r="P49">
        <v>1787.3463999999999</v>
      </c>
      <c r="Q49">
        <v>1248.4128000000001</v>
      </c>
      <c r="R49">
        <v>0.69847277505915994</v>
      </c>
      <c r="S49">
        <v>0.26643964013393001</v>
      </c>
      <c r="T49">
        <v>13</v>
      </c>
      <c r="U49" t="s">
        <v>2826</v>
      </c>
    </row>
    <row r="50" spans="1:21" x14ac:dyDescent="0.3">
      <c r="A50">
        <v>49</v>
      </c>
      <c r="B50" t="s">
        <v>1568</v>
      </c>
      <c r="C50" t="s">
        <v>38</v>
      </c>
      <c r="D50">
        <v>35</v>
      </c>
      <c r="E50" t="s">
        <v>38</v>
      </c>
      <c r="F50">
        <v>12</v>
      </c>
      <c r="G50" t="s">
        <v>38</v>
      </c>
      <c r="H50" t="s">
        <v>38</v>
      </c>
      <c r="I50">
        <v>0.2</v>
      </c>
      <c r="J50" t="s">
        <v>38</v>
      </c>
      <c r="K50">
        <v>0</v>
      </c>
      <c r="L50">
        <v>1.3777906892845901E-2</v>
      </c>
      <c r="M50" t="s">
        <v>38</v>
      </c>
      <c r="O50" t="s">
        <v>2838</v>
      </c>
      <c r="P50">
        <v>3235.1676000000002</v>
      </c>
      <c r="Q50">
        <v>2106.6480000000001</v>
      </c>
      <c r="R50">
        <v>0.65117120980069199</v>
      </c>
      <c r="S50">
        <v>0.24364901577722101</v>
      </c>
      <c r="T50">
        <v>12</v>
      </c>
      <c r="U50" t="s">
        <v>2826</v>
      </c>
    </row>
    <row r="51" spans="1:21" x14ac:dyDescent="0.3">
      <c r="A51">
        <v>50</v>
      </c>
      <c r="B51" t="s">
        <v>134</v>
      </c>
      <c r="C51" t="s">
        <v>76</v>
      </c>
      <c r="D51">
        <v>56</v>
      </c>
      <c r="E51" t="s">
        <v>38</v>
      </c>
      <c r="F51">
        <v>24</v>
      </c>
      <c r="G51" t="s">
        <v>51</v>
      </c>
      <c r="H51" t="s">
        <v>38</v>
      </c>
      <c r="I51">
        <v>0.5</v>
      </c>
      <c r="J51" t="s">
        <v>38</v>
      </c>
      <c r="K51">
        <v>0</v>
      </c>
      <c r="L51">
        <v>4.8090127735031601E-2</v>
      </c>
      <c r="M51" t="s">
        <v>51</v>
      </c>
      <c r="N51" t="s">
        <v>53</v>
      </c>
      <c r="O51" t="s">
        <v>2839</v>
      </c>
      <c r="P51">
        <v>653.40639999999996</v>
      </c>
      <c r="Q51">
        <v>286.02960000000002</v>
      </c>
      <c r="R51">
        <v>0.43775145147032501</v>
      </c>
      <c r="S51">
        <v>0.48977032314669999</v>
      </c>
      <c r="T51">
        <v>24</v>
      </c>
      <c r="U51" t="s">
        <v>2826</v>
      </c>
    </row>
    <row r="52" spans="1:21" x14ac:dyDescent="0.3">
      <c r="A52">
        <v>51</v>
      </c>
      <c r="B52" t="s">
        <v>982</v>
      </c>
      <c r="C52" t="s">
        <v>38</v>
      </c>
      <c r="D52">
        <v>33</v>
      </c>
      <c r="E52" t="s">
        <v>38</v>
      </c>
      <c r="F52">
        <v>16</v>
      </c>
      <c r="G52" t="s">
        <v>38</v>
      </c>
      <c r="H52" t="s">
        <v>38</v>
      </c>
      <c r="I52">
        <v>0.3</v>
      </c>
      <c r="J52" t="s">
        <v>38</v>
      </c>
      <c r="K52">
        <v>0</v>
      </c>
      <c r="L52">
        <v>1.4431596188997401E-2</v>
      </c>
      <c r="M52" t="s">
        <v>38</v>
      </c>
      <c r="O52" t="s">
        <v>2838</v>
      </c>
      <c r="P52">
        <v>1274.7652</v>
      </c>
      <c r="Q52">
        <v>859.36440000000005</v>
      </c>
      <c r="R52">
        <v>0.67413544078548704</v>
      </c>
      <c r="S52">
        <v>0.31563835106850402</v>
      </c>
      <c r="T52">
        <v>16</v>
      </c>
      <c r="U52" t="s">
        <v>2826</v>
      </c>
    </row>
    <row r="53" spans="1:21" x14ac:dyDescent="0.3">
      <c r="A53">
        <v>52</v>
      </c>
      <c r="B53" t="s">
        <v>2352</v>
      </c>
      <c r="C53" t="s">
        <v>106</v>
      </c>
      <c r="D53">
        <v>95</v>
      </c>
      <c r="E53" t="s">
        <v>51</v>
      </c>
      <c r="F53">
        <v>75</v>
      </c>
      <c r="G53" t="s">
        <v>106</v>
      </c>
      <c r="H53" t="s">
        <v>106</v>
      </c>
      <c r="I53">
        <v>1.5</v>
      </c>
      <c r="J53" t="s">
        <v>38</v>
      </c>
      <c r="K53">
        <v>0</v>
      </c>
      <c r="L53" t="s">
        <v>2840</v>
      </c>
      <c r="M53" t="s">
        <v>106</v>
      </c>
      <c r="N53" t="s">
        <v>1748</v>
      </c>
      <c r="O53" t="s">
        <v>2841</v>
      </c>
      <c r="P53">
        <v>6.4404000000000003</v>
      </c>
      <c r="Q53">
        <v>0.31719999999999998</v>
      </c>
      <c r="R53">
        <v>4.9251599279547899E-2</v>
      </c>
      <c r="S53">
        <v>1.4935813034891401</v>
      </c>
      <c r="T53">
        <v>75</v>
      </c>
      <c r="U53" t="s">
        <v>2826</v>
      </c>
    </row>
    <row r="54" spans="1:21" x14ac:dyDescent="0.3">
      <c r="A54">
        <v>53</v>
      </c>
      <c r="B54" t="s">
        <v>2005</v>
      </c>
      <c r="C54" t="s">
        <v>38</v>
      </c>
      <c r="D54">
        <v>28</v>
      </c>
      <c r="E54" t="s">
        <v>38</v>
      </c>
      <c r="F54">
        <v>20</v>
      </c>
      <c r="G54" t="s">
        <v>51</v>
      </c>
      <c r="H54" t="s">
        <v>106</v>
      </c>
      <c r="I54">
        <v>0.4</v>
      </c>
      <c r="J54" t="s">
        <v>38</v>
      </c>
      <c r="K54">
        <v>0</v>
      </c>
      <c r="L54" t="s">
        <v>2840</v>
      </c>
      <c r="M54" t="s">
        <v>106</v>
      </c>
      <c r="N54" t="s">
        <v>1594</v>
      </c>
      <c r="O54" t="s">
        <v>2841</v>
      </c>
      <c r="P54">
        <v>13.215999999999999</v>
      </c>
      <c r="Q54">
        <v>9.5167999999999999</v>
      </c>
      <c r="R54">
        <v>0.72009685230024201</v>
      </c>
      <c r="S54">
        <v>0.40534238056917099</v>
      </c>
      <c r="T54">
        <v>20</v>
      </c>
      <c r="U54" t="s">
        <v>2826</v>
      </c>
    </row>
    <row r="55" spans="1:21" x14ac:dyDescent="0.3">
      <c r="A55">
        <v>54</v>
      </c>
      <c r="B55" t="s">
        <v>1772</v>
      </c>
      <c r="C55" t="s">
        <v>38</v>
      </c>
      <c r="D55">
        <v>2</v>
      </c>
      <c r="E55" t="s">
        <v>38</v>
      </c>
      <c r="F55">
        <v>1</v>
      </c>
      <c r="G55" t="s">
        <v>38</v>
      </c>
      <c r="H55" t="s">
        <v>38</v>
      </c>
      <c r="I55">
        <v>0</v>
      </c>
      <c r="J55" t="s">
        <v>38</v>
      </c>
      <c r="K55">
        <v>0</v>
      </c>
      <c r="L55">
        <v>1.1486070815901301E-3</v>
      </c>
      <c r="M55" t="s">
        <v>38</v>
      </c>
      <c r="O55" t="s">
        <v>2838</v>
      </c>
      <c r="P55">
        <v>220.1216</v>
      </c>
      <c r="Q55">
        <v>215.21719999999999</v>
      </c>
      <c r="R55">
        <v>0.97771958771878797</v>
      </c>
      <c r="S55">
        <v>2.24312784052643E-2</v>
      </c>
      <c r="T55">
        <v>1</v>
      </c>
      <c r="U55" t="s">
        <v>2826</v>
      </c>
    </row>
    <row r="56" spans="1:21" x14ac:dyDescent="0.3">
      <c r="A56">
        <v>55</v>
      </c>
      <c r="B56" t="s">
        <v>1024</v>
      </c>
      <c r="C56" t="s">
        <v>38</v>
      </c>
      <c r="D56">
        <v>6</v>
      </c>
      <c r="E56" t="s">
        <v>38</v>
      </c>
      <c r="F56">
        <v>3</v>
      </c>
      <c r="G56" t="s">
        <v>38</v>
      </c>
      <c r="H56" t="s">
        <v>38</v>
      </c>
      <c r="I56">
        <v>0.1</v>
      </c>
      <c r="J56" t="s">
        <v>38</v>
      </c>
      <c r="K56">
        <v>0</v>
      </c>
      <c r="L56">
        <v>3.1975637609440403E-4</v>
      </c>
      <c r="M56" t="s">
        <v>38</v>
      </c>
      <c r="O56" t="s">
        <v>2838</v>
      </c>
      <c r="P56">
        <v>28.078800000000001</v>
      </c>
      <c r="Q56">
        <v>26.27</v>
      </c>
      <c r="R56">
        <v>0.93558129264783396</v>
      </c>
      <c r="S56">
        <v>6.2440310979795098E-2</v>
      </c>
      <c r="T56">
        <v>3</v>
      </c>
      <c r="U56" t="s">
        <v>2826</v>
      </c>
    </row>
    <row r="57" spans="1:21" x14ac:dyDescent="0.3">
      <c r="A57">
        <v>56</v>
      </c>
      <c r="B57" t="s">
        <v>2358</v>
      </c>
      <c r="C57" t="s">
        <v>38</v>
      </c>
      <c r="D57">
        <v>12</v>
      </c>
      <c r="E57" t="s">
        <v>38</v>
      </c>
      <c r="F57">
        <v>4</v>
      </c>
      <c r="G57" t="s">
        <v>38</v>
      </c>
      <c r="H57" t="s">
        <v>38</v>
      </c>
      <c r="I57">
        <v>0.1</v>
      </c>
      <c r="J57" t="s">
        <v>38</v>
      </c>
      <c r="K57">
        <v>0</v>
      </c>
      <c r="L57">
        <v>4.2935101234235398E-2</v>
      </c>
      <c r="M57" t="s">
        <v>38</v>
      </c>
      <c r="O57" t="s">
        <v>2838</v>
      </c>
      <c r="P57">
        <v>1363.9048</v>
      </c>
      <c r="Q57">
        <v>1200.1276</v>
      </c>
      <c r="R57">
        <v>0.87992035807777802</v>
      </c>
      <c r="S57">
        <v>7.1700140843923593E-2</v>
      </c>
      <c r="T57">
        <v>4</v>
      </c>
      <c r="U57" t="s">
        <v>2826</v>
      </c>
    </row>
    <row r="58" spans="1:21" x14ac:dyDescent="0.3">
      <c r="A58">
        <v>57</v>
      </c>
      <c r="B58" t="s">
        <v>1030</v>
      </c>
      <c r="C58" t="s">
        <v>38</v>
      </c>
      <c r="D58">
        <v>0</v>
      </c>
      <c r="E58" t="s">
        <v>38</v>
      </c>
      <c r="F58">
        <v>0</v>
      </c>
      <c r="G58" t="s">
        <v>38</v>
      </c>
      <c r="H58" t="s">
        <v>38</v>
      </c>
      <c r="I58">
        <v>0</v>
      </c>
      <c r="J58" t="s">
        <v>38</v>
      </c>
      <c r="K58">
        <v>0</v>
      </c>
      <c r="L58">
        <v>1.2303247794179599E-3</v>
      </c>
      <c r="M58" t="s">
        <v>38</v>
      </c>
      <c r="O58" t="s">
        <v>2838</v>
      </c>
      <c r="P58">
        <v>1919.2855999999999</v>
      </c>
      <c r="Q58">
        <v>1914.6164000000001</v>
      </c>
      <c r="R58">
        <v>0.99756721980303498</v>
      </c>
      <c r="S58">
        <v>3.0426838253249599E-3</v>
      </c>
      <c r="T58">
        <v>0</v>
      </c>
      <c r="U58" t="s">
        <v>2826</v>
      </c>
    </row>
    <row r="59" spans="1:21" x14ac:dyDescent="0.3">
      <c r="A59">
        <v>58</v>
      </c>
      <c r="B59" t="s">
        <v>109</v>
      </c>
      <c r="C59" t="s">
        <v>38</v>
      </c>
      <c r="D59">
        <v>7</v>
      </c>
      <c r="E59" t="s">
        <v>38</v>
      </c>
      <c r="F59">
        <v>2</v>
      </c>
      <c r="G59" t="s">
        <v>38</v>
      </c>
      <c r="H59" t="s">
        <v>38</v>
      </c>
      <c r="I59">
        <v>0</v>
      </c>
      <c r="J59" t="s">
        <v>38</v>
      </c>
      <c r="K59">
        <v>0</v>
      </c>
      <c r="L59">
        <v>1.1713134131908999E-2</v>
      </c>
      <c r="M59" t="s">
        <v>38</v>
      </c>
      <c r="O59" t="s">
        <v>2838</v>
      </c>
      <c r="P59">
        <v>5176.9952000000003</v>
      </c>
      <c r="Q59">
        <v>4815.0392000000002</v>
      </c>
      <c r="R59">
        <v>0.930083767510544</v>
      </c>
      <c r="S59">
        <v>3.6984060934340299E-2</v>
      </c>
      <c r="T59">
        <v>2</v>
      </c>
      <c r="U59" t="s">
        <v>2826</v>
      </c>
    </row>
    <row r="60" spans="1:21" x14ac:dyDescent="0.3">
      <c r="A60">
        <v>59</v>
      </c>
      <c r="B60" t="s">
        <v>1815</v>
      </c>
      <c r="C60" t="s">
        <v>38</v>
      </c>
      <c r="D60">
        <v>14</v>
      </c>
      <c r="E60" t="s">
        <v>38</v>
      </c>
      <c r="F60">
        <v>5</v>
      </c>
      <c r="G60" t="s">
        <v>38</v>
      </c>
      <c r="H60" t="s">
        <v>38</v>
      </c>
      <c r="I60">
        <v>0.1</v>
      </c>
      <c r="J60" t="s">
        <v>38</v>
      </c>
      <c r="K60">
        <v>0</v>
      </c>
      <c r="L60">
        <v>6.5060531290920803E-3</v>
      </c>
      <c r="M60" t="s">
        <v>38</v>
      </c>
      <c r="O60" t="s">
        <v>2838</v>
      </c>
      <c r="P60">
        <v>5302.9359999999997</v>
      </c>
      <c r="Q60">
        <v>4534.9768000000004</v>
      </c>
      <c r="R60">
        <v>0.85518226129827002</v>
      </c>
      <c r="S60">
        <v>9.6192739207511396E-2</v>
      </c>
      <c r="T60">
        <v>5</v>
      </c>
      <c r="U60" t="s">
        <v>2826</v>
      </c>
    </row>
    <row r="61" spans="1:21" x14ac:dyDescent="0.3">
      <c r="A61">
        <v>60</v>
      </c>
      <c r="B61" t="s">
        <v>118</v>
      </c>
      <c r="C61" t="s">
        <v>38</v>
      </c>
      <c r="D61">
        <v>7</v>
      </c>
      <c r="E61" t="s">
        <v>38</v>
      </c>
      <c r="F61">
        <v>1</v>
      </c>
      <c r="G61" t="s">
        <v>38</v>
      </c>
      <c r="H61" t="s">
        <v>38</v>
      </c>
      <c r="I61">
        <v>0</v>
      </c>
      <c r="J61" t="s">
        <v>38</v>
      </c>
      <c r="K61">
        <v>0</v>
      </c>
      <c r="L61">
        <v>5.6658914664592698E-3</v>
      </c>
      <c r="M61" t="s">
        <v>38</v>
      </c>
      <c r="O61" t="s">
        <v>2838</v>
      </c>
      <c r="P61">
        <v>2130.1055999999999</v>
      </c>
      <c r="Q61">
        <v>1983.6596</v>
      </c>
      <c r="R61">
        <v>0.93124941786923598</v>
      </c>
      <c r="S61">
        <v>2.7559459577760299E-2</v>
      </c>
      <c r="T61">
        <v>1</v>
      </c>
      <c r="U61" t="s">
        <v>2826</v>
      </c>
    </row>
    <row r="62" spans="1:21" x14ac:dyDescent="0.3">
      <c r="A62">
        <v>61</v>
      </c>
      <c r="B62" t="s">
        <v>1315</v>
      </c>
      <c r="C62" t="s">
        <v>76</v>
      </c>
      <c r="D62">
        <v>61</v>
      </c>
      <c r="E62" t="s">
        <v>76</v>
      </c>
      <c r="F62">
        <v>33</v>
      </c>
      <c r="G62" t="s">
        <v>51</v>
      </c>
      <c r="H62" t="s">
        <v>76</v>
      </c>
      <c r="I62">
        <v>0.7</v>
      </c>
      <c r="J62" t="s">
        <v>38</v>
      </c>
      <c r="K62">
        <v>0</v>
      </c>
      <c r="L62">
        <v>6.5469913777033401E-2</v>
      </c>
      <c r="M62" t="s">
        <v>51</v>
      </c>
      <c r="N62" t="s">
        <v>53</v>
      </c>
      <c r="O62" t="s">
        <v>2842</v>
      </c>
      <c r="P62">
        <v>407.17919999999998</v>
      </c>
      <c r="Q62">
        <v>143.76679999999999</v>
      </c>
      <c r="R62">
        <v>0.35307992156770301</v>
      </c>
      <c r="S62">
        <v>0.65560286167193205</v>
      </c>
      <c r="T62">
        <v>33</v>
      </c>
      <c r="U62" t="s">
        <v>2826</v>
      </c>
    </row>
    <row r="63" spans="1:21" x14ac:dyDescent="0.3">
      <c r="A63">
        <v>62</v>
      </c>
      <c r="B63" t="s">
        <v>918</v>
      </c>
      <c r="C63" t="s">
        <v>38</v>
      </c>
      <c r="D63">
        <v>20</v>
      </c>
      <c r="E63" t="s">
        <v>38</v>
      </c>
      <c r="F63">
        <v>1</v>
      </c>
      <c r="G63" t="s">
        <v>38</v>
      </c>
      <c r="H63" t="s">
        <v>38</v>
      </c>
      <c r="I63">
        <v>0</v>
      </c>
      <c r="J63" t="s">
        <v>38</v>
      </c>
      <c r="K63">
        <v>0</v>
      </c>
      <c r="L63">
        <v>0.16318075509522201</v>
      </c>
      <c r="M63" t="s">
        <v>38</v>
      </c>
      <c r="O63" t="s">
        <v>2843</v>
      </c>
      <c r="P63">
        <v>12.9664</v>
      </c>
      <c r="Q63">
        <v>11.972</v>
      </c>
      <c r="R63">
        <v>0.92330947680157904</v>
      </c>
      <c r="S63">
        <v>2.6604995527876301E-2</v>
      </c>
      <c r="T63">
        <v>1</v>
      </c>
      <c r="U63" t="s">
        <v>2826</v>
      </c>
    </row>
    <row r="64" spans="1:21" x14ac:dyDescent="0.3">
      <c r="A64">
        <v>63</v>
      </c>
      <c r="B64" t="s">
        <v>1102</v>
      </c>
      <c r="C64" t="s">
        <v>76</v>
      </c>
      <c r="D64">
        <v>64</v>
      </c>
      <c r="E64" t="s">
        <v>76</v>
      </c>
      <c r="F64">
        <v>32</v>
      </c>
      <c r="G64" t="s">
        <v>51</v>
      </c>
      <c r="H64" t="s">
        <v>38</v>
      </c>
      <c r="I64">
        <v>0.6</v>
      </c>
      <c r="J64" t="s">
        <v>38</v>
      </c>
      <c r="K64">
        <v>0</v>
      </c>
      <c r="L64">
        <v>3.5018761681008197E-2</v>
      </c>
      <c r="M64" t="s">
        <v>51</v>
      </c>
      <c r="N64" t="s">
        <v>53</v>
      </c>
      <c r="O64" t="s">
        <v>2844</v>
      </c>
      <c r="P64">
        <v>2355.4843999999998</v>
      </c>
      <c r="Q64">
        <v>832.548</v>
      </c>
      <c r="R64">
        <v>0.35345086556293898</v>
      </c>
      <c r="S64">
        <v>0.64550006804606397</v>
      </c>
      <c r="T64">
        <v>32</v>
      </c>
      <c r="U64" t="s">
        <v>2826</v>
      </c>
    </row>
    <row r="65" spans="1:21" x14ac:dyDescent="0.3">
      <c r="A65">
        <v>64</v>
      </c>
      <c r="B65" t="s">
        <v>614</v>
      </c>
      <c r="C65" t="s">
        <v>76</v>
      </c>
      <c r="D65">
        <v>65</v>
      </c>
      <c r="E65" t="s">
        <v>76</v>
      </c>
      <c r="F65">
        <v>31</v>
      </c>
      <c r="G65" t="s">
        <v>51</v>
      </c>
      <c r="H65" t="s">
        <v>76</v>
      </c>
      <c r="I65">
        <v>0.6</v>
      </c>
      <c r="J65" t="s">
        <v>38</v>
      </c>
      <c r="K65">
        <v>0</v>
      </c>
      <c r="L65">
        <v>2.7165581685748199E-2</v>
      </c>
      <c r="M65" t="s">
        <v>51</v>
      </c>
      <c r="N65" t="s">
        <v>53</v>
      </c>
      <c r="O65" t="s">
        <v>2845</v>
      </c>
      <c r="P65">
        <v>1122.1012000000001</v>
      </c>
      <c r="Q65">
        <v>401.05160000000001</v>
      </c>
      <c r="R65">
        <v>0.35741125666740198</v>
      </c>
      <c r="S65">
        <v>0.62493566747044105</v>
      </c>
      <c r="T65">
        <v>31</v>
      </c>
      <c r="U65" t="s">
        <v>2826</v>
      </c>
    </row>
    <row r="66" spans="1:21" x14ac:dyDescent="0.3">
      <c r="A66">
        <v>65</v>
      </c>
      <c r="B66" t="s">
        <v>2364</v>
      </c>
      <c r="C66" t="s">
        <v>51</v>
      </c>
      <c r="D66">
        <v>82</v>
      </c>
      <c r="E66" t="s">
        <v>51</v>
      </c>
      <c r="F66">
        <v>63</v>
      </c>
      <c r="G66" t="s">
        <v>51</v>
      </c>
      <c r="H66" t="s">
        <v>38</v>
      </c>
      <c r="I66">
        <v>1.3</v>
      </c>
      <c r="J66" t="s">
        <v>38</v>
      </c>
      <c r="K66">
        <v>0</v>
      </c>
      <c r="L66">
        <v>0.29409948327715901</v>
      </c>
      <c r="M66" t="s">
        <v>51</v>
      </c>
      <c r="N66" t="s">
        <v>236</v>
      </c>
      <c r="O66" t="s">
        <v>2844</v>
      </c>
      <c r="P66">
        <v>4141.8068000000003</v>
      </c>
      <c r="Q66">
        <v>672.31399999999996</v>
      </c>
      <c r="R66">
        <v>0.16232384378720899</v>
      </c>
      <c r="S66">
        <v>1.25774061909311</v>
      </c>
      <c r="T66">
        <v>63</v>
      </c>
      <c r="U66" t="s">
        <v>2826</v>
      </c>
    </row>
    <row r="67" spans="1:21" x14ac:dyDescent="0.3">
      <c r="A67">
        <v>66</v>
      </c>
      <c r="B67" t="s">
        <v>1072</v>
      </c>
      <c r="C67" t="s">
        <v>76</v>
      </c>
      <c r="D67">
        <v>51</v>
      </c>
      <c r="E67" t="s">
        <v>38</v>
      </c>
      <c r="F67">
        <v>15</v>
      </c>
      <c r="G67" t="s">
        <v>38</v>
      </c>
      <c r="H67" t="s">
        <v>38</v>
      </c>
      <c r="I67">
        <v>0.3</v>
      </c>
      <c r="J67" t="s">
        <v>38</v>
      </c>
      <c r="K67">
        <v>0</v>
      </c>
      <c r="L67">
        <v>6.0761477632483699E-2</v>
      </c>
      <c r="M67" t="s">
        <v>76</v>
      </c>
      <c r="N67" t="s">
        <v>262</v>
      </c>
      <c r="O67" t="s">
        <v>2838</v>
      </c>
      <c r="P67">
        <v>1299.9023999999999</v>
      </c>
      <c r="Q67">
        <v>641.09040000000005</v>
      </c>
      <c r="R67">
        <v>0.49318348823727098</v>
      </c>
      <c r="S67">
        <v>0.295742388543145</v>
      </c>
      <c r="T67">
        <v>15</v>
      </c>
      <c r="U67" t="s">
        <v>2826</v>
      </c>
    </row>
    <row r="68" spans="1:21" x14ac:dyDescent="0.3">
      <c r="A68">
        <v>67</v>
      </c>
      <c r="B68" t="s">
        <v>1137</v>
      </c>
      <c r="C68" t="s">
        <v>38</v>
      </c>
      <c r="D68">
        <v>46</v>
      </c>
      <c r="E68" t="s">
        <v>38</v>
      </c>
      <c r="F68">
        <v>18</v>
      </c>
      <c r="G68" t="s">
        <v>51</v>
      </c>
      <c r="H68" t="s">
        <v>76</v>
      </c>
      <c r="I68">
        <v>0.4</v>
      </c>
      <c r="J68" t="s">
        <v>38</v>
      </c>
      <c r="K68">
        <v>0</v>
      </c>
      <c r="L68">
        <v>8.1786571047421305E-2</v>
      </c>
      <c r="M68" t="s">
        <v>51</v>
      </c>
      <c r="N68" t="s">
        <v>53</v>
      </c>
      <c r="O68" t="s">
        <v>2846</v>
      </c>
      <c r="P68">
        <v>1650.386</v>
      </c>
      <c r="Q68">
        <v>899.23320000000001</v>
      </c>
      <c r="R68">
        <v>0.54486235341307998</v>
      </c>
      <c r="S68">
        <v>0.36168687842500502</v>
      </c>
      <c r="T68">
        <v>18</v>
      </c>
      <c r="U68" t="s">
        <v>2826</v>
      </c>
    </row>
    <row r="69" spans="1:21" x14ac:dyDescent="0.3">
      <c r="A69">
        <v>68</v>
      </c>
      <c r="B69" t="s">
        <v>2482</v>
      </c>
      <c r="C69" t="s">
        <v>76</v>
      </c>
      <c r="D69">
        <v>60</v>
      </c>
      <c r="E69" t="s">
        <v>38</v>
      </c>
      <c r="F69">
        <v>23</v>
      </c>
      <c r="G69" t="s">
        <v>51</v>
      </c>
      <c r="H69" t="s">
        <v>76</v>
      </c>
      <c r="I69">
        <v>0.5</v>
      </c>
      <c r="J69" t="s">
        <v>38</v>
      </c>
      <c r="K69">
        <v>0</v>
      </c>
      <c r="L69">
        <v>0.35818514781614702</v>
      </c>
      <c r="M69" t="s">
        <v>51</v>
      </c>
      <c r="N69" t="s">
        <v>811</v>
      </c>
      <c r="O69" t="s">
        <v>2847</v>
      </c>
      <c r="P69">
        <v>1121.1792</v>
      </c>
      <c r="Q69">
        <v>411.51119999999997</v>
      </c>
      <c r="R69">
        <v>0.36703427962273999</v>
      </c>
      <c r="S69">
        <v>0.46407362191690099</v>
      </c>
      <c r="T69">
        <v>23</v>
      </c>
      <c r="U69" t="s">
        <v>2826</v>
      </c>
    </row>
    <row r="70" spans="1:21" x14ac:dyDescent="0.3">
      <c r="A70">
        <v>69</v>
      </c>
      <c r="B70" t="s">
        <v>55</v>
      </c>
      <c r="C70" t="s">
        <v>38</v>
      </c>
      <c r="D70">
        <v>1</v>
      </c>
      <c r="E70" t="s">
        <v>38</v>
      </c>
      <c r="F70">
        <v>1</v>
      </c>
      <c r="G70" t="s">
        <v>38</v>
      </c>
      <c r="H70" t="s">
        <v>38</v>
      </c>
      <c r="I70">
        <v>0</v>
      </c>
      <c r="J70" t="s">
        <v>38</v>
      </c>
      <c r="K70">
        <v>0</v>
      </c>
      <c r="L70">
        <v>0</v>
      </c>
      <c r="M70" t="s">
        <v>38</v>
      </c>
      <c r="O70" t="s">
        <v>2838</v>
      </c>
      <c r="P70">
        <v>335.9332</v>
      </c>
      <c r="Q70">
        <v>332.89760000000001</v>
      </c>
      <c r="R70">
        <v>0.99096367968393695</v>
      </c>
      <c r="S70">
        <v>2.5581328140548198E-2</v>
      </c>
      <c r="T70">
        <v>1</v>
      </c>
      <c r="U70" t="s">
        <v>2826</v>
      </c>
    </row>
    <row r="71" spans="1:21" x14ac:dyDescent="0.3">
      <c r="A71">
        <v>70</v>
      </c>
      <c r="B71" t="s">
        <v>1042</v>
      </c>
      <c r="C71" t="s">
        <v>38</v>
      </c>
      <c r="D71">
        <v>0</v>
      </c>
      <c r="E71" t="s">
        <v>38</v>
      </c>
      <c r="F71">
        <v>1</v>
      </c>
      <c r="G71" t="s">
        <v>38</v>
      </c>
      <c r="H71" t="s">
        <v>38</v>
      </c>
      <c r="I71">
        <v>0</v>
      </c>
      <c r="J71" t="s">
        <v>38</v>
      </c>
      <c r="K71">
        <v>0</v>
      </c>
      <c r="L71">
        <v>1.6197442991813601E-4</v>
      </c>
      <c r="M71" t="s">
        <v>38</v>
      </c>
      <c r="O71" t="s">
        <v>2838</v>
      </c>
      <c r="P71">
        <v>2094.6480000000001</v>
      </c>
      <c r="Q71">
        <v>2084.2795999999998</v>
      </c>
      <c r="R71">
        <v>0.99505005136901303</v>
      </c>
      <c r="S71">
        <v>1.1159916081734099E-2</v>
      </c>
      <c r="T71">
        <v>1</v>
      </c>
      <c r="U71" t="s">
        <v>2826</v>
      </c>
    </row>
    <row r="72" spans="1:21" x14ac:dyDescent="0.3">
      <c r="A72">
        <v>71</v>
      </c>
      <c r="B72" t="s">
        <v>998</v>
      </c>
      <c r="C72" t="s">
        <v>38</v>
      </c>
      <c r="D72">
        <v>0</v>
      </c>
      <c r="E72" t="s">
        <v>38</v>
      </c>
      <c r="F72">
        <v>0</v>
      </c>
      <c r="G72" t="s">
        <v>38</v>
      </c>
      <c r="H72" t="s">
        <v>38</v>
      </c>
      <c r="I72">
        <v>0</v>
      </c>
      <c r="J72" t="s">
        <v>38</v>
      </c>
      <c r="K72">
        <v>0</v>
      </c>
      <c r="L72">
        <v>0</v>
      </c>
      <c r="M72" t="s">
        <v>38</v>
      </c>
      <c r="O72" t="s">
        <v>2838</v>
      </c>
      <c r="P72">
        <v>361.43</v>
      </c>
      <c r="Q72">
        <v>361.39319999999998</v>
      </c>
      <c r="R72">
        <v>0.99989818222062399</v>
      </c>
      <c r="S72">
        <v>2.9743162946055E-4</v>
      </c>
      <c r="T72">
        <v>0</v>
      </c>
      <c r="U72" t="s">
        <v>2826</v>
      </c>
    </row>
    <row r="73" spans="1:21" x14ac:dyDescent="0.3">
      <c r="A73">
        <v>72</v>
      </c>
      <c r="B73" t="s">
        <v>224</v>
      </c>
      <c r="C73" t="s">
        <v>38</v>
      </c>
      <c r="D73">
        <v>2</v>
      </c>
      <c r="E73" t="s">
        <v>38</v>
      </c>
      <c r="F73">
        <v>3</v>
      </c>
      <c r="G73" t="s">
        <v>38</v>
      </c>
      <c r="H73" t="s">
        <v>38</v>
      </c>
      <c r="I73">
        <v>0.1</v>
      </c>
      <c r="J73" t="s">
        <v>38</v>
      </c>
      <c r="K73">
        <v>0</v>
      </c>
      <c r="L73">
        <v>0</v>
      </c>
      <c r="M73" t="s">
        <v>38</v>
      </c>
      <c r="O73" t="s">
        <v>2838</v>
      </c>
      <c r="P73">
        <v>160.0684</v>
      </c>
      <c r="Q73">
        <v>156.46879999999999</v>
      </c>
      <c r="R73">
        <v>0.97751211357144796</v>
      </c>
      <c r="S73">
        <v>6.3105221499171193E-2</v>
      </c>
      <c r="T73">
        <v>3</v>
      </c>
      <c r="U73" t="s">
        <v>2826</v>
      </c>
    </row>
    <row r="74" spans="1:21" x14ac:dyDescent="0.3">
      <c r="A74">
        <v>73</v>
      </c>
      <c r="B74" t="s">
        <v>906</v>
      </c>
      <c r="C74" t="s">
        <v>38</v>
      </c>
      <c r="D74">
        <v>1</v>
      </c>
      <c r="E74" t="s">
        <v>38</v>
      </c>
      <c r="F74">
        <v>0</v>
      </c>
      <c r="G74" t="s">
        <v>38</v>
      </c>
      <c r="H74" t="s">
        <v>38</v>
      </c>
      <c r="I74">
        <v>0</v>
      </c>
      <c r="J74" t="s">
        <v>38</v>
      </c>
      <c r="K74">
        <v>0</v>
      </c>
      <c r="L74" t="s">
        <v>2840</v>
      </c>
      <c r="M74" t="s">
        <v>38</v>
      </c>
      <c r="O74" t="s">
        <v>2848</v>
      </c>
      <c r="P74">
        <v>107.7996</v>
      </c>
      <c r="Q74">
        <v>107.19280000000001</v>
      </c>
      <c r="R74">
        <v>0.99437103662722304</v>
      </c>
      <c r="S74">
        <v>9.5098586309521095E-3</v>
      </c>
      <c r="T74">
        <v>0</v>
      </c>
      <c r="U74" t="s">
        <v>2826</v>
      </c>
    </row>
    <row r="75" spans="1:21" x14ac:dyDescent="0.3">
      <c r="A75">
        <v>74</v>
      </c>
      <c r="B75" t="s">
        <v>2023</v>
      </c>
      <c r="C75" t="s">
        <v>38</v>
      </c>
      <c r="D75">
        <v>0</v>
      </c>
      <c r="E75" t="s">
        <v>38</v>
      </c>
      <c r="F75">
        <v>0</v>
      </c>
      <c r="G75" t="s">
        <v>38</v>
      </c>
      <c r="H75" t="s">
        <v>38</v>
      </c>
      <c r="I75">
        <v>0</v>
      </c>
      <c r="J75" t="s">
        <v>38</v>
      </c>
      <c r="K75">
        <v>0</v>
      </c>
      <c r="L75">
        <v>0</v>
      </c>
      <c r="M75" t="s">
        <v>38</v>
      </c>
      <c r="O75" t="s">
        <v>2838</v>
      </c>
      <c r="P75">
        <v>592.28599999999994</v>
      </c>
      <c r="Q75">
        <v>591.93439999999998</v>
      </c>
      <c r="R75">
        <v>0.99940636786957704</v>
      </c>
      <c r="S75">
        <v>1.85510040757317E-3</v>
      </c>
      <c r="T75">
        <v>0</v>
      </c>
      <c r="U75" t="s">
        <v>2826</v>
      </c>
    </row>
    <row r="76" spans="1:21" x14ac:dyDescent="0.3">
      <c r="A76">
        <v>75</v>
      </c>
      <c r="B76" t="s">
        <v>1520</v>
      </c>
      <c r="C76" t="s">
        <v>38</v>
      </c>
      <c r="D76">
        <v>1</v>
      </c>
      <c r="E76" t="s">
        <v>38</v>
      </c>
      <c r="F76">
        <v>2</v>
      </c>
      <c r="G76" t="s">
        <v>38</v>
      </c>
      <c r="H76" t="s">
        <v>38</v>
      </c>
      <c r="I76">
        <v>0</v>
      </c>
      <c r="J76" t="s">
        <v>38</v>
      </c>
      <c r="K76">
        <v>0</v>
      </c>
      <c r="L76" t="s">
        <v>2840</v>
      </c>
      <c r="M76" t="s">
        <v>38</v>
      </c>
      <c r="O76" t="s">
        <v>2848</v>
      </c>
      <c r="P76">
        <v>8.2235999999999994</v>
      </c>
      <c r="Q76">
        <v>8.1067999999999998</v>
      </c>
      <c r="R76">
        <v>0.98579697456102</v>
      </c>
      <c r="S76">
        <v>4.4384454496813899E-2</v>
      </c>
      <c r="T76">
        <v>2</v>
      </c>
      <c r="U76" t="s">
        <v>2826</v>
      </c>
    </row>
    <row r="77" spans="1:21" x14ac:dyDescent="0.3">
      <c r="A77">
        <v>76</v>
      </c>
      <c r="B77" t="s">
        <v>1339</v>
      </c>
      <c r="C77" t="s">
        <v>38</v>
      </c>
      <c r="D77">
        <v>1</v>
      </c>
      <c r="E77" t="s">
        <v>38</v>
      </c>
      <c r="F77">
        <v>1</v>
      </c>
      <c r="G77" t="s">
        <v>38</v>
      </c>
      <c r="H77" t="s">
        <v>38</v>
      </c>
      <c r="I77">
        <v>0</v>
      </c>
      <c r="J77" t="s">
        <v>38</v>
      </c>
      <c r="K77">
        <v>0</v>
      </c>
      <c r="L77">
        <v>0</v>
      </c>
      <c r="M77" t="s">
        <v>38</v>
      </c>
      <c r="O77" t="s">
        <v>2838</v>
      </c>
      <c r="P77">
        <v>247.00479999999999</v>
      </c>
      <c r="Q77">
        <v>244.04519999999999</v>
      </c>
      <c r="R77">
        <v>0.98801804661285897</v>
      </c>
      <c r="S77">
        <v>2.4892806969619999E-2</v>
      </c>
      <c r="T77">
        <v>1</v>
      </c>
      <c r="U77" t="s">
        <v>2826</v>
      </c>
    </row>
    <row r="78" spans="1:21" x14ac:dyDescent="0.3">
      <c r="A78">
        <v>77</v>
      </c>
      <c r="B78" t="s">
        <v>379</v>
      </c>
      <c r="C78" t="s">
        <v>38</v>
      </c>
      <c r="D78">
        <v>0</v>
      </c>
      <c r="E78" t="s">
        <v>38</v>
      </c>
      <c r="F78">
        <v>0</v>
      </c>
      <c r="G78" t="s">
        <v>38</v>
      </c>
      <c r="H78" t="s">
        <v>38</v>
      </c>
      <c r="I78">
        <v>0</v>
      </c>
      <c r="J78" t="s">
        <v>38</v>
      </c>
      <c r="K78">
        <v>0</v>
      </c>
      <c r="L78">
        <v>0</v>
      </c>
      <c r="M78" t="s">
        <v>38</v>
      </c>
      <c r="O78" t="s">
        <v>2838</v>
      </c>
      <c r="P78">
        <v>343.19920000000002</v>
      </c>
      <c r="Q78">
        <v>342.92439999999999</v>
      </c>
      <c r="R78">
        <v>0.99919929883286396</v>
      </c>
      <c r="S78">
        <v>2.36025264610566E-3</v>
      </c>
      <c r="T78">
        <v>0</v>
      </c>
      <c r="U78" t="s">
        <v>2826</v>
      </c>
    </row>
    <row r="79" spans="1:21" x14ac:dyDescent="0.3">
      <c r="A79">
        <v>78</v>
      </c>
      <c r="B79" t="s">
        <v>1661</v>
      </c>
      <c r="C79" t="s">
        <v>38</v>
      </c>
      <c r="D79">
        <v>2</v>
      </c>
      <c r="E79" t="s">
        <v>38</v>
      </c>
      <c r="F79">
        <v>2</v>
      </c>
      <c r="G79" t="s">
        <v>38</v>
      </c>
      <c r="H79" t="s">
        <v>38</v>
      </c>
      <c r="I79">
        <v>0</v>
      </c>
      <c r="J79" t="s">
        <v>38</v>
      </c>
      <c r="K79">
        <v>0</v>
      </c>
      <c r="L79" s="18">
        <v>8.6792457868938095E-5</v>
      </c>
      <c r="M79" t="s">
        <v>38</v>
      </c>
      <c r="O79" t="s">
        <v>2838</v>
      </c>
      <c r="P79">
        <v>1217.99</v>
      </c>
      <c r="Q79">
        <v>1198.2608</v>
      </c>
      <c r="R79">
        <v>0.98380183745350902</v>
      </c>
      <c r="S79">
        <v>3.2934937705610803E-2</v>
      </c>
      <c r="T79">
        <v>2</v>
      </c>
      <c r="U79" t="s">
        <v>2826</v>
      </c>
    </row>
    <row r="80" spans="1:21" x14ac:dyDescent="0.3">
      <c r="A80">
        <v>79</v>
      </c>
      <c r="B80" t="s">
        <v>1742</v>
      </c>
      <c r="C80" t="s">
        <v>106</v>
      </c>
      <c r="D80">
        <v>92</v>
      </c>
      <c r="E80" t="s">
        <v>51</v>
      </c>
      <c r="F80">
        <v>61</v>
      </c>
      <c r="G80" t="s">
        <v>106</v>
      </c>
      <c r="H80" t="s">
        <v>106</v>
      </c>
      <c r="I80">
        <v>1.2</v>
      </c>
      <c r="J80" t="s">
        <v>38</v>
      </c>
      <c r="K80">
        <v>0</v>
      </c>
      <c r="L80">
        <v>0</v>
      </c>
      <c r="M80" t="s">
        <v>106</v>
      </c>
      <c r="N80" t="s">
        <v>1748</v>
      </c>
      <c r="O80" t="s">
        <v>2846</v>
      </c>
      <c r="P80">
        <v>17.0928</v>
      </c>
      <c r="Q80">
        <v>1.3532</v>
      </c>
      <c r="R80">
        <v>7.91678367499766E-2</v>
      </c>
      <c r="S80">
        <v>1.21430507861919</v>
      </c>
      <c r="T80">
        <v>61</v>
      </c>
      <c r="U80" t="s">
        <v>2826</v>
      </c>
    </row>
    <row r="81" spans="1:21" x14ac:dyDescent="0.3">
      <c r="A81">
        <v>80</v>
      </c>
      <c r="B81" t="s">
        <v>1850</v>
      </c>
      <c r="C81" t="s">
        <v>38</v>
      </c>
      <c r="D81">
        <v>35</v>
      </c>
      <c r="E81" t="s">
        <v>76</v>
      </c>
      <c r="F81">
        <v>30</v>
      </c>
      <c r="G81" t="s">
        <v>106</v>
      </c>
      <c r="H81" t="s">
        <v>106</v>
      </c>
      <c r="I81">
        <v>0.6</v>
      </c>
      <c r="J81" t="s">
        <v>38</v>
      </c>
      <c r="K81">
        <v>0</v>
      </c>
      <c r="L81" t="s">
        <v>2840</v>
      </c>
      <c r="M81" t="s">
        <v>106</v>
      </c>
      <c r="N81" t="s">
        <v>706</v>
      </c>
      <c r="O81" t="s">
        <v>2841</v>
      </c>
      <c r="P81">
        <v>1.5427999999999999</v>
      </c>
      <c r="Q81">
        <v>1.01</v>
      </c>
      <c r="R81">
        <v>0.654653876069484</v>
      </c>
      <c r="S81">
        <v>0.59676385773790397</v>
      </c>
      <c r="T81">
        <v>30</v>
      </c>
      <c r="U81" t="s">
        <v>2826</v>
      </c>
    </row>
    <row r="82" spans="1:21" x14ac:dyDescent="0.3">
      <c r="A82">
        <v>81</v>
      </c>
      <c r="B82" t="s">
        <v>1285</v>
      </c>
      <c r="C82" t="s">
        <v>38</v>
      </c>
      <c r="D82">
        <v>12</v>
      </c>
      <c r="E82" t="s">
        <v>38</v>
      </c>
      <c r="F82">
        <v>6</v>
      </c>
      <c r="G82" t="s">
        <v>38</v>
      </c>
      <c r="H82" t="s">
        <v>38</v>
      </c>
      <c r="I82">
        <v>0.1</v>
      </c>
      <c r="J82" t="s">
        <v>38</v>
      </c>
      <c r="K82">
        <v>0</v>
      </c>
      <c r="L82">
        <v>0</v>
      </c>
      <c r="M82" t="s">
        <v>38</v>
      </c>
      <c r="O82" t="s">
        <v>2838</v>
      </c>
      <c r="P82">
        <v>139.92240000000001</v>
      </c>
      <c r="Q82">
        <v>122.5984</v>
      </c>
      <c r="R82">
        <v>0.87618851592025304</v>
      </c>
      <c r="S82">
        <v>0.11990156090673799</v>
      </c>
      <c r="T82">
        <v>6</v>
      </c>
      <c r="U82" t="s">
        <v>2826</v>
      </c>
    </row>
    <row r="83" spans="1:21" x14ac:dyDescent="0.3">
      <c r="A83">
        <v>82</v>
      </c>
      <c r="B83" t="s">
        <v>1970</v>
      </c>
      <c r="C83" t="s">
        <v>38</v>
      </c>
      <c r="D83">
        <v>10</v>
      </c>
      <c r="E83" t="s">
        <v>38</v>
      </c>
      <c r="F83">
        <v>5</v>
      </c>
      <c r="G83" t="s">
        <v>106</v>
      </c>
      <c r="H83" t="s">
        <v>51</v>
      </c>
      <c r="I83">
        <v>0.1</v>
      </c>
      <c r="J83" t="s">
        <v>38</v>
      </c>
      <c r="K83">
        <v>0</v>
      </c>
      <c r="L83">
        <v>0</v>
      </c>
      <c r="M83" t="s">
        <v>106</v>
      </c>
      <c r="N83" t="s">
        <v>108</v>
      </c>
      <c r="O83" t="s">
        <v>2849</v>
      </c>
      <c r="P83">
        <v>217.01480000000001</v>
      </c>
      <c r="Q83">
        <v>194.7612</v>
      </c>
      <c r="R83">
        <v>0.89745584172139403</v>
      </c>
      <c r="S83">
        <v>9.8568206364455402E-2</v>
      </c>
      <c r="T83">
        <v>5</v>
      </c>
      <c r="U83" t="s">
        <v>2826</v>
      </c>
    </row>
    <row r="84" spans="1:21" x14ac:dyDescent="0.3">
      <c r="A84">
        <v>83</v>
      </c>
      <c r="B84" t="s">
        <v>1272</v>
      </c>
      <c r="C84" t="s">
        <v>38</v>
      </c>
      <c r="D84">
        <v>8</v>
      </c>
      <c r="E84" t="s">
        <v>38</v>
      </c>
      <c r="F84">
        <v>3</v>
      </c>
      <c r="G84" t="s">
        <v>38</v>
      </c>
      <c r="H84" t="s">
        <v>38</v>
      </c>
      <c r="I84">
        <v>0.1</v>
      </c>
      <c r="J84" t="s">
        <v>38</v>
      </c>
      <c r="K84">
        <v>0</v>
      </c>
      <c r="L84">
        <v>0</v>
      </c>
      <c r="M84" t="s">
        <v>38</v>
      </c>
      <c r="O84" t="s">
        <v>2838</v>
      </c>
      <c r="P84">
        <v>418.2756</v>
      </c>
      <c r="Q84">
        <v>384.40440000000001</v>
      </c>
      <c r="R84">
        <v>0.919021812412677</v>
      </c>
      <c r="S84">
        <v>6.2885739135577406E-2</v>
      </c>
      <c r="T84">
        <v>3</v>
      </c>
      <c r="U84" t="s">
        <v>2826</v>
      </c>
    </row>
    <row r="85" spans="1:21" x14ac:dyDescent="0.3">
      <c r="A85">
        <v>84</v>
      </c>
      <c r="B85" t="s">
        <v>780</v>
      </c>
      <c r="C85" t="s">
        <v>51</v>
      </c>
      <c r="D85">
        <v>71</v>
      </c>
      <c r="E85" t="s">
        <v>76</v>
      </c>
      <c r="F85">
        <v>42</v>
      </c>
      <c r="G85" t="s">
        <v>106</v>
      </c>
      <c r="H85" t="s">
        <v>51</v>
      </c>
      <c r="I85">
        <v>0.8</v>
      </c>
      <c r="J85" t="s">
        <v>38</v>
      </c>
      <c r="K85">
        <v>0</v>
      </c>
      <c r="L85">
        <v>2.51346227918464E-2</v>
      </c>
      <c r="M85" t="s">
        <v>106</v>
      </c>
      <c r="N85" t="s">
        <v>53</v>
      </c>
      <c r="O85" t="s">
        <v>2846</v>
      </c>
      <c r="P85">
        <v>180.0652</v>
      </c>
      <c r="Q85">
        <v>52.962800000000001</v>
      </c>
      <c r="R85">
        <v>0.29413123690752002</v>
      </c>
      <c r="S85">
        <v>0.83019402910575202</v>
      </c>
      <c r="T85">
        <v>42</v>
      </c>
      <c r="U85" t="s">
        <v>2826</v>
      </c>
    </row>
    <row r="86" spans="1:21" x14ac:dyDescent="0.3">
      <c r="A86">
        <v>85</v>
      </c>
      <c r="B86" t="s">
        <v>385</v>
      </c>
      <c r="C86" t="s">
        <v>76</v>
      </c>
      <c r="D86">
        <v>62</v>
      </c>
      <c r="E86" t="s">
        <v>76</v>
      </c>
      <c r="F86">
        <v>44</v>
      </c>
      <c r="G86" t="s">
        <v>51</v>
      </c>
      <c r="H86" t="s">
        <v>51</v>
      </c>
      <c r="I86">
        <v>0.9</v>
      </c>
      <c r="J86" t="s">
        <v>38</v>
      </c>
      <c r="K86">
        <v>0</v>
      </c>
      <c r="L86">
        <v>0.16544025380590499</v>
      </c>
      <c r="M86" t="s">
        <v>51</v>
      </c>
      <c r="N86" t="s">
        <v>391</v>
      </c>
      <c r="O86" t="s">
        <v>2850</v>
      </c>
      <c r="P86">
        <v>501.64960000000002</v>
      </c>
      <c r="Q86">
        <v>168.94800000000001</v>
      </c>
      <c r="R86">
        <v>0.336784879326127</v>
      </c>
      <c r="S86">
        <v>0.87895128450780002</v>
      </c>
      <c r="T86">
        <v>44</v>
      </c>
      <c r="U86" t="s">
        <v>2826</v>
      </c>
    </row>
    <row r="87" spans="1:21" x14ac:dyDescent="0.3">
      <c r="A87">
        <v>86</v>
      </c>
      <c r="B87" t="s">
        <v>1438</v>
      </c>
      <c r="C87" t="s">
        <v>51</v>
      </c>
      <c r="D87">
        <v>71</v>
      </c>
      <c r="E87" t="s">
        <v>76</v>
      </c>
      <c r="F87">
        <v>43</v>
      </c>
      <c r="G87" t="s">
        <v>51</v>
      </c>
      <c r="H87" t="s">
        <v>76</v>
      </c>
      <c r="I87">
        <v>0.9</v>
      </c>
      <c r="J87" t="s">
        <v>38</v>
      </c>
      <c r="K87">
        <v>0</v>
      </c>
      <c r="L87">
        <v>0.14908656667610701</v>
      </c>
      <c r="M87" t="s">
        <v>51</v>
      </c>
      <c r="N87" t="s">
        <v>1444</v>
      </c>
      <c r="O87" t="s">
        <v>2851</v>
      </c>
      <c r="P87">
        <v>477.154</v>
      </c>
      <c r="Q87">
        <v>136.99959999999999</v>
      </c>
      <c r="R87">
        <v>0.28711820502395502</v>
      </c>
      <c r="S87">
        <v>0.867968056413707</v>
      </c>
      <c r="T87">
        <v>43</v>
      </c>
      <c r="U87" t="s">
        <v>2826</v>
      </c>
    </row>
    <row r="88" spans="1:21" x14ac:dyDescent="0.3">
      <c r="A88">
        <v>87</v>
      </c>
      <c r="B88" t="s">
        <v>574</v>
      </c>
      <c r="C88" t="s">
        <v>106</v>
      </c>
      <c r="D88">
        <v>96</v>
      </c>
      <c r="E88" t="s">
        <v>106</v>
      </c>
      <c r="F88">
        <v>95</v>
      </c>
      <c r="G88" t="s">
        <v>106</v>
      </c>
      <c r="H88" t="s">
        <v>51</v>
      </c>
      <c r="I88">
        <v>1.9</v>
      </c>
      <c r="J88" t="s">
        <v>38</v>
      </c>
      <c r="K88">
        <v>21</v>
      </c>
      <c r="L88">
        <v>0.19386958219445499</v>
      </c>
      <c r="M88" t="s">
        <v>106</v>
      </c>
      <c r="N88" t="s">
        <v>580</v>
      </c>
      <c r="O88" t="s">
        <v>2852</v>
      </c>
      <c r="P88">
        <v>35.839199999999998</v>
      </c>
      <c r="Q88">
        <v>5.1219999999999999</v>
      </c>
      <c r="R88">
        <v>0.14291613652090401</v>
      </c>
      <c r="S88">
        <v>1.9039690894666199</v>
      </c>
      <c r="T88">
        <v>95</v>
      </c>
      <c r="U88" t="s">
        <v>2826</v>
      </c>
    </row>
    <row r="89" spans="1:21" x14ac:dyDescent="0.3">
      <c r="A89">
        <v>88</v>
      </c>
      <c r="B89" t="s">
        <v>1309</v>
      </c>
      <c r="C89" t="s">
        <v>38</v>
      </c>
      <c r="D89">
        <v>6</v>
      </c>
      <c r="E89" t="s">
        <v>38</v>
      </c>
      <c r="F89">
        <v>3</v>
      </c>
      <c r="G89" t="s">
        <v>38</v>
      </c>
      <c r="H89" t="s">
        <v>38</v>
      </c>
      <c r="I89">
        <v>0.1</v>
      </c>
      <c r="J89" t="s">
        <v>38</v>
      </c>
      <c r="K89">
        <v>0</v>
      </c>
      <c r="L89">
        <v>6.1667102978330496E-3</v>
      </c>
      <c r="M89" t="s">
        <v>38</v>
      </c>
      <c r="O89" t="s">
        <v>2836</v>
      </c>
      <c r="P89">
        <v>279.06880000000001</v>
      </c>
      <c r="Q89">
        <v>258.22519999999997</v>
      </c>
      <c r="R89">
        <v>0.92531017440860497</v>
      </c>
      <c r="S89">
        <v>6.4276042298823305E-2</v>
      </c>
      <c r="T89">
        <v>3</v>
      </c>
      <c r="U89" t="s">
        <v>2826</v>
      </c>
    </row>
    <row r="90" spans="1:21" x14ac:dyDescent="0.3">
      <c r="A90">
        <v>89</v>
      </c>
      <c r="B90" t="s">
        <v>2029</v>
      </c>
      <c r="C90" t="s">
        <v>38</v>
      </c>
      <c r="D90">
        <v>2</v>
      </c>
      <c r="E90" t="s">
        <v>38</v>
      </c>
      <c r="F90">
        <v>1</v>
      </c>
      <c r="G90" t="s">
        <v>51</v>
      </c>
      <c r="H90" t="s">
        <v>76</v>
      </c>
      <c r="I90">
        <v>0</v>
      </c>
      <c r="J90" t="s">
        <v>38</v>
      </c>
      <c r="K90">
        <v>0</v>
      </c>
      <c r="L90">
        <v>0.109039458125466</v>
      </c>
      <c r="M90" t="s">
        <v>51</v>
      </c>
      <c r="N90" t="s">
        <v>108</v>
      </c>
      <c r="O90" t="s">
        <v>2853</v>
      </c>
      <c r="P90">
        <v>134.5308</v>
      </c>
      <c r="Q90">
        <v>128.20679999999999</v>
      </c>
      <c r="R90">
        <v>0.952992177256063</v>
      </c>
      <c r="S90">
        <v>2.62102138428605E-2</v>
      </c>
      <c r="T90">
        <v>1</v>
      </c>
      <c r="U90" t="s">
        <v>2826</v>
      </c>
    </row>
    <row r="91" spans="1:21" x14ac:dyDescent="0.3">
      <c r="A91">
        <v>90</v>
      </c>
      <c r="B91" t="s">
        <v>2715</v>
      </c>
      <c r="C91" t="s">
        <v>38</v>
      </c>
      <c r="D91">
        <v>1</v>
      </c>
      <c r="E91" t="s">
        <v>38</v>
      </c>
      <c r="F91">
        <v>0</v>
      </c>
      <c r="G91" t="s">
        <v>38</v>
      </c>
      <c r="H91" t="s">
        <v>38</v>
      </c>
      <c r="I91">
        <v>0</v>
      </c>
      <c r="J91" t="s">
        <v>38</v>
      </c>
      <c r="K91">
        <v>0</v>
      </c>
      <c r="L91">
        <v>8.0966729030118693E-3</v>
      </c>
      <c r="M91" t="s">
        <v>38</v>
      </c>
      <c r="O91" t="s">
        <v>2833</v>
      </c>
      <c r="P91">
        <v>97.877600000000001</v>
      </c>
      <c r="Q91">
        <v>97.706800000000001</v>
      </c>
      <c r="R91">
        <v>0.99825496334196995</v>
      </c>
      <c r="S91">
        <v>3.37380536619065E-3</v>
      </c>
      <c r="T91">
        <v>0</v>
      </c>
      <c r="U91" t="s">
        <v>2826</v>
      </c>
    </row>
    <row r="92" spans="1:21" x14ac:dyDescent="0.3">
      <c r="A92">
        <v>91</v>
      </c>
      <c r="B92" t="s">
        <v>2370</v>
      </c>
      <c r="C92" t="s">
        <v>38</v>
      </c>
      <c r="D92">
        <v>12</v>
      </c>
      <c r="E92" t="s">
        <v>38</v>
      </c>
      <c r="F92">
        <v>4</v>
      </c>
      <c r="G92" t="s">
        <v>38</v>
      </c>
      <c r="H92" t="s">
        <v>38</v>
      </c>
      <c r="I92">
        <v>0.1</v>
      </c>
      <c r="J92" t="s">
        <v>38</v>
      </c>
      <c r="K92">
        <v>0</v>
      </c>
      <c r="L92">
        <v>0.111882316378328</v>
      </c>
      <c r="M92" t="s">
        <v>38</v>
      </c>
      <c r="O92" t="s">
        <v>2836</v>
      </c>
      <c r="P92">
        <v>61.962400000000002</v>
      </c>
      <c r="Q92">
        <v>54.056800000000003</v>
      </c>
      <c r="R92">
        <v>0.87241294720669305</v>
      </c>
      <c r="S92">
        <v>7.8472728190848301E-2</v>
      </c>
      <c r="T92">
        <v>4</v>
      </c>
      <c r="U92" t="s">
        <v>2826</v>
      </c>
    </row>
    <row r="93" spans="1:21" x14ac:dyDescent="0.3">
      <c r="A93">
        <v>92</v>
      </c>
      <c r="B93" t="s">
        <v>2376</v>
      </c>
      <c r="C93" t="s">
        <v>38</v>
      </c>
      <c r="D93">
        <v>12</v>
      </c>
      <c r="E93" t="s">
        <v>38</v>
      </c>
      <c r="F93">
        <v>3</v>
      </c>
      <c r="G93" t="s">
        <v>38</v>
      </c>
      <c r="H93" t="s">
        <v>38</v>
      </c>
      <c r="I93">
        <v>0.1</v>
      </c>
      <c r="J93" t="s">
        <v>38</v>
      </c>
      <c r="K93">
        <v>0</v>
      </c>
      <c r="L93">
        <v>2.16810539146115E-2</v>
      </c>
      <c r="M93" t="s">
        <v>38</v>
      </c>
      <c r="O93" t="s">
        <v>2825</v>
      </c>
      <c r="P93">
        <v>108.3896</v>
      </c>
      <c r="Q93">
        <v>95.825599999999994</v>
      </c>
      <c r="R93">
        <v>0.884084819945825</v>
      </c>
      <c r="S93">
        <v>5.0273429959627303E-2</v>
      </c>
      <c r="T93">
        <v>3</v>
      </c>
      <c r="U93" t="s">
        <v>2826</v>
      </c>
    </row>
    <row r="94" spans="1:21" x14ac:dyDescent="0.3">
      <c r="A94">
        <v>93</v>
      </c>
      <c r="B94" t="s">
        <v>1613</v>
      </c>
      <c r="C94" t="s">
        <v>76</v>
      </c>
      <c r="D94">
        <v>62</v>
      </c>
      <c r="E94" t="s">
        <v>38</v>
      </c>
      <c r="F94">
        <v>24</v>
      </c>
      <c r="G94" t="s">
        <v>51</v>
      </c>
      <c r="H94" t="s">
        <v>51</v>
      </c>
      <c r="I94">
        <v>0.5</v>
      </c>
      <c r="J94" t="s">
        <v>38</v>
      </c>
      <c r="K94">
        <v>0</v>
      </c>
      <c r="L94">
        <v>0.21983053163864999</v>
      </c>
      <c r="M94" t="s">
        <v>51</v>
      </c>
      <c r="N94" t="s">
        <v>706</v>
      </c>
      <c r="O94" t="s">
        <v>2828</v>
      </c>
      <c r="P94">
        <v>78.044399999999996</v>
      </c>
      <c r="Q94">
        <v>29.268000000000001</v>
      </c>
      <c r="R94">
        <v>0.37501729784584198</v>
      </c>
      <c r="S94">
        <v>0.47667651146629603</v>
      </c>
      <c r="T94">
        <v>24</v>
      </c>
      <c r="U94" t="s">
        <v>2826</v>
      </c>
    </row>
    <row r="95" spans="1:21" x14ac:dyDescent="0.3">
      <c r="A95">
        <v>94</v>
      </c>
      <c r="B95" t="s">
        <v>654</v>
      </c>
      <c r="C95" t="s">
        <v>76</v>
      </c>
      <c r="D95">
        <v>50</v>
      </c>
      <c r="E95" t="s">
        <v>38</v>
      </c>
      <c r="F95">
        <v>28</v>
      </c>
      <c r="G95" t="s">
        <v>51</v>
      </c>
      <c r="H95" t="s">
        <v>76</v>
      </c>
      <c r="I95">
        <v>0.6</v>
      </c>
      <c r="J95" t="s">
        <v>38</v>
      </c>
      <c r="K95">
        <v>0</v>
      </c>
      <c r="L95">
        <v>0.224280701609923</v>
      </c>
      <c r="M95" t="s">
        <v>51</v>
      </c>
      <c r="N95" t="s">
        <v>504</v>
      </c>
      <c r="O95" t="s">
        <v>2850</v>
      </c>
      <c r="P95">
        <v>869.16480000000001</v>
      </c>
      <c r="Q95">
        <v>388.6148</v>
      </c>
      <c r="R95">
        <v>0.447112906551209</v>
      </c>
      <c r="S95">
        <v>0.55428052019749097</v>
      </c>
      <c r="T95">
        <v>28</v>
      </c>
      <c r="U95" t="s">
        <v>2826</v>
      </c>
    </row>
    <row r="96" spans="1:21" x14ac:dyDescent="0.3">
      <c r="A96">
        <v>95</v>
      </c>
      <c r="B96" t="s">
        <v>894</v>
      </c>
      <c r="C96" t="s">
        <v>38</v>
      </c>
      <c r="D96">
        <v>15</v>
      </c>
      <c r="E96" t="s">
        <v>38</v>
      </c>
      <c r="F96">
        <v>3</v>
      </c>
      <c r="G96" t="s">
        <v>38</v>
      </c>
      <c r="H96" t="s">
        <v>38</v>
      </c>
      <c r="I96">
        <v>0.1</v>
      </c>
      <c r="J96" t="s">
        <v>38</v>
      </c>
      <c r="K96">
        <v>0</v>
      </c>
      <c r="L96">
        <v>1.9362501301194799E-3</v>
      </c>
      <c r="M96" t="s">
        <v>38</v>
      </c>
      <c r="O96" t="s">
        <v>2838</v>
      </c>
      <c r="P96">
        <v>1300.9767999999999</v>
      </c>
      <c r="Q96">
        <v>1106.6751999999999</v>
      </c>
      <c r="R96">
        <v>0.85064945047444396</v>
      </c>
      <c r="S96">
        <v>5.6699537300901097E-2</v>
      </c>
      <c r="T96">
        <v>3</v>
      </c>
      <c r="U96" t="s">
        <v>2826</v>
      </c>
    </row>
    <row r="97" spans="1:21" x14ac:dyDescent="0.3">
      <c r="A97">
        <v>96</v>
      </c>
      <c r="B97" t="s">
        <v>737</v>
      </c>
      <c r="C97" t="s">
        <v>51</v>
      </c>
      <c r="D97">
        <v>70</v>
      </c>
      <c r="E97" t="s">
        <v>76</v>
      </c>
      <c r="F97">
        <v>33</v>
      </c>
      <c r="G97" t="s">
        <v>106</v>
      </c>
      <c r="H97" t="s">
        <v>51</v>
      </c>
      <c r="I97">
        <v>0.7</v>
      </c>
      <c r="J97" t="s">
        <v>38</v>
      </c>
      <c r="K97">
        <v>0</v>
      </c>
      <c r="L97">
        <v>0.23093766792047299</v>
      </c>
      <c r="M97" t="s">
        <v>106</v>
      </c>
      <c r="N97" t="s">
        <v>53</v>
      </c>
      <c r="O97" t="s">
        <v>2830</v>
      </c>
      <c r="P97">
        <v>151.6788</v>
      </c>
      <c r="Q97">
        <v>29.776</v>
      </c>
      <c r="R97">
        <v>0.19630956995967799</v>
      </c>
      <c r="S97">
        <v>0.668766102124425</v>
      </c>
      <c r="T97">
        <v>33</v>
      </c>
      <c r="U97" t="s">
        <v>2826</v>
      </c>
    </row>
    <row r="98" spans="1:21" x14ac:dyDescent="0.3">
      <c r="A98">
        <v>97</v>
      </c>
      <c r="B98" t="s">
        <v>1345</v>
      </c>
      <c r="C98" t="s">
        <v>38</v>
      </c>
      <c r="D98">
        <v>22</v>
      </c>
      <c r="E98" t="s">
        <v>38</v>
      </c>
      <c r="F98">
        <v>12</v>
      </c>
      <c r="G98" t="s">
        <v>106</v>
      </c>
      <c r="H98" t="s">
        <v>51</v>
      </c>
      <c r="I98">
        <v>0.2</v>
      </c>
      <c r="J98" t="s">
        <v>38</v>
      </c>
      <c r="K98">
        <v>0</v>
      </c>
      <c r="L98">
        <v>0.58037148360180502</v>
      </c>
      <c r="M98" t="s">
        <v>106</v>
      </c>
      <c r="N98" t="s">
        <v>1352</v>
      </c>
      <c r="O98" t="s">
        <v>2854</v>
      </c>
      <c r="P98">
        <v>76.61</v>
      </c>
      <c r="Q98">
        <v>60.018799999999999</v>
      </c>
      <c r="R98">
        <v>0.78343297219684105</v>
      </c>
      <c r="S98">
        <v>0.241095755607629</v>
      </c>
      <c r="T98">
        <v>12</v>
      </c>
      <c r="U98" t="s">
        <v>2826</v>
      </c>
    </row>
    <row r="99" spans="1:21" x14ac:dyDescent="0.3">
      <c r="A99">
        <v>98</v>
      </c>
      <c r="B99" t="s">
        <v>1060</v>
      </c>
      <c r="C99" t="s">
        <v>76</v>
      </c>
      <c r="D99">
        <v>57</v>
      </c>
      <c r="E99" t="s">
        <v>76</v>
      </c>
      <c r="F99">
        <v>41</v>
      </c>
      <c r="G99" t="s">
        <v>51</v>
      </c>
      <c r="H99" t="s">
        <v>76</v>
      </c>
      <c r="I99">
        <v>0.8</v>
      </c>
      <c r="J99" t="s">
        <v>38</v>
      </c>
      <c r="K99">
        <v>0</v>
      </c>
      <c r="L99">
        <v>2.4760765360610299E-2</v>
      </c>
      <c r="M99" t="s">
        <v>51</v>
      </c>
      <c r="N99" t="s">
        <v>53</v>
      </c>
      <c r="O99" t="s">
        <v>2842</v>
      </c>
      <c r="P99">
        <v>2055.6608000000001</v>
      </c>
      <c r="Q99">
        <v>756.9556</v>
      </c>
      <c r="R99">
        <v>0.36822981690364498</v>
      </c>
      <c r="S99">
        <v>0.82335673099564299</v>
      </c>
      <c r="T99">
        <v>41</v>
      </c>
      <c r="U99" t="s">
        <v>2826</v>
      </c>
    </row>
    <row r="100" spans="1:21" x14ac:dyDescent="0.3">
      <c r="A100">
        <v>99</v>
      </c>
      <c r="B100" t="s">
        <v>1131</v>
      </c>
      <c r="C100" t="s">
        <v>38</v>
      </c>
      <c r="D100">
        <v>30</v>
      </c>
      <c r="E100" t="s">
        <v>38</v>
      </c>
      <c r="F100">
        <v>15</v>
      </c>
      <c r="G100" t="s">
        <v>51</v>
      </c>
      <c r="H100" t="s">
        <v>76</v>
      </c>
      <c r="I100">
        <v>0.3</v>
      </c>
      <c r="J100" t="s">
        <v>38</v>
      </c>
      <c r="K100">
        <v>0</v>
      </c>
      <c r="L100">
        <v>7.4760832264864893E-2</v>
      </c>
      <c r="M100" t="s">
        <v>51</v>
      </c>
      <c r="N100" t="s">
        <v>108</v>
      </c>
      <c r="O100" t="s">
        <v>2853</v>
      </c>
      <c r="P100">
        <v>1009.5924</v>
      </c>
      <c r="Q100">
        <v>638.29679999999996</v>
      </c>
      <c r="R100">
        <v>0.63223217607422599</v>
      </c>
      <c r="S100">
        <v>0.29920706338619601</v>
      </c>
      <c r="T100">
        <v>15</v>
      </c>
      <c r="U100" t="s">
        <v>2826</v>
      </c>
    </row>
    <row r="101" spans="1:21" x14ac:dyDescent="0.3">
      <c r="A101">
        <v>100</v>
      </c>
      <c r="B101" t="s">
        <v>542</v>
      </c>
      <c r="C101" t="s">
        <v>76</v>
      </c>
      <c r="D101">
        <v>52</v>
      </c>
      <c r="E101" t="s">
        <v>38</v>
      </c>
      <c r="F101">
        <v>18</v>
      </c>
      <c r="G101" t="s">
        <v>51</v>
      </c>
      <c r="H101" t="s">
        <v>76</v>
      </c>
      <c r="I101">
        <v>0.4</v>
      </c>
      <c r="J101" t="s">
        <v>38</v>
      </c>
      <c r="K101">
        <v>0</v>
      </c>
      <c r="L101">
        <v>0.36476526701406098</v>
      </c>
      <c r="M101" t="s">
        <v>51</v>
      </c>
      <c r="N101" t="s">
        <v>548</v>
      </c>
      <c r="O101" t="s">
        <v>2838</v>
      </c>
      <c r="P101">
        <v>689.04359999999997</v>
      </c>
      <c r="Q101">
        <v>330.84399999999999</v>
      </c>
      <c r="R101">
        <v>0.48014958705080502</v>
      </c>
      <c r="S101">
        <v>0.352681209784937</v>
      </c>
      <c r="T101">
        <v>18</v>
      </c>
      <c r="U101" t="s">
        <v>2826</v>
      </c>
    </row>
    <row r="102" spans="1:21" x14ac:dyDescent="0.3">
      <c r="A102">
        <v>101</v>
      </c>
      <c r="B102" t="s">
        <v>1917</v>
      </c>
      <c r="C102" t="s">
        <v>106</v>
      </c>
      <c r="D102">
        <v>70</v>
      </c>
      <c r="E102" t="s">
        <v>51</v>
      </c>
      <c r="F102">
        <v>76</v>
      </c>
      <c r="G102" t="s">
        <v>106</v>
      </c>
      <c r="H102" t="s">
        <v>51</v>
      </c>
      <c r="I102">
        <v>1.5</v>
      </c>
      <c r="J102" t="s">
        <v>38</v>
      </c>
      <c r="K102">
        <v>44</v>
      </c>
      <c r="L102">
        <v>0.34509036076789801</v>
      </c>
      <c r="M102" t="s">
        <v>106</v>
      </c>
      <c r="N102" t="s">
        <v>1923</v>
      </c>
      <c r="O102" t="s">
        <v>2855</v>
      </c>
      <c r="P102">
        <v>556.93359999999996</v>
      </c>
      <c r="Q102">
        <v>88.866</v>
      </c>
      <c r="R102">
        <v>0.15956300715201999</v>
      </c>
      <c r="S102">
        <v>1.5127384374941899</v>
      </c>
      <c r="T102">
        <v>76</v>
      </c>
      <c r="U102" t="s">
        <v>2826</v>
      </c>
    </row>
    <row r="103" spans="1:21" x14ac:dyDescent="0.3">
      <c r="A103">
        <v>102</v>
      </c>
      <c r="B103" t="s">
        <v>1452</v>
      </c>
      <c r="C103" t="s">
        <v>38</v>
      </c>
      <c r="D103">
        <v>36</v>
      </c>
      <c r="E103" t="s">
        <v>38</v>
      </c>
      <c r="F103">
        <v>23</v>
      </c>
      <c r="G103" t="s">
        <v>106</v>
      </c>
      <c r="H103" t="s">
        <v>51</v>
      </c>
      <c r="I103">
        <v>0.5</v>
      </c>
      <c r="J103" t="s">
        <v>38</v>
      </c>
      <c r="K103">
        <v>0</v>
      </c>
      <c r="L103">
        <v>0.18926304242971201</v>
      </c>
      <c r="M103" t="s">
        <v>106</v>
      </c>
      <c r="N103" t="s">
        <v>504</v>
      </c>
      <c r="O103" t="s">
        <v>2850</v>
      </c>
      <c r="P103">
        <v>88.580799999999996</v>
      </c>
      <c r="Q103">
        <v>51.416800000000002</v>
      </c>
      <c r="R103">
        <v>0.58045084262052304</v>
      </c>
      <c r="S103">
        <v>0.45663000949919902</v>
      </c>
      <c r="T103">
        <v>23</v>
      </c>
      <c r="U103" t="s">
        <v>2826</v>
      </c>
    </row>
    <row r="104" spans="1:21" x14ac:dyDescent="0.3">
      <c r="A104">
        <v>103</v>
      </c>
      <c r="B104" t="s">
        <v>1161</v>
      </c>
      <c r="C104" t="s">
        <v>76</v>
      </c>
      <c r="D104">
        <v>52</v>
      </c>
      <c r="E104" t="s">
        <v>38</v>
      </c>
      <c r="F104">
        <v>16</v>
      </c>
      <c r="G104" t="s">
        <v>106</v>
      </c>
      <c r="H104" t="s">
        <v>51</v>
      </c>
      <c r="I104">
        <v>0.3</v>
      </c>
      <c r="J104" t="s">
        <v>38</v>
      </c>
      <c r="K104">
        <v>0</v>
      </c>
      <c r="L104">
        <v>0.16440119650283899</v>
      </c>
      <c r="M104" t="s">
        <v>106</v>
      </c>
      <c r="N104" t="s">
        <v>108</v>
      </c>
      <c r="O104" t="s">
        <v>2849</v>
      </c>
      <c r="P104">
        <v>247.44479999999999</v>
      </c>
      <c r="Q104">
        <v>119.5484</v>
      </c>
      <c r="R104">
        <v>0.48313159136906503</v>
      </c>
      <c r="S104">
        <v>0.31655192477703098</v>
      </c>
      <c r="T104">
        <v>16</v>
      </c>
      <c r="U104" t="s">
        <v>2826</v>
      </c>
    </row>
    <row r="105" spans="1:21" x14ac:dyDescent="0.3">
      <c r="A105">
        <v>104</v>
      </c>
      <c r="B105" t="s">
        <v>774</v>
      </c>
      <c r="C105" t="s">
        <v>76</v>
      </c>
      <c r="D105">
        <v>51</v>
      </c>
      <c r="E105" t="s">
        <v>38</v>
      </c>
      <c r="F105">
        <v>12</v>
      </c>
      <c r="G105" t="s">
        <v>106</v>
      </c>
      <c r="H105" t="s">
        <v>51</v>
      </c>
      <c r="I105">
        <v>0.2</v>
      </c>
      <c r="J105" t="s">
        <v>38</v>
      </c>
      <c r="K105">
        <v>0</v>
      </c>
      <c r="L105">
        <v>5.1074179164977702E-2</v>
      </c>
      <c r="M105" t="s">
        <v>106</v>
      </c>
      <c r="N105" t="s">
        <v>108</v>
      </c>
      <c r="O105" t="s">
        <v>2853</v>
      </c>
      <c r="P105">
        <v>97.686000000000007</v>
      </c>
      <c r="Q105">
        <v>43.419199999999996</v>
      </c>
      <c r="R105">
        <v>0.44447720246504102</v>
      </c>
      <c r="S105">
        <v>0.23668396583874801</v>
      </c>
      <c r="T105">
        <v>12</v>
      </c>
      <c r="U105" t="s">
        <v>2826</v>
      </c>
    </row>
    <row r="106" spans="1:21" x14ac:dyDescent="0.3">
      <c r="A106">
        <v>105</v>
      </c>
      <c r="B106" t="s">
        <v>1327</v>
      </c>
      <c r="C106" t="s">
        <v>38</v>
      </c>
      <c r="D106">
        <v>41</v>
      </c>
      <c r="E106" t="s">
        <v>38</v>
      </c>
      <c r="F106">
        <v>17</v>
      </c>
      <c r="G106" t="s">
        <v>51</v>
      </c>
      <c r="H106" t="s">
        <v>76</v>
      </c>
      <c r="I106">
        <v>0.3</v>
      </c>
      <c r="J106" t="s">
        <v>38</v>
      </c>
      <c r="K106">
        <v>0</v>
      </c>
      <c r="L106">
        <v>9.8863798121624893E-2</v>
      </c>
      <c r="M106" t="s">
        <v>51</v>
      </c>
      <c r="N106" t="s">
        <v>108</v>
      </c>
      <c r="O106" t="s">
        <v>2853</v>
      </c>
      <c r="P106">
        <v>517.29</v>
      </c>
      <c r="Q106">
        <v>264.14319999999998</v>
      </c>
      <c r="R106">
        <v>0.51062885422103699</v>
      </c>
      <c r="S106">
        <v>0.33262800736109999</v>
      </c>
      <c r="T106">
        <v>17</v>
      </c>
      <c r="U106" t="s">
        <v>2826</v>
      </c>
    </row>
    <row r="107" spans="1:21" x14ac:dyDescent="0.3">
      <c r="A107">
        <v>106</v>
      </c>
      <c r="B107" t="s">
        <v>498</v>
      </c>
      <c r="C107" t="s">
        <v>76</v>
      </c>
      <c r="D107">
        <v>57</v>
      </c>
      <c r="E107" t="s">
        <v>38</v>
      </c>
      <c r="F107">
        <v>26</v>
      </c>
      <c r="G107" t="s">
        <v>51</v>
      </c>
      <c r="H107" t="s">
        <v>76</v>
      </c>
      <c r="I107">
        <v>0.5</v>
      </c>
      <c r="J107" t="s">
        <v>38</v>
      </c>
      <c r="K107">
        <v>0</v>
      </c>
      <c r="L107">
        <v>0.25897959463348502</v>
      </c>
      <c r="M107" t="s">
        <v>51</v>
      </c>
      <c r="N107" t="s">
        <v>504</v>
      </c>
      <c r="O107" t="s">
        <v>2850</v>
      </c>
      <c r="P107">
        <v>694.00160000000005</v>
      </c>
      <c r="Q107">
        <v>233.50720000000001</v>
      </c>
      <c r="R107">
        <v>0.33646493034021802</v>
      </c>
      <c r="S107">
        <v>0.52611774979841697</v>
      </c>
      <c r="T107">
        <v>26</v>
      </c>
      <c r="U107" t="s">
        <v>2826</v>
      </c>
    </row>
    <row r="108" spans="1:21" x14ac:dyDescent="0.3">
      <c r="A108">
        <v>107</v>
      </c>
      <c r="B108" t="s">
        <v>661</v>
      </c>
      <c r="C108" t="s">
        <v>76</v>
      </c>
      <c r="D108">
        <v>52</v>
      </c>
      <c r="E108" t="s">
        <v>38</v>
      </c>
      <c r="F108">
        <v>13</v>
      </c>
      <c r="G108" t="s">
        <v>106</v>
      </c>
      <c r="H108" t="s">
        <v>51</v>
      </c>
      <c r="I108">
        <v>0.3</v>
      </c>
      <c r="J108" t="s">
        <v>38</v>
      </c>
      <c r="K108">
        <v>0</v>
      </c>
      <c r="L108">
        <v>0.214554087530966</v>
      </c>
      <c r="M108" t="s">
        <v>106</v>
      </c>
      <c r="N108" t="s">
        <v>108</v>
      </c>
      <c r="O108" t="s">
        <v>2849</v>
      </c>
      <c r="P108">
        <v>40.588000000000001</v>
      </c>
      <c r="Q108">
        <v>19.376000000000001</v>
      </c>
      <c r="R108">
        <v>0.47738247757958002</v>
      </c>
      <c r="S108">
        <v>0.25794064169097303</v>
      </c>
      <c r="T108">
        <v>13</v>
      </c>
      <c r="U108" t="s">
        <v>2826</v>
      </c>
    </row>
    <row r="109" spans="1:21" x14ac:dyDescent="0.3">
      <c r="A109">
        <v>108</v>
      </c>
      <c r="B109" t="s">
        <v>1096</v>
      </c>
      <c r="C109" t="s">
        <v>38</v>
      </c>
      <c r="D109">
        <v>1</v>
      </c>
      <c r="E109" t="s">
        <v>38</v>
      </c>
      <c r="F109">
        <v>0</v>
      </c>
      <c r="G109" t="s">
        <v>38</v>
      </c>
      <c r="H109" t="s">
        <v>38</v>
      </c>
      <c r="I109">
        <v>0</v>
      </c>
      <c r="J109" t="s">
        <v>38</v>
      </c>
      <c r="K109">
        <v>0</v>
      </c>
      <c r="L109">
        <v>3.2488628979856999E-4</v>
      </c>
      <c r="M109" t="s">
        <v>38</v>
      </c>
      <c r="O109" t="s">
        <v>2838</v>
      </c>
      <c r="P109">
        <v>64.817599999999999</v>
      </c>
      <c r="Q109">
        <v>64.022400000000005</v>
      </c>
      <c r="R109">
        <v>0.98773172718520896</v>
      </c>
      <c r="S109">
        <v>6.8380743982494304E-3</v>
      </c>
      <c r="T109">
        <v>0</v>
      </c>
      <c r="U109" t="s">
        <v>2826</v>
      </c>
    </row>
    <row r="110" spans="1:21" x14ac:dyDescent="0.3">
      <c r="A110">
        <v>109</v>
      </c>
      <c r="B110" t="s">
        <v>1562</v>
      </c>
      <c r="C110" t="s">
        <v>38</v>
      </c>
      <c r="D110">
        <v>36</v>
      </c>
      <c r="E110" t="s">
        <v>38</v>
      </c>
      <c r="F110">
        <v>21</v>
      </c>
      <c r="G110" t="s">
        <v>51</v>
      </c>
      <c r="H110" t="s">
        <v>76</v>
      </c>
      <c r="I110">
        <v>0.4</v>
      </c>
      <c r="J110" t="s">
        <v>38</v>
      </c>
      <c r="K110">
        <v>0</v>
      </c>
      <c r="L110">
        <v>0.18754846777447401</v>
      </c>
      <c r="M110" t="s">
        <v>51</v>
      </c>
      <c r="N110" t="s">
        <v>504</v>
      </c>
      <c r="O110" t="s">
        <v>2850</v>
      </c>
      <c r="P110">
        <v>523.98919999999998</v>
      </c>
      <c r="Q110">
        <v>279.56720000000001</v>
      </c>
      <c r="R110">
        <v>0.53353618738706798</v>
      </c>
      <c r="S110">
        <v>0.422116895813481</v>
      </c>
      <c r="T110">
        <v>21</v>
      </c>
      <c r="U110" t="s">
        <v>2826</v>
      </c>
    </row>
    <row r="111" spans="1:21" x14ac:dyDescent="0.3">
      <c r="A111">
        <v>110</v>
      </c>
      <c r="B111" t="s">
        <v>2011</v>
      </c>
      <c r="C111" t="s">
        <v>76</v>
      </c>
      <c r="D111">
        <v>59</v>
      </c>
      <c r="E111" t="s">
        <v>38</v>
      </c>
      <c r="F111">
        <v>27</v>
      </c>
      <c r="G111" t="s">
        <v>106</v>
      </c>
      <c r="H111" t="s">
        <v>51</v>
      </c>
      <c r="I111">
        <v>0.5</v>
      </c>
      <c r="J111" t="s">
        <v>38</v>
      </c>
      <c r="K111">
        <v>13</v>
      </c>
      <c r="L111">
        <v>0.165513308472057</v>
      </c>
      <c r="M111" t="s">
        <v>106</v>
      </c>
      <c r="N111" t="s">
        <v>504</v>
      </c>
      <c r="O111" t="s">
        <v>2856</v>
      </c>
      <c r="P111">
        <v>91.795599999999993</v>
      </c>
      <c r="Q111">
        <v>31.213200000000001</v>
      </c>
      <c r="R111">
        <v>0.34002936959941399</v>
      </c>
      <c r="S111">
        <v>0.53302375637755095</v>
      </c>
      <c r="T111">
        <v>27</v>
      </c>
      <c r="U111" t="s">
        <v>2826</v>
      </c>
    </row>
    <row r="112" spans="1:21" x14ac:dyDescent="0.3">
      <c r="A112">
        <v>111</v>
      </c>
      <c r="B112" t="s">
        <v>713</v>
      </c>
      <c r="C112" t="s">
        <v>38</v>
      </c>
      <c r="D112">
        <v>14</v>
      </c>
      <c r="E112" t="s">
        <v>38</v>
      </c>
      <c r="F112">
        <v>6</v>
      </c>
      <c r="G112" t="s">
        <v>38</v>
      </c>
      <c r="H112" t="s">
        <v>38</v>
      </c>
      <c r="I112">
        <v>0.1</v>
      </c>
      <c r="J112" t="s">
        <v>38</v>
      </c>
      <c r="K112">
        <v>0</v>
      </c>
      <c r="L112">
        <v>0.14298449173647301</v>
      </c>
      <c r="M112" t="s">
        <v>38</v>
      </c>
      <c r="O112" t="s">
        <v>2836</v>
      </c>
      <c r="P112">
        <v>16.934000000000001</v>
      </c>
      <c r="Q112">
        <v>14.134399999999999</v>
      </c>
      <c r="R112">
        <v>0.83467580016534804</v>
      </c>
      <c r="S112">
        <v>0.12652062345561699</v>
      </c>
      <c r="T112">
        <v>6</v>
      </c>
      <c r="U112" t="s">
        <v>2826</v>
      </c>
    </row>
    <row r="113" spans="1:21" x14ac:dyDescent="0.3">
      <c r="A113">
        <v>112</v>
      </c>
      <c r="B113" t="s">
        <v>2382</v>
      </c>
      <c r="C113" t="s">
        <v>76</v>
      </c>
      <c r="D113">
        <v>56</v>
      </c>
      <c r="E113" t="s">
        <v>76</v>
      </c>
      <c r="F113">
        <v>38</v>
      </c>
      <c r="G113" t="s">
        <v>106</v>
      </c>
      <c r="H113" t="s">
        <v>51</v>
      </c>
      <c r="I113">
        <v>0.8</v>
      </c>
      <c r="J113" t="s">
        <v>38</v>
      </c>
      <c r="K113">
        <v>0</v>
      </c>
      <c r="L113">
        <v>0.35152804511532099</v>
      </c>
      <c r="M113" t="s">
        <v>106</v>
      </c>
      <c r="N113" t="s">
        <v>811</v>
      </c>
      <c r="O113" t="s">
        <v>2857</v>
      </c>
      <c r="P113">
        <v>498.22239999999999</v>
      </c>
      <c r="Q113">
        <v>177.678</v>
      </c>
      <c r="R113">
        <v>0.35662386917970801</v>
      </c>
      <c r="S113">
        <v>0.76469125411278605</v>
      </c>
      <c r="T113">
        <v>38</v>
      </c>
      <c r="U113" t="s">
        <v>2826</v>
      </c>
    </row>
    <row r="114" spans="1:21" x14ac:dyDescent="0.3">
      <c r="A114">
        <v>113</v>
      </c>
      <c r="B114" t="s">
        <v>799</v>
      </c>
      <c r="C114" t="s">
        <v>76</v>
      </c>
      <c r="D114">
        <v>54</v>
      </c>
      <c r="E114" t="s">
        <v>38</v>
      </c>
      <c r="F114">
        <v>21</v>
      </c>
      <c r="G114" t="s">
        <v>106</v>
      </c>
      <c r="H114" t="s">
        <v>51</v>
      </c>
      <c r="I114">
        <v>0.4</v>
      </c>
      <c r="J114" t="s">
        <v>38</v>
      </c>
      <c r="K114">
        <v>0</v>
      </c>
      <c r="L114">
        <v>2.0883844836709901E-2</v>
      </c>
      <c r="M114" t="s">
        <v>106</v>
      </c>
      <c r="N114" t="s">
        <v>53</v>
      </c>
      <c r="O114" t="s">
        <v>2846</v>
      </c>
      <c r="P114">
        <v>427.97719999999998</v>
      </c>
      <c r="Q114">
        <v>198.7996</v>
      </c>
      <c r="R114">
        <v>0.46450979164310602</v>
      </c>
      <c r="S114">
        <v>0.41799130618170899</v>
      </c>
      <c r="T114">
        <v>21</v>
      </c>
      <c r="U114" t="s">
        <v>2826</v>
      </c>
    </row>
    <row r="115" spans="1:21" x14ac:dyDescent="0.3">
      <c r="A115">
        <v>114</v>
      </c>
      <c r="B115" t="s">
        <v>1766</v>
      </c>
      <c r="C115" t="s">
        <v>38</v>
      </c>
      <c r="D115">
        <v>2</v>
      </c>
      <c r="E115" t="s">
        <v>38</v>
      </c>
      <c r="F115">
        <v>1</v>
      </c>
      <c r="G115" t="s">
        <v>38</v>
      </c>
      <c r="H115" t="s">
        <v>38</v>
      </c>
      <c r="I115">
        <v>0</v>
      </c>
      <c r="J115" t="s">
        <v>38</v>
      </c>
      <c r="K115">
        <v>0</v>
      </c>
      <c r="L115">
        <v>3.52381952909245E-2</v>
      </c>
      <c r="M115" t="s">
        <v>38</v>
      </c>
      <c r="O115" t="s">
        <v>2825</v>
      </c>
      <c r="P115">
        <v>283.26760000000002</v>
      </c>
      <c r="Q115">
        <v>277.94839999999999</v>
      </c>
      <c r="R115">
        <v>0.98122199644435104</v>
      </c>
      <c r="S115">
        <v>1.1626910845833499E-2</v>
      </c>
      <c r="T115">
        <v>1</v>
      </c>
      <c r="U115" t="s">
        <v>2826</v>
      </c>
    </row>
    <row r="116" spans="1:21" x14ac:dyDescent="0.3">
      <c r="A116">
        <v>115</v>
      </c>
      <c r="B116" t="s">
        <v>812</v>
      </c>
      <c r="C116" t="s">
        <v>76</v>
      </c>
      <c r="D116">
        <v>58</v>
      </c>
      <c r="E116" t="s">
        <v>38</v>
      </c>
      <c r="F116">
        <v>19</v>
      </c>
      <c r="G116" t="s">
        <v>106</v>
      </c>
      <c r="H116" t="s">
        <v>106</v>
      </c>
      <c r="I116">
        <v>0.4</v>
      </c>
      <c r="J116" t="s">
        <v>38</v>
      </c>
      <c r="K116">
        <v>0</v>
      </c>
      <c r="L116">
        <v>0.15800849668331199</v>
      </c>
      <c r="M116" t="s">
        <v>106</v>
      </c>
      <c r="N116" t="s">
        <v>706</v>
      </c>
      <c r="O116" t="s">
        <v>2858</v>
      </c>
      <c r="P116">
        <v>12.629200000000001</v>
      </c>
      <c r="Q116">
        <v>5.3667999999999996</v>
      </c>
      <c r="R116">
        <v>0.42495169923669002</v>
      </c>
      <c r="S116">
        <v>0.38871304574822202</v>
      </c>
      <c r="T116">
        <v>19</v>
      </c>
      <c r="U116" t="s">
        <v>2826</v>
      </c>
    </row>
    <row r="117" spans="1:21" x14ac:dyDescent="0.3">
      <c r="A117">
        <v>116</v>
      </c>
      <c r="B117" t="s">
        <v>2076</v>
      </c>
      <c r="C117" t="s">
        <v>38</v>
      </c>
      <c r="D117">
        <v>3</v>
      </c>
      <c r="E117" t="s">
        <v>38</v>
      </c>
      <c r="F117">
        <v>1</v>
      </c>
      <c r="G117" t="s">
        <v>38</v>
      </c>
      <c r="H117" t="s">
        <v>38</v>
      </c>
      <c r="I117">
        <v>0</v>
      </c>
      <c r="J117" t="s">
        <v>38</v>
      </c>
      <c r="K117">
        <v>0</v>
      </c>
      <c r="L117" t="s">
        <v>2840</v>
      </c>
      <c r="M117" t="s">
        <v>38</v>
      </c>
      <c r="O117" t="s">
        <v>2859</v>
      </c>
      <c r="P117">
        <v>106.53400000000001</v>
      </c>
      <c r="Q117">
        <v>101.2808</v>
      </c>
      <c r="R117">
        <v>0.95068992058873203</v>
      </c>
      <c r="S117">
        <v>2.36032556079472E-2</v>
      </c>
      <c r="T117">
        <v>1</v>
      </c>
      <c r="U117" t="s">
        <v>2826</v>
      </c>
    </row>
    <row r="118" spans="1:21" x14ac:dyDescent="0.3">
      <c r="A118">
        <v>117</v>
      </c>
      <c r="B118" t="s">
        <v>786</v>
      </c>
      <c r="C118" t="s">
        <v>38</v>
      </c>
      <c r="D118">
        <v>9</v>
      </c>
      <c r="E118" t="s">
        <v>38</v>
      </c>
      <c r="F118">
        <v>5</v>
      </c>
      <c r="G118" t="s">
        <v>38</v>
      </c>
      <c r="H118" t="s">
        <v>38</v>
      </c>
      <c r="I118">
        <v>0.1</v>
      </c>
      <c r="J118" t="s">
        <v>38</v>
      </c>
      <c r="K118">
        <v>0</v>
      </c>
      <c r="L118">
        <v>2.1047276290252701E-2</v>
      </c>
      <c r="M118" t="s">
        <v>38</v>
      </c>
      <c r="O118" t="s">
        <v>2833</v>
      </c>
      <c r="P118">
        <v>75.126800000000003</v>
      </c>
      <c r="Q118">
        <v>63.685200000000002</v>
      </c>
      <c r="R118">
        <v>0.84770281710388296</v>
      </c>
      <c r="S118">
        <v>9.4855569833796893E-2</v>
      </c>
      <c r="T118">
        <v>5</v>
      </c>
      <c r="U118" t="s">
        <v>2826</v>
      </c>
    </row>
    <row r="119" spans="1:21" x14ac:dyDescent="0.3">
      <c r="A119">
        <v>118</v>
      </c>
      <c r="B119" t="s">
        <v>725</v>
      </c>
      <c r="C119" t="s">
        <v>38</v>
      </c>
      <c r="D119">
        <v>31</v>
      </c>
      <c r="E119" t="s">
        <v>38</v>
      </c>
      <c r="F119">
        <v>18</v>
      </c>
      <c r="G119" t="s">
        <v>51</v>
      </c>
      <c r="H119" t="s">
        <v>76</v>
      </c>
      <c r="I119">
        <v>0.4</v>
      </c>
      <c r="J119" t="s">
        <v>38</v>
      </c>
      <c r="K119">
        <v>0</v>
      </c>
      <c r="L119">
        <v>0.123238073909055</v>
      </c>
      <c r="M119" t="s">
        <v>51</v>
      </c>
      <c r="N119" t="s">
        <v>504</v>
      </c>
      <c r="O119" t="s">
        <v>2850</v>
      </c>
      <c r="P119">
        <v>316.87599999999998</v>
      </c>
      <c r="Q119">
        <v>203.61240000000001</v>
      </c>
      <c r="R119">
        <v>0.64256175917393599</v>
      </c>
      <c r="S119">
        <v>0.36732774536912599</v>
      </c>
      <c r="T119">
        <v>18</v>
      </c>
      <c r="U119" t="s">
        <v>2826</v>
      </c>
    </row>
    <row r="120" spans="1:21" x14ac:dyDescent="0.3">
      <c r="A120">
        <v>119</v>
      </c>
      <c r="B120" t="s">
        <v>792</v>
      </c>
      <c r="C120" t="s">
        <v>76</v>
      </c>
      <c r="D120">
        <v>57</v>
      </c>
      <c r="E120" t="s">
        <v>38</v>
      </c>
      <c r="F120">
        <v>22</v>
      </c>
      <c r="G120" t="s">
        <v>51</v>
      </c>
      <c r="H120" t="s">
        <v>51</v>
      </c>
      <c r="I120">
        <v>0.4</v>
      </c>
      <c r="J120" t="s">
        <v>38</v>
      </c>
      <c r="K120">
        <v>0</v>
      </c>
      <c r="L120">
        <v>0.24194476409666299</v>
      </c>
      <c r="M120" t="s">
        <v>106</v>
      </c>
      <c r="N120" t="s">
        <v>798</v>
      </c>
      <c r="O120" t="s">
        <v>2851</v>
      </c>
      <c r="P120">
        <v>84.004400000000004</v>
      </c>
      <c r="Q120">
        <v>35.802799999999998</v>
      </c>
      <c r="R120">
        <v>0.42620148468413599</v>
      </c>
      <c r="S120">
        <v>0.44003057326063599</v>
      </c>
      <c r="T120">
        <v>22</v>
      </c>
      <c r="U120" t="s">
        <v>2860</v>
      </c>
    </row>
    <row r="121" spans="1:21" x14ac:dyDescent="0.3">
      <c r="A121">
        <v>120</v>
      </c>
      <c r="B121" t="s">
        <v>1575</v>
      </c>
      <c r="C121" t="s">
        <v>51</v>
      </c>
      <c r="D121">
        <v>76</v>
      </c>
      <c r="E121" t="s">
        <v>51</v>
      </c>
      <c r="F121">
        <v>50</v>
      </c>
      <c r="G121" t="s">
        <v>106</v>
      </c>
      <c r="H121" t="s">
        <v>51</v>
      </c>
      <c r="I121">
        <v>1</v>
      </c>
      <c r="J121" t="s">
        <v>38</v>
      </c>
      <c r="K121">
        <v>0</v>
      </c>
      <c r="L121">
        <v>0.27035226798593298</v>
      </c>
      <c r="M121" t="s">
        <v>106</v>
      </c>
      <c r="N121" t="s">
        <v>504</v>
      </c>
      <c r="O121" t="s">
        <v>2851</v>
      </c>
      <c r="P121">
        <v>279.49160000000001</v>
      </c>
      <c r="Q121">
        <v>67.108000000000004</v>
      </c>
      <c r="R121">
        <v>0.24010739499863301</v>
      </c>
      <c r="S121">
        <v>0.99507414178346498</v>
      </c>
      <c r="T121">
        <v>50</v>
      </c>
      <c r="U121" t="s">
        <v>2826</v>
      </c>
    </row>
    <row r="122" spans="1:21" x14ac:dyDescent="0.3">
      <c r="A122">
        <v>121</v>
      </c>
      <c r="B122" t="s">
        <v>818</v>
      </c>
      <c r="C122" t="s">
        <v>38</v>
      </c>
      <c r="D122">
        <v>40</v>
      </c>
      <c r="E122" t="s">
        <v>38</v>
      </c>
      <c r="F122">
        <v>16</v>
      </c>
      <c r="G122" t="s">
        <v>106</v>
      </c>
      <c r="H122" t="s">
        <v>51</v>
      </c>
      <c r="I122">
        <v>0.3</v>
      </c>
      <c r="J122" t="s">
        <v>38</v>
      </c>
      <c r="K122">
        <v>0</v>
      </c>
      <c r="L122">
        <v>0.12669123204837501</v>
      </c>
      <c r="M122" t="s">
        <v>106</v>
      </c>
      <c r="N122" t="s">
        <v>108</v>
      </c>
      <c r="O122" t="s">
        <v>2853</v>
      </c>
      <c r="P122">
        <v>266.61799999999999</v>
      </c>
      <c r="Q122">
        <v>148.17599999999999</v>
      </c>
      <c r="R122">
        <v>0.555761426460329</v>
      </c>
      <c r="S122">
        <v>0.32626249927470402</v>
      </c>
      <c r="T122">
        <v>16</v>
      </c>
      <c r="U122" t="s">
        <v>2826</v>
      </c>
    </row>
    <row r="123" spans="1:21" x14ac:dyDescent="0.3">
      <c r="A123">
        <v>122</v>
      </c>
      <c r="B123" t="s">
        <v>707</v>
      </c>
      <c r="C123" t="s">
        <v>38</v>
      </c>
      <c r="D123">
        <v>15</v>
      </c>
      <c r="E123" t="s">
        <v>38</v>
      </c>
      <c r="F123">
        <v>7</v>
      </c>
      <c r="G123" t="s">
        <v>38</v>
      </c>
      <c r="H123" t="s">
        <v>38</v>
      </c>
      <c r="I123">
        <v>0.1</v>
      </c>
      <c r="J123" t="s">
        <v>38</v>
      </c>
      <c r="K123">
        <v>0</v>
      </c>
      <c r="L123">
        <v>2.0888487654662901E-2</v>
      </c>
      <c r="M123" t="s">
        <v>38</v>
      </c>
      <c r="O123" t="s">
        <v>2836</v>
      </c>
      <c r="P123">
        <v>186.76759999999999</v>
      </c>
      <c r="Q123">
        <v>144.44319999999999</v>
      </c>
      <c r="R123">
        <v>0.77338467699965097</v>
      </c>
      <c r="S123">
        <v>0.13207213766069201</v>
      </c>
      <c r="T123">
        <v>7</v>
      </c>
      <c r="U123" t="s">
        <v>2826</v>
      </c>
    </row>
    <row r="124" spans="1:21" x14ac:dyDescent="0.3">
      <c r="A124">
        <v>123</v>
      </c>
      <c r="B124" t="s">
        <v>805</v>
      </c>
      <c r="C124" t="s">
        <v>76</v>
      </c>
      <c r="D124">
        <v>57</v>
      </c>
      <c r="E124" t="s">
        <v>38</v>
      </c>
      <c r="F124">
        <v>28</v>
      </c>
      <c r="G124" t="s">
        <v>51</v>
      </c>
      <c r="H124" t="s">
        <v>76</v>
      </c>
      <c r="I124">
        <v>0.6</v>
      </c>
      <c r="J124" t="s">
        <v>38</v>
      </c>
      <c r="K124">
        <v>0</v>
      </c>
      <c r="L124">
        <v>0.40052542019668003</v>
      </c>
      <c r="M124" t="s">
        <v>51</v>
      </c>
      <c r="N124" t="s">
        <v>811</v>
      </c>
      <c r="O124" t="s">
        <v>2861</v>
      </c>
      <c r="P124">
        <v>563.63919999999996</v>
      </c>
      <c r="Q124">
        <v>243.76679999999999</v>
      </c>
      <c r="R124">
        <v>0.432487307483227</v>
      </c>
      <c r="S124">
        <v>0.55739560666240695</v>
      </c>
      <c r="T124">
        <v>28</v>
      </c>
      <c r="U124" t="s">
        <v>2826</v>
      </c>
    </row>
    <row r="125" spans="1:21" x14ac:dyDescent="0.3">
      <c r="A125">
        <v>124</v>
      </c>
      <c r="B125" t="s">
        <v>1886</v>
      </c>
      <c r="C125" t="s">
        <v>38</v>
      </c>
      <c r="D125">
        <v>9</v>
      </c>
      <c r="E125" t="s">
        <v>38</v>
      </c>
      <c r="F125">
        <v>4</v>
      </c>
      <c r="G125" t="s">
        <v>106</v>
      </c>
      <c r="H125" t="s">
        <v>51</v>
      </c>
      <c r="I125">
        <v>0.1</v>
      </c>
      <c r="J125" t="s">
        <v>38</v>
      </c>
      <c r="K125">
        <v>0</v>
      </c>
      <c r="L125">
        <v>0.336300224818258</v>
      </c>
      <c r="M125" t="s">
        <v>106</v>
      </c>
      <c r="N125" t="s">
        <v>1892</v>
      </c>
      <c r="O125" t="s">
        <v>2862</v>
      </c>
      <c r="P125">
        <v>286.9588</v>
      </c>
      <c r="Q125">
        <v>257.45240000000001</v>
      </c>
      <c r="R125">
        <v>0.89717548303101402</v>
      </c>
      <c r="S125">
        <v>8.7179732125865703E-2</v>
      </c>
      <c r="T125">
        <v>4</v>
      </c>
      <c r="U125" t="s">
        <v>2826</v>
      </c>
    </row>
    <row r="126" spans="1:21" x14ac:dyDescent="0.3">
      <c r="A126">
        <v>125</v>
      </c>
      <c r="B126" t="s">
        <v>1856</v>
      </c>
      <c r="C126" t="s">
        <v>38</v>
      </c>
      <c r="D126">
        <v>4</v>
      </c>
      <c r="E126" t="s">
        <v>38</v>
      </c>
      <c r="F126">
        <v>2</v>
      </c>
      <c r="G126" t="s">
        <v>38</v>
      </c>
      <c r="H126" t="s">
        <v>38</v>
      </c>
      <c r="I126">
        <v>0</v>
      </c>
      <c r="J126" t="s">
        <v>38</v>
      </c>
      <c r="K126">
        <v>0</v>
      </c>
      <c r="L126">
        <v>0.182478993679664</v>
      </c>
      <c r="M126" t="s">
        <v>38</v>
      </c>
      <c r="O126" t="s">
        <v>2836</v>
      </c>
      <c r="P126">
        <v>694.2568</v>
      </c>
      <c r="Q126">
        <v>661.61040000000003</v>
      </c>
      <c r="R126">
        <v>0.952976477868132</v>
      </c>
      <c r="S126">
        <v>3.2713410037785801E-2</v>
      </c>
      <c r="T126">
        <v>2</v>
      </c>
      <c r="U126" t="s">
        <v>2826</v>
      </c>
    </row>
    <row r="127" spans="1:21" x14ac:dyDescent="0.3">
      <c r="A127">
        <v>126</v>
      </c>
      <c r="B127" t="s">
        <v>1754</v>
      </c>
      <c r="C127" t="s">
        <v>38</v>
      </c>
      <c r="D127">
        <v>20</v>
      </c>
      <c r="E127" t="s">
        <v>38</v>
      </c>
      <c r="F127">
        <v>7</v>
      </c>
      <c r="G127" t="s">
        <v>38</v>
      </c>
      <c r="H127" t="s">
        <v>38</v>
      </c>
      <c r="I127">
        <v>0.1</v>
      </c>
      <c r="J127" t="s">
        <v>38</v>
      </c>
      <c r="K127">
        <v>0</v>
      </c>
      <c r="L127">
        <v>0.136855032196572</v>
      </c>
      <c r="M127" t="s">
        <v>38</v>
      </c>
      <c r="O127" t="s">
        <v>2836</v>
      </c>
      <c r="P127">
        <v>791.67359999999996</v>
      </c>
      <c r="Q127">
        <v>622.36440000000005</v>
      </c>
      <c r="R127">
        <v>0.78613762035263002</v>
      </c>
      <c r="S127">
        <v>0.139972419530103</v>
      </c>
      <c r="T127">
        <v>7</v>
      </c>
      <c r="U127" t="s">
        <v>2826</v>
      </c>
    </row>
    <row r="128" spans="1:21" x14ac:dyDescent="0.3">
      <c r="A128">
        <v>127</v>
      </c>
      <c r="B128" t="s">
        <v>1947</v>
      </c>
      <c r="C128" t="s">
        <v>38</v>
      </c>
      <c r="D128">
        <v>0</v>
      </c>
      <c r="E128" t="s">
        <v>38</v>
      </c>
      <c r="F128">
        <v>0</v>
      </c>
      <c r="G128" t="s">
        <v>38</v>
      </c>
      <c r="H128" t="s">
        <v>38</v>
      </c>
      <c r="I128">
        <v>0</v>
      </c>
      <c r="J128" t="s">
        <v>38</v>
      </c>
      <c r="K128">
        <v>0</v>
      </c>
      <c r="L128" t="s">
        <v>2840</v>
      </c>
      <c r="M128" t="s">
        <v>38</v>
      </c>
      <c r="O128" t="s">
        <v>2848</v>
      </c>
      <c r="P128">
        <v>49.024000000000001</v>
      </c>
      <c r="Q128">
        <v>49.024000000000001</v>
      </c>
      <c r="R128">
        <v>1</v>
      </c>
      <c r="S128">
        <v>0</v>
      </c>
      <c r="T128">
        <v>0</v>
      </c>
      <c r="U128" t="s">
        <v>2826</v>
      </c>
    </row>
    <row r="129" spans="1:21" x14ac:dyDescent="0.3">
      <c r="A129">
        <v>128</v>
      </c>
      <c r="B129" t="s">
        <v>1291</v>
      </c>
      <c r="C129" t="s">
        <v>38</v>
      </c>
      <c r="D129">
        <v>1</v>
      </c>
      <c r="E129" t="s">
        <v>38</v>
      </c>
      <c r="F129">
        <v>1</v>
      </c>
      <c r="G129" t="s">
        <v>38</v>
      </c>
      <c r="H129" t="s">
        <v>38</v>
      </c>
      <c r="I129">
        <v>0</v>
      </c>
      <c r="J129" t="s">
        <v>38</v>
      </c>
      <c r="K129">
        <v>0</v>
      </c>
      <c r="L129">
        <v>4.3625291391721001E-4</v>
      </c>
      <c r="M129" t="s">
        <v>38</v>
      </c>
      <c r="O129" t="s">
        <v>2836</v>
      </c>
      <c r="P129">
        <v>1646.1872000000001</v>
      </c>
      <c r="Q129">
        <v>1617.4104</v>
      </c>
      <c r="R129">
        <v>0.98251912054716495</v>
      </c>
      <c r="S129">
        <v>1.29545227292766E-2</v>
      </c>
      <c r="T129">
        <v>1</v>
      </c>
      <c r="U129" t="s">
        <v>2826</v>
      </c>
    </row>
    <row r="130" spans="1:21" x14ac:dyDescent="0.3">
      <c r="A130">
        <v>129</v>
      </c>
      <c r="B130" t="s">
        <v>667</v>
      </c>
      <c r="C130" t="s">
        <v>38</v>
      </c>
      <c r="D130">
        <v>1</v>
      </c>
      <c r="E130" t="s">
        <v>38</v>
      </c>
      <c r="F130">
        <v>0</v>
      </c>
      <c r="G130" t="s">
        <v>38</v>
      </c>
      <c r="H130" t="s">
        <v>38</v>
      </c>
      <c r="I130">
        <v>0</v>
      </c>
      <c r="J130" t="s">
        <v>38</v>
      </c>
      <c r="K130">
        <v>0</v>
      </c>
      <c r="L130">
        <v>2.1667397447919801E-4</v>
      </c>
      <c r="M130" t="s">
        <v>38</v>
      </c>
      <c r="O130" t="s">
        <v>2836</v>
      </c>
      <c r="P130">
        <v>1268.0852</v>
      </c>
      <c r="Q130">
        <v>1249.8040000000001</v>
      </c>
      <c r="R130">
        <v>0.98558361851396104</v>
      </c>
      <c r="S130">
        <v>6.3958877236639997E-3</v>
      </c>
      <c r="T130">
        <v>0</v>
      </c>
      <c r="U130" t="s">
        <v>2826</v>
      </c>
    </row>
    <row r="131" spans="1:21" x14ac:dyDescent="0.3">
      <c r="A131">
        <v>130</v>
      </c>
      <c r="B131" t="s">
        <v>743</v>
      </c>
      <c r="C131" t="s">
        <v>38</v>
      </c>
      <c r="D131">
        <v>6</v>
      </c>
      <c r="E131" t="s">
        <v>38</v>
      </c>
      <c r="F131">
        <v>2</v>
      </c>
      <c r="G131" t="s">
        <v>38</v>
      </c>
      <c r="H131" t="s">
        <v>38</v>
      </c>
      <c r="I131">
        <v>0</v>
      </c>
      <c r="J131" t="s">
        <v>38</v>
      </c>
      <c r="K131">
        <v>0</v>
      </c>
      <c r="L131">
        <v>4.67910925002847E-3</v>
      </c>
      <c r="M131" t="s">
        <v>38</v>
      </c>
      <c r="O131" t="s">
        <v>2836</v>
      </c>
      <c r="P131">
        <v>97.855999999999995</v>
      </c>
      <c r="Q131">
        <v>91.320800000000006</v>
      </c>
      <c r="R131">
        <v>0.93321615434924798</v>
      </c>
      <c r="S131">
        <v>4.91485233886612E-2</v>
      </c>
      <c r="T131">
        <v>2</v>
      </c>
      <c r="U131" t="s">
        <v>2826</v>
      </c>
    </row>
    <row r="132" spans="1:21" x14ac:dyDescent="0.3">
      <c r="A132">
        <v>131</v>
      </c>
      <c r="B132" t="s">
        <v>755</v>
      </c>
      <c r="C132" t="s">
        <v>38</v>
      </c>
      <c r="D132">
        <v>0</v>
      </c>
      <c r="E132" t="s">
        <v>38</v>
      </c>
      <c r="F132">
        <v>0</v>
      </c>
      <c r="G132" t="s">
        <v>38</v>
      </c>
      <c r="H132" t="s">
        <v>38</v>
      </c>
      <c r="I132">
        <v>0</v>
      </c>
      <c r="J132" t="s">
        <v>38</v>
      </c>
      <c r="K132">
        <v>1</v>
      </c>
      <c r="L132">
        <v>4.4216565889636299E-4</v>
      </c>
      <c r="M132" t="s">
        <v>38</v>
      </c>
      <c r="O132" t="s">
        <v>2825</v>
      </c>
      <c r="P132">
        <v>388.81079999999997</v>
      </c>
      <c r="Q132">
        <v>388.31599999999997</v>
      </c>
      <c r="R132">
        <v>0.99872740160509899</v>
      </c>
      <c r="S132">
        <v>1.4736195080967899E-3</v>
      </c>
      <c r="T132">
        <v>0</v>
      </c>
      <c r="U132" t="s">
        <v>2826</v>
      </c>
    </row>
    <row r="133" spans="1:21" x14ac:dyDescent="0.3">
      <c r="A133">
        <v>132</v>
      </c>
      <c r="B133" t="s">
        <v>1694</v>
      </c>
      <c r="C133" t="s">
        <v>38</v>
      </c>
      <c r="D133">
        <v>2</v>
      </c>
      <c r="E133" t="s">
        <v>38</v>
      </c>
      <c r="F133">
        <v>1</v>
      </c>
      <c r="G133" t="s">
        <v>38</v>
      </c>
      <c r="H133" t="s">
        <v>38</v>
      </c>
      <c r="I133">
        <v>0</v>
      </c>
      <c r="J133" t="s">
        <v>38</v>
      </c>
      <c r="K133">
        <v>0</v>
      </c>
      <c r="L133">
        <v>4.7876226117079E-2</v>
      </c>
      <c r="M133" t="s">
        <v>38</v>
      </c>
      <c r="O133" t="s">
        <v>2825</v>
      </c>
      <c r="P133">
        <v>683.27760000000001</v>
      </c>
      <c r="Q133">
        <v>668.57399999999996</v>
      </c>
      <c r="R133">
        <v>0.97848078145690698</v>
      </c>
      <c r="S133">
        <v>2.1532938767652901E-2</v>
      </c>
      <c r="T133">
        <v>1</v>
      </c>
      <c r="U133" t="s">
        <v>2826</v>
      </c>
    </row>
    <row r="134" spans="1:21" x14ac:dyDescent="0.3">
      <c r="A134">
        <v>133</v>
      </c>
      <c r="B134" t="s">
        <v>731</v>
      </c>
      <c r="C134" t="s">
        <v>38</v>
      </c>
      <c r="D134">
        <v>21</v>
      </c>
      <c r="E134" t="s">
        <v>38</v>
      </c>
      <c r="F134">
        <v>9</v>
      </c>
      <c r="G134" t="s">
        <v>38</v>
      </c>
      <c r="H134" t="s">
        <v>38</v>
      </c>
      <c r="I134">
        <v>0.2</v>
      </c>
      <c r="J134" t="s">
        <v>38</v>
      </c>
      <c r="K134">
        <v>0</v>
      </c>
      <c r="L134">
        <v>1.6874531554489602E-2</v>
      </c>
      <c r="M134" t="s">
        <v>38</v>
      </c>
      <c r="O134" t="s">
        <v>2838</v>
      </c>
      <c r="P134">
        <v>1014.1516</v>
      </c>
      <c r="Q134">
        <v>800.52</v>
      </c>
      <c r="R134">
        <v>0.78934944243050098</v>
      </c>
      <c r="S134">
        <v>0.17293331435797499</v>
      </c>
      <c r="T134">
        <v>9</v>
      </c>
      <c r="U134" t="s">
        <v>2826</v>
      </c>
    </row>
    <row r="135" spans="1:21" x14ac:dyDescent="0.3">
      <c r="A135">
        <v>134</v>
      </c>
      <c r="B135" t="s">
        <v>1601</v>
      </c>
      <c r="C135" t="s">
        <v>38</v>
      </c>
      <c r="D135">
        <v>3</v>
      </c>
      <c r="E135" t="s">
        <v>38</v>
      </c>
      <c r="F135">
        <v>1</v>
      </c>
      <c r="G135" t="s">
        <v>38</v>
      </c>
      <c r="H135" t="s">
        <v>38</v>
      </c>
      <c r="I135">
        <v>0</v>
      </c>
      <c r="J135" t="s">
        <v>38</v>
      </c>
      <c r="K135">
        <v>0</v>
      </c>
      <c r="L135">
        <v>6.2214198327672297E-2</v>
      </c>
      <c r="M135" t="s">
        <v>38</v>
      </c>
      <c r="O135" t="s">
        <v>2836</v>
      </c>
      <c r="P135">
        <v>1050.6224</v>
      </c>
      <c r="Q135">
        <v>1008.654</v>
      </c>
      <c r="R135">
        <v>0.96005377383920198</v>
      </c>
      <c r="S135">
        <v>2.21867265223065E-2</v>
      </c>
      <c r="T135">
        <v>1</v>
      </c>
      <c r="U135" t="s">
        <v>2826</v>
      </c>
    </row>
    <row r="136" spans="1:21" x14ac:dyDescent="0.3">
      <c r="A136">
        <v>135</v>
      </c>
      <c r="B136" t="s">
        <v>1643</v>
      </c>
      <c r="C136" t="s">
        <v>38</v>
      </c>
      <c r="D136">
        <v>9</v>
      </c>
      <c r="E136" t="s">
        <v>38</v>
      </c>
      <c r="F136">
        <v>3</v>
      </c>
      <c r="G136" t="s">
        <v>106</v>
      </c>
      <c r="H136" t="s">
        <v>76</v>
      </c>
      <c r="I136">
        <v>0.1</v>
      </c>
      <c r="J136" t="s">
        <v>38</v>
      </c>
      <c r="K136">
        <v>0</v>
      </c>
      <c r="L136">
        <v>4.6841102703846803E-2</v>
      </c>
      <c r="M136" t="s">
        <v>106</v>
      </c>
      <c r="N136" t="s">
        <v>108</v>
      </c>
      <c r="O136" t="s">
        <v>2853</v>
      </c>
      <c r="P136">
        <v>914.23479999999995</v>
      </c>
      <c r="Q136">
        <v>763.51959999999997</v>
      </c>
      <c r="R136">
        <v>0.83514606969675598</v>
      </c>
      <c r="S136">
        <v>6.6264099549214403E-2</v>
      </c>
      <c r="T136">
        <v>3</v>
      </c>
      <c r="U136" t="s">
        <v>2826</v>
      </c>
    </row>
    <row r="137" spans="1:21" x14ac:dyDescent="0.3">
      <c r="A137">
        <v>136</v>
      </c>
      <c r="B137" t="s">
        <v>1333</v>
      </c>
      <c r="C137" t="s">
        <v>38</v>
      </c>
      <c r="D137">
        <v>7</v>
      </c>
      <c r="E137" t="s">
        <v>38</v>
      </c>
      <c r="F137">
        <v>4</v>
      </c>
      <c r="G137" t="s">
        <v>51</v>
      </c>
      <c r="H137" t="s">
        <v>76</v>
      </c>
      <c r="I137">
        <v>0.1</v>
      </c>
      <c r="J137" t="s">
        <v>38</v>
      </c>
      <c r="K137">
        <v>0</v>
      </c>
      <c r="L137">
        <v>0.123548573910526</v>
      </c>
      <c r="M137" t="s">
        <v>51</v>
      </c>
      <c r="N137" t="s">
        <v>108</v>
      </c>
      <c r="O137" t="s">
        <v>2853</v>
      </c>
      <c r="P137">
        <v>1179.4079999999999</v>
      </c>
      <c r="Q137">
        <v>1049.864</v>
      </c>
      <c r="R137">
        <v>0.89016184390813002</v>
      </c>
      <c r="S137">
        <v>7.1760992991227998E-2</v>
      </c>
      <c r="T137">
        <v>4</v>
      </c>
      <c r="U137" t="s">
        <v>2826</v>
      </c>
    </row>
    <row r="138" spans="1:21" x14ac:dyDescent="0.3">
      <c r="A138">
        <v>137</v>
      </c>
      <c r="B138" t="s">
        <v>1126</v>
      </c>
      <c r="C138" t="s">
        <v>38</v>
      </c>
      <c r="D138">
        <v>2</v>
      </c>
      <c r="E138" t="s">
        <v>38</v>
      </c>
      <c r="F138">
        <v>1</v>
      </c>
      <c r="G138" t="s">
        <v>38</v>
      </c>
      <c r="H138" t="s">
        <v>38</v>
      </c>
      <c r="I138">
        <v>0</v>
      </c>
      <c r="J138" t="s">
        <v>38</v>
      </c>
      <c r="K138">
        <v>0</v>
      </c>
      <c r="L138">
        <v>2.4692249210944602E-2</v>
      </c>
      <c r="M138" t="s">
        <v>38</v>
      </c>
      <c r="O138" t="s">
        <v>2836</v>
      </c>
      <c r="P138">
        <v>531.50400000000002</v>
      </c>
      <c r="Q138">
        <v>520.87599999999998</v>
      </c>
      <c r="R138">
        <v>0.98000391342304105</v>
      </c>
      <c r="S138">
        <v>1.86093835759178E-2</v>
      </c>
      <c r="T138">
        <v>1</v>
      </c>
      <c r="U138" t="s">
        <v>2826</v>
      </c>
    </row>
    <row r="139" spans="1:21" x14ac:dyDescent="0.3">
      <c r="A139">
        <v>138</v>
      </c>
      <c r="B139" t="s">
        <v>196</v>
      </c>
      <c r="C139" t="s">
        <v>38</v>
      </c>
      <c r="D139">
        <v>6</v>
      </c>
      <c r="E139" t="s">
        <v>38</v>
      </c>
      <c r="F139">
        <v>3</v>
      </c>
      <c r="G139" t="s">
        <v>106</v>
      </c>
      <c r="H139" t="s">
        <v>51</v>
      </c>
      <c r="I139">
        <v>0.1</v>
      </c>
      <c r="J139" t="s">
        <v>38</v>
      </c>
      <c r="K139">
        <v>0</v>
      </c>
      <c r="L139">
        <v>0.13876216882834599</v>
      </c>
      <c r="M139" t="s">
        <v>106</v>
      </c>
      <c r="N139" t="s">
        <v>108</v>
      </c>
      <c r="O139" t="s">
        <v>2853</v>
      </c>
      <c r="P139">
        <v>358.88279999999997</v>
      </c>
      <c r="Q139">
        <v>333.10520000000002</v>
      </c>
      <c r="R139">
        <v>0.92817265135024596</v>
      </c>
      <c r="S139">
        <v>5.1297095295519499E-2</v>
      </c>
      <c r="T139">
        <v>3</v>
      </c>
      <c r="U139" t="s">
        <v>2826</v>
      </c>
    </row>
    <row r="140" spans="1:21" x14ac:dyDescent="0.3">
      <c r="A140">
        <v>139</v>
      </c>
      <c r="B140" t="s">
        <v>1253</v>
      </c>
      <c r="C140" t="s">
        <v>38</v>
      </c>
      <c r="D140">
        <v>7</v>
      </c>
      <c r="E140" t="s">
        <v>38</v>
      </c>
      <c r="F140">
        <v>3</v>
      </c>
      <c r="G140" t="s">
        <v>38</v>
      </c>
      <c r="H140" t="s">
        <v>38</v>
      </c>
      <c r="I140">
        <v>0.1</v>
      </c>
      <c r="J140" t="s">
        <v>38</v>
      </c>
      <c r="K140">
        <v>0</v>
      </c>
      <c r="L140">
        <v>2.1840405456217699E-2</v>
      </c>
      <c r="M140" t="s">
        <v>38</v>
      </c>
      <c r="O140" t="s">
        <v>2836</v>
      </c>
      <c r="P140">
        <v>993.57759999999996</v>
      </c>
      <c r="Q140">
        <v>906.35680000000002</v>
      </c>
      <c r="R140">
        <v>0.91221541226372305</v>
      </c>
      <c r="S140">
        <v>6.8567967713043299E-2</v>
      </c>
      <c r="T140">
        <v>3</v>
      </c>
      <c r="U140" t="s">
        <v>2826</v>
      </c>
    </row>
    <row r="141" spans="1:21" x14ac:dyDescent="0.3">
      <c r="A141">
        <v>140</v>
      </c>
      <c r="B141" t="s">
        <v>1749</v>
      </c>
      <c r="C141" t="s">
        <v>38</v>
      </c>
      <c r="D141">
        <v>2</v>
      </c>
      <c r="E141" t="s">
        <v>38</v>
      </c>
      <c r="F141">
        <v>1</v>
      </c>
      <c r="G141" t="s">
        <v>38</v>
      </c>
      <c r="H141" t="s">
        <v>38</v>
      </c>
      <c r="I141">
        <v>0</v>
      </c>
      <c r="J141" t="s">
        <v>38</v>
      </c>
      <c r="K141">
        <v>0</v>
      </c>
      <c r="L141">
        <v>9.8727704140075298E-2</v>
      </c>
      <c r="M141" t="s">
        <v>38</v>
      </c>
      <c r="O141" t="s">
        <v>2836</v>
      </c>
      <c r="P141">
        <v>1215.3227999999999</v>
      </c>
      <c r="Q141">
        <v>1173.3119999999999</v>
      </c>
      <c r="R141">
        <v>0.96543239376402701</v>
      </c>
      <c r="S141">
        <v>2.1103003396628101E-2</v>
      </c>
      <c r="T141">
        <v>1</v>
      </c>
      <c r="U141" t="s">
        <v>2826</v>
      </c>
    </row>
    <row r="142" spans="1:21" x14ac:dyDescent="0.3">
      <c r="A142">
        <v>141</v>
      </c>
      <c r="B142" t="s">
        <v>761</v>
      </c>
      <c r="C142" t="s">
        <v>38</v>
      </c>
      <c r="D142">
        <v>5</v>
      </c>
      <c r="E142" t="s">
        <v>38</v>
      </c>
      <c r="F142">
        <v>2</v>
      </c>
      <c r="G142" t="s">
        <v>106</v>
      </c>
      <c r="H142" t="s">
        <v>51</v>
      </c>
      <c r="I142">
        <v>0</v>
      </c>
      <c r="J142" t="s">
        <v>38</v>
      </c>
      <c r="K142">
        <v>0</v>
      </c>
      <c r="L142">
        <v>7.6545425540400405E-2</v>
      </c>
      <c r="M142" t="s">
        <v>106</v>
      </c>
      <c r="N142" t="s">
        <v>108</v>
      </c>
      <c r="O142" t="s">
        <v>2853</v>
      </c>
      <c r="P142">
        <v>107.4468</v>
      </c>
      <c r="Q142">
        <v>100.29600000000001</v>
      </c>
      <c r="R142">
        <v>0.933447994728554</v>
      </c>
      <c r="S142">
        <v>3.9209257815269002E-2</v>
      </c>
      <c r="T142">
        <v>2</v>
      </c>
      <c r="U142" t="s">
        <v>2826</v>
      </c>
    </row>
    <row r="143" spans="1:21" x14ac:dyDescent="0.3">
      <c r="A143">
        <v>142</v>
      </c>
      <c r="B143" t="s">
        <v>1259</v>
      </c>
      <c r="C143" t="s">
        <v>38</v>
      </c>
      <c r="D143">
        <v>13</v>
      </c>
      <c r="E143" t="s">
        <v>38</v>
      </c>
      <c r="F143">
        <v>4</v>
      </c>
      <c r="G143" t="s">
        <v>38</v>
      </c>
      <c r="H143" t="s">
        <v>38</v>
      </c>
      <c r="I143">
        <v>0.1</v>
      </c>
      <c r="J143" t="s">
        <v>38</v>
      </c>
      <c r="K143">
        <v>0</v>
      </c>
      <c r="L143">
        <v>6.4775826405089401E-2</v>
      </c>
      <c r="M143" t="s">
        <v>38</v>
      </c>
      <c r="O143" t="s">
        <v>2833</v>
      </c>
      <c r="P143">
        <v>878.80520000000001</v>
      </c>
      <c r="Q143">
        <v>732.31640000000004</v>
      </c>
      <c r="R143">
        <v>0.83330913381031402</v>
      </c>
      <c r="S143">
        <v>8.8077489213796004E-2</v>
      </c>
      <c r="T143">
        <v>4</v>
      </c>
      <c r="U143" t="s">
        <v>2826</v>
      </c>
    </row>
    <row r="144" spans="1:21" x14ac:dyDescent="0.3">
      <c r="A144">
        <v>143</v>
      </c>
      <c r="B144" t="s">
        <v>945</v>
      </c>
      <c r="C144" t="s">
        <v>38</v>
      </c>
      <c r="D144">
        <v>23</v>
      </c>
      <c r="E144" t="s">
        <v>38</v>
      </c>
      <c r="F144">
        <v>8</v>
      </c>
      <c r="G144" t="s">
        <v>38</v>
      </c>
      <c r="H144" t="s">
        <v>38</v>
      </c>
      <c r="I144">
        <v>0.2</v>
      </c>
      <c r="J144" t="s">
        <v>38</v>
      </c>
      <c r="K144">
        <v>0</v>
      </c>
      <c r="L144">
        <v>0.180514896209862</v>
      </c>
      <c r="M144" t="s">
        <v>38</v>
      </c>
      <c r="O144" t="s">
        <v>2833</v>
      </c>
      <c r="P144">
        <v>1571.0644</v>
      </c>
      <c r="Q144">
        <v>1047.7295999999999</v>
      </c>
      <c r="R144">
        <v>0.66689156727120802</v>
      </c>
      <c r="S144">
        <v>0.153444445251182</v>
      </c>
      <c r="T144">
        <v>8</v>
      </c>
      <c r="U144" t="s">
        <v>2826</v>
      </c>
    </row>
    <row r="145" spans="1:21" x14ac:dyDescent="0.3">
      <c r="A145">
        <v>144</v>
      </c>
      <c r="B145" t="s">
        <v>2041</v>
      </c>
      <c r="C145" t="s">
        <v>38</v>
      </c>
      <c r="D145">
        <v>27</v>
      </c>
      <c r="E145" t="s">
        <v>38</v>
      </c>
      <c r="F145">
        <v>14</v>
      </c>
      <c r="G145" t="s">
        <v>38</v>
      </c>
      <c r="H145" t="s">
        <v>38</v>
      </c>
      <c r="I145">
        <v>0.3</v>
      </c>
      <c r="J145" t="s">
        <v>38</v>
      </c>
      <c r="K145">
        <v>0</v>
      </c>
      <c r="L145">
        <v>1.6250327902765899E-2</v>
      </c>
      <c r="M145" t="s">
        <v>38</v>
      </c>
      <c r="O145" t="s">
        <v>2836</v>
      </c>
      <c r="P145">
        <v>1343.1468</v>
      </c>
      <c r="Q145">
        <v>937.77800000000002</v>
      </c>
      <c r="R145">
        <v>0.698194717062945</v>
      </c>
      <c r="S145">
        <v>0.28220426567353901</v>
      </c>
      <c r="T145">
        <v>14</v>
      </c>
      <c r="U145" t="s">
        <v>2826</v>
      </c>
    </row>
    <row r="146" spans="1:21" x14ac:dyDescent="0.3">
      <c r="A146">
        <v>145</v>
      </c>
      <c r="B146" t="s">
        <v>87</v>
      </c>
      <c r="C146" t="s">
        <v>38</v>
      </c>
      <c r="D146">
        <v>32</v>
      </c>
      <c r="E146" t="s">
        <v>38</v>
      </c>
      <c r="F146">
        <v>9</v>
      </c>
      <c r="G146" t="s">
        <v>38</v>
      </c>
      <c r="H146" t="s">
        <v>38</v>
      </c>
      <c r="I146">
        <v>0.2</v>
      </c>
      <c r="J146" t="s">
        <v>38</v>
      </c>
      <c r="K146">
        <v>0</v>
      </c>
      <c r="L146">
        <v>0.19344814441635799</v>
      </c>
      <c r="M146" t="s">
        <v>38</v>
      </c>
      <c r="O146" t="s">
        <v>2825</v>
      </c>
      <c r="P146">
        <v>2298.4987999999998</v>
      </c>
      <c r="Q146">
        <v>1567.7116000000001</v>
      </c>
      <c r="R146">
        <v>0.68205891601944701</v>
      </c>
      <c r="S146">
        <v>0.17041730483321099</v>
      </c>
      <c r="T146">
        <v>9</v>
      </c>
      <c r="U146" t="s">
        <v>2826</v>
      </c>
    </row>
    <row r="147" spans="1:21" x14ac:dyDescent="0.3">
      <c r="A147">
        <v>146</v>
      </c>
      <c r="B147" t="s">
        <v>1982</v>
      </c>
      <c r="C147" t="s">
        <v>38</v>
      </c>
      <c r="D147">
        <v>0</v>
      </c>
      <c r="E147" t="s">
        <v>38</v>
      </c>
      <c r="F147">
        <v>0</v>
      </c>
      <c r="G147" t="s">
        <v>38</v>
      </c>
      <c r="H147" t="s">
        <v>38</v>
      </c>
      <c r="I147">
        <v>0</v>
      </c>
      <c r="J147" t="s">
        <v>38</v>
      </c>
      <c r="K147">
        <v>3</v>
      </c>
      <c r="L147">
        <v>2.1947007723585898E-3</v>
      </c>
      <c r="M147" t="s">
        <v>38</v>
      </c>
      <c r="O147" t="s">
        <v>2829</v>
      </c>
      <c r="P147">
        <v>318.33960000000002</v>
      </c>
      <c r="Q147">
        <v>318.03879999999998</v>
      </c>
      <c r="R147">
        <v>0.99905509713525997</v>
      </c>
      <c r="S147">
        <v>2.0502904028183999E-3</v>
      </c>
      <c r="T147">
        <v>0</v>
      </c>
      <c r="U147" t="s">
        <v>2826</v>
      </c>
    </row>
    <row r="148" spans="1:21" x14ac:dyDescent="0.3">
      <c r="A148">
        <v>147</v>
      </c>
      <c r="B148" t="s">
        <v>173</v>
      </c>
      <c r="C148" t="s">
        <v>38</v>
      </c>
      <c r="D148">
        <v>0</v>
      </c>
      <c r="E148" t="s">
        <v>38</v>
      </c>
      <c r="F148">
        <v>0</v>
      </c>
      <c r="G148" t="s">
        <v>38</v>
      </c>
      <c r="H148" t="s">
        <v>38</v>
      </c>
      <c r="I148">
        <v>0</v>
      </c>
      <c r="J148" t="s">
        <v>38</v>
      </c>
      <c r="K148">
        <v>1</v>
      </c>
      <c r="L148">
        <v>2.8953481371997501E-3</v>
      </c>
      <c r="M148" t="s">
        <v>38</v>
      </c>
      <c r="O148" t="s">
        <v>2829</v>
      </c>
      <c r="P148">
        <v>388.32560000000001</v>
      </c>
      <c r="Q148">
        <v>385.3768</v>
      </c>
      <c r="R148">
        <v>0.99240637238441098</v>
      </c>
      <c r="S148">
        <v>3.6965455538816201E-3</v>
      </c>
      <c r="T148">
        <v>0</v>
      </c>
      <c r="U148" t="s">
        <v>2826</v>
      </c>
    </row>
    <row r="149" spans="1:21" x14ac:dyDescent="0.3">
      <c r="A149">
        <v>148</v>
      </c>
      <c r="B149" t="s">
        <v>1953</v>
      </c>
      <c r="C149" t="s">
        <v>38</v>
      </c>
      <c r="D149">
        <v>1</v>
      </c>
      <c r="E149" t="s">
        <v>38</v>
      </c>
      <c r="F149">
        <v>0</v>
      </c>
      <c r="G149" t="s">
        <v>38</v>
      </c>
      <c r="H149" t="s">
        <v>38</v>
      </c>
      <c r="I149">
        <v>0</v>
      </c>
      <c r="J149" t="s">
        <v>38</v>
      </c>
      <c r="K149">
        <v>0</v>
      </c>
      <c r="L149">
        <v>5.2333744628345303E-4</v>
      </c>
      <c r="M149" t="s">
        <v>38</v>
      </c>
      <c r="O149" t="s">
        <v>2836</v>
      </c>
      <c r="P149">
        <v>852.19240000000002</v>
      </c>
      <c r="Q149">
        <v>846.10799999999995</v>
      </c>
      <c r="R149">
        <v>0.99286029774496898</v>
      </c>
      <c r="S149">
        <v>6.4647902606792904E-3</v>
      </c>
      <c r="T149">
        <v>0</v>
      </c>
      <c r="U149" t="s">
        <v>2826</v>
      </c>
    </row>
    <row r="150" spans="1:21" x14ac:dyDescent="0.3">
      <c r="A150">
        <v>149</v>
      </c>
      <c r="B150" t="s">
        <v>1192</v>
      </c>
      <c r="C150" t="s">
        <v>38</v>
      </c>
      <c r="D150">
        <v>0</v>
      </c>
      <c r="E150" t="s">
        <v>38</v>
      </c>
      <c r="F150">
        <v>0</v>
      </c>
      <c r="G150" t="s">
        <v>38</v>
      </c>
      <c r="H150" t="s">
        <v>38</v>
      </c>
      <c r="I150">
        <v>0</v>
      </c>
      <c r="J150" t="s">
        <v>38</v>
      </c>
      <c r="K150">
        <v>0</v>
      </c>
      <c r="L150">
        <v>3.61947233984676E-3</v>
      </c>
      <c r="M150" t="s">
        <v>38</v>
      </c>
      <c r="O150" t="s">
        <v>2836</v>
      </c>
      <c r="P150">
        <v>1084.7883999999999</v>
      </c>
      <c r="Q150">
        <v>1082.2572</v>
      </c>
      <c r="R150">
        <v>0.99766664171556396</v>
      </c>
      <c r="S150">
        <v>3.71235364236108E-3</v>
      </c>
      <c r="T150">
        <v>0</v>
      </c>
      <c r="U150" t="s">
        <v>2826</v>
      </c>
    </row>
    <row r="151" spans="1:21" x14ac:dyDescent="0.3">
      <c r="A151">
        <v>150</v>
      </c>
      <c r="B151" t="s">
        <v>2388</v>
      </c>
      <c r="C151" t="s">
        <v>38</v>
      </c>
      <c r="D151">
        <v>0</v>
      </c>
      <c r="E151" t="s">
        <v>38</v>
      </c>
      <c r="F151">
        <v>0</v>
      </c>
      <c r="G151" t="s">
        <v>38</v>
      </c>
      <c r="H151" t="s">
        <v>38</v>
      </c>
      <c r="I151">
        <v>0</v>
      </c>
      <c r="J151" t="s">
        <v>38</v>
      </c>
      <c r="K151">
        <v>0</v>
      </c>
      <c r="L151">
        <v>2.53365616496809E-3</v>
      </c>
      <c r="M151" t="s">
        <v>38</v>
      </c>
      <c r="O151" t="s">
        <v>2829</v>
      </c>
      <c r="P151">
        <v>332.5684</v>
      </c>
      <c r="Q151">
        <v>330.90519999999998</v>
      </c>
      <c r="R151">
        <v>0.99499892352971597</v>
      </c>
      <c r="S151">
        <v>3.6259816184996099E-3</v>
      </c>
      <c r="T151">
        <v>0</v>
      </c>
      <c r="U151" t="s">
        <v>2826</v>
      </c>
    </row>
    <row r="152" spans="1:21" x14ac:dyDescent="0.3">
      <c r="A152">
        <v>151</v>
      </c>
      <c r="B152" t="s">
        <v>1048</v>
      </c>
      <c r="C152" t="s">
        <v>38</v>
      </c>
      <c r="D152">
        <v>5</v>
      </c>
      <c r="E152" t="s">
        <v>38</v>
      </c>
      <c r="F152">
        <v>2</v>
      </c>
      <c r="G152" t="s">
        <v>38</v>
      </c>
      <c r="H152" t="s">
        <v>38</v>
      </c>
      <c r="I152">
        <v>0</v>
      </c>
      <c r="J152" t="s">
        <v>38</v>
      </c>
      <c r="K152">
        <v>0</v>
      </c>
      <c r="L152">
        <v>1.91999554137465E-2</v>
      </c>
      <c r="M152" t="s">
        <v>38</v>
      </c>
      <c r="O152" t="s">
        <v>2829</v>
      </c>
      <c r="P152">
        <v>304.18439999999998</v>
      </c>
      <c r="Q152">
        <v>287.084</v>
      </c>
      <c r="R152">
        <v>0.94378278438999497</v>
      </c>
      <c r="S152">
        <v>3.2271314494366599E-2</v>
      </c>
      <c r="T152">
        <v>2</v>
      </c>
      <c r="U152" t="s">
        <v>2826</v>
      </c>
    </row>
    <row r="153" spans="1:21" x14ac:dyDescent="0.3">
      <c r="A153">
        <v>152</v>
      </c>
      <c r="B153" t="s">
        <v>602</v>
      </c>
      <c r="C153" t="s">
        <v>38</v>
      </c>
      <c r="D153">
        <v>10</v>
      </c>
      <c r="E153" t="s">
        <v>38</v>
      </c>
      <c r="F153">
        <v>3</v>
      </c>
      <c r="G153" t="s">
        <v>38</v>
      </c>
      <c r="H153" t="s">
        <v>38</v>
      </c>
      <c r="I153">
        <v>0.1</v>
      </c>
      <c r="J153" t="s">
        <v>38</v>
      </c>
      <c r="K153">
        <v>0</v>
      </c>
      <c r="L153">
        <v>1.0149094451718301E-2</v>
      </c>
      <c r="M153" t="s">
        <v>38</v>
      </c>
      <c r="O153" t="s">
        <v>2825</v>
      </c>
      <c r="P153">
        <v>2402.9412000000002</v>
      </c>
      <c r="Q153">
        <v>2155.9756000000002</v>
      </c>
      <c r="R153">
        <v>0.897223619121433</v>
      </c>
      <c r="S153">
        <v>5.87123922110903E-2</v>
      </c>
      <c r="T153">
        <v>3</v>
      </c>
      <c r="U153" t="s">
        <v>2826</v>
      </c>
    </row>
    <row r="154" spans="1:21" x14ac:dyDescent="0.3">
      <c r="A154">
        <v>153</v>
      </c>
      <c r="B154" t="s">
        <v>2394</v>
      </c>
      <c r="C154" t="s">
        <v>38</v>
      </c>
      <c r="D154">
        <v>9</v>
      </c>
      <c r="E154" t="s">
        <v>38</v>
      </c>
      <c r="F154">
        <v>2</v>
      </c>
      <c r="G154" t="s">
        <v>38</v>
      </c>
      <c r="H154" t="s">
        <v>38</v>
      </c>
      <c r="I154">
        <v>0</v>
      </c>
      <c r="J154" t="s">
        <v>38</v>
      </c>
      <c r="K154">
        <v>0</v>
      </c>
      <c r="L154">
        <v>1.7579476995504599E-2</v>
      </c>
      <c r="M154" t="s">
        <v>38</v>
      </c>
      <c r="O154" t="s">
        <v>2825</v>
      </c>
      <c r="P154">
        <v>4052.18</v>
      </c>
      <c r="Q154">
        <v>3696.5036</v>
      </c>
      <c r="R154">
        <v>0.91222591296536704</v>
      </c>
      <c r="S154">
        <v>4.6238102939345403E-2</v>
      </c>
      <c r="T154">
        <v>2</v>
      </c>
      <c r="U154" t="s">
        <v>2826</v>
      </c>
    </row>
    <row r="155" spans="1:21" x14ac:dyDescent="0.3">
      <c r="A155">
        <v>154</v>
      </c>
      <c r="B155" t="s">
        <v>2399</v>
      </c>
      <c r="C155" t="s">
        <v>76</v>
      </c>
      <c r="D155">
        <v>65</v>
      </c>
      <c r="E155" t="s">
        <v>76</v>
      </c>
      <c r="F155">
        <v>31</v>
      </c>
      <c r="G155" t="s">
        <v>106</v>
      </c>
      <c r="H155" t="s">
        <v>51</v>
      </c>
      <c r="I155">
        <v>0.6</v>
      </c>
      <c r="J155" t="s">
        <v>38</v>
      </c>
      <c r="K155">
        <v>31</v>
      </c>
      <c r="L155">
        <v>0.14065181666023699</v>
      </c>
      <c r="M155" t="s">
        <v>106</v>
      </c>
      <c r="N155" t="s">
        <v>504</v>
      </c>
      <c r="O155" t="s">
        <v>2863</v>
      </c>
      <c r="P155">
        <v>334.19639999999998</v>
      </c>
      <c r="Q155">
        <v>131.68119999999999</v>
      </c>
      <c r="R155">
        <v>0.39402339462663299</v>
      </c>
      <c r="S155">
        <v>0.61709086410242697</v>
      </c>
      <c r="T155">
        <v>31</v>
      </c>
      <c r="U155" t="s">
        <v>2826</v>
      </c>
    </row>
    <row r="156" spans="1:21" x14ac:dyDescent="0.3">
      <c r="A156">
        <v>155</v>
      </c>
      <c r="B156" t="s">
        <v>360</v>
      </c>
      <c r="C156" t="s">
        <v>38</v>
      </c>
      <c r="D156">
        <v>3</v>
      </c>
      <c r="E156" t="s">
        <v>38</v>
      </c>
      <c r="F156">
        <v>2</v>
      </c>
      <c r="G156" t="s">
        <v>38</v>
      </c>
      <c r="H156" t="s">
        <v>38</v>
      </c>
      <c r="I156">
        <v>0</v>
      </c>
      <c r="J156" t="s">
        <v>38</v>
      </c>
      <c r="K156">
        <v>0</v>
      </c>
      <c r="L156">
        <v>2.0880260653833398E-2</v>
      </c>
      <c r="M156" t="s">
        <v>38</v>
      </c>
      <c r="O156" t="s">
        <v>2836</v>
      </c>
      <c r="P156">
        <v>498.23840000000001</v>
      </c>
      <c r="Q156">
        <v>469.34280000000001</v>
      </c>
      <c r="R156">
        <v>0.94200447014923006</v>
      </c>
      <c r="S156">
        <v>3.1998737237409397E-2</v>
      </c>
      <c r="T156">
        <v>2</v>
      </c>
      <c r="U156" t="s">
        <v>2826</v>
      </c>
    </row>
    <row r="157" spans="1:21" x14ac:dyDescent="0.3">
      <c r="A157">
        <v>156</v>
      </c>
      <c r="B157" t="s">
        <v>824</v>
      </c>
      <c r="C157" t="s">
        <v>38</v>
      </c>
      <c r="D157">
        <v>0</v>
      </c>
      <c r="E157" t="s">
        <v>38</v>
      </c>
      <c r="F157">
        <v>0</v>
      </c>
      <c r="G157" t="s">
        <v>38</v>
      </c>
      <c r="H157" t="s">
        <v>38</v>
      </c>
      <c r="I157">
        <v>0</v>
      </c>
      <c r="J157" t="s">
        <v>38</v>
      </c>
      <c r="K157">
        <v>0</v>
      </c>
      <c r="L157" s="18">
        <v>2.9348672906372399E-5</v>
      </c>
      <c r="M157" t="s">
        <v>38</v>
      </c>
      <c r="O157" t="s">
        <v>2836</v>
      </c>
      <c r="P157">
        <v>37.525199999999998</v>
      </c>
      <c r="Q157">
        <v>37.480400000000003</v>
      </c>
      <c r="R157">
        <v>0.99880613561020304</v>
      </c>
      <c r="S157">
        <v>3.73082621811435E-3</v>
      </c>
      <c r="T157">
        <v>0</v>
      </c>
      <c r="U157" t="s">
        <v>2826</v>
      </c>
    </row>
    <row r="158" spans="1:21" x14ac:dyDescent="0.3">
      <c r="A158">
        <v>157</v>
      </c>
      <c r="B158" t="s">
        <v>900</v>
      </c>
      <c r="C158" t="s">
        <v>38</v>
      </c>
      <c r="D158">
        <v>0</v>
      </c>
      <c r="E158" t="s">
        <v>38</v>
      </c>
      <c r="F158">
        <v>0</v>
      </c>
      <c r="G158" t="s">
        <v>38</v>
      </c>
      <c r="H158" t="s">
        <v>38</v>
      </c>
      <c r="I158">
        <v>0</v>
      </c>
      <c r="J158" t="s">
        <v>38</v>
      </c>
      <c r="K158">
        <v>0</v>
      </c>
      <c r="L158">
        <v>1.24040165386887E-4</v>
      </c>
      <c r="M158" t="s">
        <v>38</v>
      </c>
      <c r="O158" t="s">
        <v>2833</v>
      </c>
      <c r="P158">
        <v>50.834800000000001</v>
      </c>
      <c r="Q158">
        <v>50.79</v>
      </c>
      <c r="R158">
        <v>0.99911871395186003</v>
      </c>
      <c r="S158">
        <v>2.75401890043842E-3</v>
      </c>
      <c r="T158">
        <v>0</v>
      </c>
      <c r="U158" t="s">
        <v>2826</v>
      </c>
    </row>
    <row r="159" spans="1:21" x14ac:dyDescent="0.3">
      <c r="A159">
        <v>158</v>
      </c>
      <c r="B159" t="s">
        <v>2486</v>
      </c>
      <c r="C159" t="s">
        <v>38</v>
      </c>
      <c r="D159">
        <v>35</v>
      </c>
      <c r="E159" t="s">
        <v>38</v>
      </c>
      <c r="F159">
        <v>22</v>
      </c>
      <c r="G159" t="s">
        <v>106</v>
      </c>
      <c r="H159" t="s">
        <v>51</v>
      </c>
      <c r="I159">
        <v>0.4</v>
      </c>
      <c r="J159" t="s">
        <v>38</v>
      </c>
      <c r="K159">
        <v>0</v>
      </c>
      <c r="L159">
        <v>5.4799036331738497E-3</v>
      </c>
      <c r="M159" t="s">
        <v>106</v>
      </c>
      <c r="N159" t="s">
        <v>53</v>
      </c>
      <c r="O159" t="s">
        <v>2846</v>
      </c>
      <c r="P159">
        <v>547.94880000000001</v>
      </c>
      <c r="Q159">
        <v>354.31279999999998</v>
      </c>
      <c r="R159">
        <v>0.64661661819498495</v>
      </c>
      <c r="S159">
        <v>0.44287459437252202</v>
      </c>
      <c r="T159">
        <v>22</v>
      </c>
      <c r="U159" t="s">
        <v>2826</v>
      </c>
    </row>
    <row r="160" spans="1:21" x14ac:dyDescent="0.3">
      <c r="A160">
        <v>159</v>
      </c>
      <c r="B160" t="s">
        <v>1899</v>
      </c>
      <c r="C160" t="s">
        <v>38</v>
      </c>
      <c r="D160">
        <v>10</v>
      </c>
      <c r="E160" t="s">
        <v>38</v>
      </c>
      <c r="F160">
        <v>4</v>
      </c>
      <c r="G160" t="s">
        <v>38</v>
      </c>
      <c r="H160" t="s">
        <v>38</v>
      </c>
      <c r="I160">
        <v>0.1</v>
      </c>
      <c r="J160" t="s">
        <v>38</v>
      </c>
      <c r="K160">
        <v>0</v>
      </c>
      <c r="L160">
        <v>7.4395855029213203E-3</v>
      </c>
      <c r="M160" t="s">
        <v>38</v>
      </c>
      <c r="O160" t="s">
        <v>2836</v>
      </c>
      <c r="P160">
        <v>2523.64</v>
      </c>
      <c r="Q160">
        <v>2232.7588000000001</v>
      </c>
      <c r="R160">
        <v>0.88473744274143695</v>
      </c>
      <c r="S160">
        <v>7.0583922325214404E-2</v>
      </c>
      <c r="T160">
        <v>4</v>
      </c>
      <c r="U160" t="s">
        <v>2826</v>
      </c>
    </row>
    <row r="161" spans="1:21" x14ac:dyDescent="0.3">
      <c r="A161">
        <v>160</v>
      </c>
      <c r="B161" t="s">
        <v>1711</v>
      </c>
      <c r="C161" t="s">
        <v>38</v>
      </c>
      <c r="D161">
        <v>5</v>
      </c>
      <c r="E161" t="s">
        <v>38</v>
      </c>
      <c r="F161">
        <v>2</v>
      </c>
      <c r="G161" t="s">
        <v>38</v>
      </c>
      <c r="H161" t="s">
        <v>38</v>
      </c>
      <c r="I161">
        <v>0</v>
      </c>
      <c r="J161" t="s">
        <v>38</v>
      </c>
      <c r="K161">
        <v>0</v>
      </c>
      <c r="L161">
        <v>9.5860588420653599E-3</v>
      </c>
      <c r="M161" t="s">
        <v>38</v>
      </c>
      <c r="O161" t="s">
        <v>2836</v>
      </c>
      <c r="P161">
        <v>1135.9860000000001</v>
      </c>
      <c r="Q161">
        <v>1051.0576000000001</v>
      </c>
      <c r="R161">
        <v>0.92523816314637697</v>
      </c>
      <c r="S161">
        <v>4.3603909371978E-2</v>
      </c>
      <c r="T161">
        <v>2</v>
      </c>
      <c r="U161" t="s">
        <v>2826</v>
      </c>
    </row>
    <row r="162" spans="1:21" x14ac:dyDescent="0.3">
      <c r="A162">
        <v>161</v>
      </c>
      <c r="B162" t="s">
        <v>1186</v>
      </c>
      <c r="C162" t="s">
        <v>38</v>
      </c>
      <c r="D162">
        <v>10</v>
      </c>
      <c r="E162" t="s">
        <v>38</v>
      </c>
      <c r="F162">
        <v>5</v>
      </c>
      <c r="G162" t="s">
        <v>106</v>
      </c>
      <c r="H162" t="s">
        <v>51</v>
      </c>
      <c r="I162">
        <v>0.1</v>
      </c>
      <c r="J162" t="s">
        <v>38</v>
      </c>
      <c r="K162">
        <v>0</v>
      </c>
      <c r="L162">
        <v>2.8003862899440499E-2</v>
      </c>
      <c r="M162" t="s">
        <v>106</v>
      </c>
      <c r="N162" t="s">
        <v>108</v>
      </c>
      <c r="O162" t="s">
        <v>2853</v>
      </c>
      <c r="P162">
        <v>422.87639999999999</v>
      </c>
      <c r="Q162">
        <v>370.70600000000002</v>
      </c>
      <c r="R162">
        <v>0.87662967240545897</v>
      </c>
      <c r="S162">
        <v>0.102175837159518</v>
      </c>
      <c r="T162">
        <v>5</v>
      </c>
      <c r="U162" t="s">
        <v>2826</v>
      </c>
    </row>
    <row r="163" spans="1:21" x14ac:dyDescent="0.3">
      <c r="A163">
        <v>162</v>
      </c>
      <c r="B163" t="s">
        <v>1204</v>
      </c>
      <c r="C163" t="s">
        <v>38</v>
      </c>
      <c r="D163">
        <v>5</v>
      </c>
      <c r="E163" t="s">
        <v>38</v>
      </c>
      <c r="F163">
        <v>2</v>
      </c>
      <c r="G163" t="s">
        <v>38</v>
      </c>
      <c r="H163" t="s">
        <v>38</v>
      </c>
      <c r="I163">
        <v>0</v>
      </c>
      <c r="J163" t="s">
        <v>38</v>
      </c>
      <c r="K163">
        <v>0</v>
      </c>
      <c r="L163">
        <v>7.3557707336475899E-3</v>
      </c>
      <c r="M163" t="s">
        <v>38</v>
      </c>
      <c r="O163" t="s">
        <v>2836</v>
      </c>
      <c r="P163">
        <v>394.07119999999998</v>
      </c>
      <c r="Q163">
        <v>371.08280000000002</v>
      </c>
      <c r="R163">
        <v>0.94166434898059004</v>
      </c>
      <c r="S163">
        <v>3.9334701388881302E-2</v>
      </c>
      <c r="T163">
        <v>2</v>
      </c>
      <c r="U163" t="s">
        <v>2826</v>
      </c>
    </row>
    <row r="164" spans="1:21" x14ac:dyDescent="0.3">
      <c r="A164">
        <v>163</v>
      </c>
      <c r="B164" t="s">
        <v>277</v>
      </c>
      <c r="C164" t="s">
        <v>38</v>
      </c>
      <c r="D164">
        <v>1</v>
      </c>
      <c r="E164" t="s">
        <v>38</v>
      </c>
      <c r="F164">
        <v>1</v>
      </c>
      <c r="G164" t="s">
        <v>38</v>
      </c>
      <c r="H164" t="s">
        <v>38</v>
      </c>
      <c r="I164">
        <v>0</v>
      </c>
      <c r="J164" t="s">
        <v>38</v>
      </c>
      <c r="K164">
        <v>0</v>
      </c>
      <c r="L164">
        <v>1.3422391535142301E-2</v>
      </c>
      <c r="M164" t="s">
        <v>38</v>
      </c>
      <c r="O164" t="s">
        <v>2836</v>
      </c>
      <c r="P164">
        <v>319.74639999999999</v>
      </c>
      <c r="Q164">
        <v>315.73360000000002</v>
      </c>
      <c r="R164">
        <v>0.98745005416792797</v>
      </c>
      <c r="S164">
        <v>1.2386037414429301E-2</v>
      </c>
      <c r="T164">
        <v>1</v>
      </c>
      <c r="U164" t="s">
        <v>2826</v>
      </c>
    </row>
    <row r="165" spans="1:21" x14ac:dyDescent="0.3">
      <c r="A165">
        <v>164</v>
      </c>
      <c r="B165" t="s">
        <v>417</v>
      </c>
      <c r="C165" t="s">
        <v>38</v>
      </c>
      <c r="D165">
        <v>6</v>
      </c>
      <c r="E165" t="s">
        <v>38</v>
      </c>
      <c r="F165">
        <v>2</v>
      </c>
      <c r="G165" t="s">
        <v>106</v>
      </c>
      <c r="H165" t="s">
        <v>51</v>
      </c>
      <c r="I165">
        <v>0</v>
      </c>
      <c r="J165" t="s">
        <v>38</v>
      </c>
      <c r="K165">
        <v>1</v>
      </c>
      <c r="L165">
        <v>4.05488104842677E-2</v>
      </c>
      <c r="M165" t="s">
        <v>106</v>
      </c>
      <c r="N165" t="s">
        <v>108</v>
      </c>
      <c r="O165" t="s">
        <v>2864</v>
      </c>
      <c r="P165">
        <v>219.44640000000001</v>
      </c>
      <c r="Q165">
        <v>203.27600000000001</v>
      </c>
      <c r="R165">
        <v>0.92631275792175205</v>
      </c>
      <c r="S165">
        <v>4.9766272796631802E-2</v>
      </c>
      <c r="T165">
        <v>2</v>
      </c>
      <c r="U165" t="s">
        <v>2826</v>
      </c>
    </row>
    <row r="166" spans="1:21" x14ac:dyDescent="0.3">
      <c r="A166">
        <v>165</v>
      </c>
      <c r="B166" t="s">
        <v>1247</v>
      </c>
      <c r="C166" t="s">
        <v>38</v>
      </c>
      <c r="D166">
        <v>2</v>
      </c>
      <c r="E166" t="s">
        <v>38</v>
      </c>
      <c r="F166">
        <v>1</v>
      </c>
      <c r="G166" t="s">
        <v>38</v>
      </c>
      <c r="H166" t="s">
        <v>38</v>
      </c>
      <c r="I166">
        <v>0</v>
      </c>
      <c r="J166" t="s">
        <v>38</v>
      </c>
      <c r="K166">
        <v>0</v>
      </c>
      <c r="L166">
        <v>8.0196269484936605E-3</v>
      </c>
      <c r="M166" t="s">
        <v>38</v>
      </c>
      <c r="O166" t="s">
        <v>2833</v>
      </c>
      <c r="P166">
        <v>404.95440000000002</v>
      </c>
      <c r="Q166">
        <v>395.74160000000001</v>
      </c>
      <c r="R166">
        <v>0.97724978417323005</v>
      </c>
      <c r="S166">
        <v>1.55855097941994E-2</v>
      </c>
      <c r="T166">
        <v>1</v>
      </c>
      <c r="U166" t="s">
        <v>2826</v>
      </c>
    </row>
    <row r="167" spans="1:21" x14ac:dyDescent="0.3">
      <c r="A167">
        <v>166</v>
      </c>
      <c r="B167" t="s">
        <v>1760</v>
      </c>
      <c r="C167" t="s">
        <v>38</v>
      </c>
      <c r="D167">
        <v>14</v>
      </c>
      <c r="E167" t="s">
        <v>38</v>
      </c>
      <c r="F167">
        <v>2</v>
      </c>
      <c r="G167" t="s">
        <v>38</v>
      </c>
      <c r="H167" t="s">
        <v>38</v>
      </c>
      <c r="I167">
        <v>0</v>
      </c>
      <c r="J167" t="s">
        <v>38</v>
      </c>
      <c r="K167">
        <v>0</v>
      </c>
      <c r="L167">
        <v>2.13536537813349E-2</v>
      </c>
      <c r="M167" t="s">
        <v>38</v>
      </c>
      <c r="O167" t="s">
        <v>2825</v>
      </c>
      <c r="P167">
        <v>211.16239999999999</v>
      </c>
      <c r="Q167">
        <v>181.57079999999999</v>
      </c>
      <c r="R167">
        <v>0.85986330899819297</v>
      </c>
      <c r="S167">
        <v>4.7198288955234299E-2</v>
      </c>
      <c r="T167">
        <v>2</v>
      </c>
      <c r="U167" t="s">
        <v>2826</v>
      </c>
    </row>
    <row r="168" spans="1:21" x14ac:dyDescent="0.3">
      <c r="A168">
        <v>167</v>
      </c>
      <c r="B168" t="s">
        <v>1587</v>
      </c>
      <c r="C168" t="s">
        <v>38</v>
      </c>
      <c r="D168">
        <v>24</v>
      </c>
      <c r="E168" t="s">
        <v>38</v>
      </c>
      <c r="F168">
        <v>17</v>
      </c>
      <c r="G168" t="s">
        <v>38</v>
      </c>
      <c r="H168" t="s">
        <v>38</v>
      </c>
      <c r="I168">
        <v>0.3</v>
      </c>
      <c r="J168" t="s">
        <v>38</v>
      </c>
      <c r="K168">
        <v>0</v>
      </c>
      <c r="L168">
        <v>4.6830683991821104E-3</v>
      </c>
      <c r="M168" t="s">
        <v>76</v>
      </c>
      <c r="N168" t="s">
        <v>1594</v>
      </c>
      <c r="O168" t="s">
        <v>2838</v>
      </c>
      <c r="P168">
        <v>176.51240000000001</v>
      </c>
      <c r="Q168">
        <v>133.41679999999999</v>
      </c>
      <c r="R168">
        <v>0.75584944740426196</v>
      </c>
      <c r="S168">
        <v>0.34894045282275199</v>
      </c>
      <c r="T168">
        <v>17</v>
      </c>
      <c r="U168" t="s">
        <v>2860</v>
      </c>
    </row>
    <row r="169" spans="1:21" x14ac:dyDescent="0.3">
      <c r="A169">
        <v>168</v>
      </c>
      <c r="B169" t="s">
        <v>1384</v>
      </c>
      <c r="C169" t="s">
        <v>38</v>
      </c>
      <c r="D169">
        <v>20</v>
      </c>
      <c r="E169" t="s">
        <v>38</v>
      </c>
      <c r="F169">
        <v>2</v>
      </c>
      <c r="G169" t="s">
        <v>38</v>
      </c>
      <c r="H169" t="s">
        <v>38</v>
      </c>
      <c r="I169">
        <v>0</v>
      </c>
      <c r="J169" t="s">
        <v>38</v>
      </c>
      <c r="K169">
        <v>0</v>
      </c>
      <c r="L169">
        <v>3.2371103364061397E-2</v>
      </c>
      <c r="M169" t="s">
        <v>38</v>
      </c>
      <c r="O169" t="s">
        <v>2825</v>
      </c>
      <c r="P169">
        <v>788.08280000000002</v>
      </c>
      <c r="Q169">
        <v>632.21199999999999</v>
      </c>
      <c r="R169">
        <v>0.80221519870754698</v>
      </c>
      <c r="S169">
        <v>3.4684008136302402E-2</v>
      </c>
      <c r="T169">
        <v>2</v>
      </c>
      <c r="U169" t="s">
        <v>2826</v>
      </c>
    </row>
    <row r="170" spans="1:21" x14ac:dyDescent="0.3">
      <c r="A170">
        <v>169</v>
      </c>
      <c r="B170" t="s">
        <v>1655</v>
      </c>
      <c r="C170" t="s">
        <v>38</v>
      </c>
      <c r="D170">
        <v>15</v>
      </c>
      <c r="E170" t="s">
        <v>38</v>
      </c>
      <c r="F170">
        <v>3</v>
      </c>
      <c r="G170" t="s">
        <v>38</v>
      </c>
      <c r="H170" t="s">
        <v>38</v>
      </c>
      <c r="I170">
        <v>0.1</v>
      </c>
      <c r="J170" t="s">
        <v>38</v>
      </c>
      <c r="K170">
        <v>0</v>
      </c>
      <c r="L170">
        <v>2.8036276564953101E-2</v>
      </c>
      <c r="M170" t="s">
        <v>38</v>
      </c>
      <c r="O170" t="s">
        <v>2838</v>
      </c>
      <c r="P170">
        <v>214.07320000000001</v>
      </c>
      <c r="Q170">
        <v>182.42080000000001</v>
      </c>
      <c r="R170">
        <v>0.85214216445589597</v>
      </c>
      <c r="S170">
        <v>5.1621480574149302E-2</v>
      </c>
      <c r="T170">
        <v>3</v>
      </c>
      <c r="U170" t="s">
        <v>2826</v>
      </c>
    </row>
    <row r="171" spans="1:21" x14ac:dyDescent="0.3">
      <c r="A171">
        <v>170</v>
      </c>
      <c r="B171" t="s">
        <v>2053</v>
      </c>
      <c r="C171" t="s">
        <v>38</v>
      </c>
      <c r="D171">
        <v>17</v>
      </c>
      <c r="E171" t="s">
        <v>38</v>
      </c>
      <c r="F171">
        <v>2</v>
      </c>
      <c r="G171" t="s">
        <v>38</v>
      </c>
      <c r="H171" t="s">
        <v>38</v>
      </c>
      <c r="I171">
        <v>0</v>
      </c>
      <c r="J171" t="s">
        <v>38</v>
      </c>
      <c r="K171">
        <v>0</v>
      </c>
      <c r="L171">
        <v>3.85190860825428E-2</v>
      </c>
      <c r="M171" t="s">
        <v>38</v>
      </c>
      <c r="O171" t="s">
        <v>2838</v>
      </c>
      <c r="P171">
        <v>1062.2747999999999</v>
      </c>
      <c r="Q171">
        <v>884.35119999999995</v>
      </c>
      <c r="R171">
        <v>0.83250699348228896</v>
      </c>
      <c r="S171">
        <v>3.05417904518256E-2</v>
      </c>
      <c r="T171">
        <v>2</v>
      </c>
      <c r="U171" t="s">
        <v>2826</v>
      </c>
    </row>
    <row r="172" spans="1:21" x14ac:dyDescent="0.3">
      <c r="A172">
        <v>171</v>
      </c>
      <c r="B172" t="s">
        <v>888</v>
      </c>
      <c r="C172" t="s">
        <v>38</v>
      </c>
      <c r="D172">
        <v>26</v>
      </c>
      <c r="E172" t="s">
        <v>38</v>
      </c>
      <c r="F172">
        <v>1</v>
      </c>
      <c r="G172" t="s">
        <v>38</v>
      </c>
      <c r="H172" t="s">
        <v>38</v>
      </c>
      <c r="I172">
        <v>0</v>
      </c>
      <c r="J172" t="s">
        <v>38</v>
      </c>
      <c r="K172">
        <v>0</v>
      </c>
      <c r="L172">
        <v>4.3290930336879502E-2</v>
      </c>
      <c r="M172" t="s">
        <v>38</v>
      </c>
      <c r="O172" t="s">
        <v>2838</v>
      </c>
      <c r="P172">
        <v>389.35840000000002</v>
      </c>
      <c r="Q172">
        <v>288.91039999999998</v>
      </c>
      <c r="R172">
        <v>0.74201660988950002</v>
      </c>
      <c r="S172">
        <v>2.87855062682533E-2</v>
      </c>
      <c r="T172">
        <v>1</v>
      </c>
      <c r="U172" t="s">
        <v>2826</v>
      </c>
    </row>
    <row r="173" spans="1:21" x14ac:dyDescent="0.3">
      <c r="A173">
        <v>172</v>
      </c>
      <c r="B173" t="s">
        <v>1942</v>
      </c>
      <c r="C173" t="s">
        <v>38</v>
      </c>
      <c r="D173">
        <v>8</v>
      </c>
      <c r="E173" t="s">
        <v>38</v>
      </c>
      <c r="F173">
        <v>1</v>
      </c>
      <c r="G173" t="s">
        <v>38</v>
      </c>
      <c r="H173" t="s">
        <v>38</v>
      </c>
      <c r="I173">
        <v>0</v>
      </c>
      <c r="J173" t="s">
        <v>38</v>
      </c>
      <c r="K173">
        <v>0</v>
      </c>
      <c r="L173">
        <v>1.3866189579558499E-2</v>
      </c>
      <c r="M173" t="s">
        <v>38</v>
      </c>
      <c r="O173" t="s">
        <v>2838</v>
      </c>
      <c r="P173">
        <v>1029.4780000000001</v>
      </c>
      <c r="Q173">
        <v>946.18640000000005</v>
      </c>
      <c r="R173">
        <v>0.91909336576400902</v>
      </c>
      <c r="S173">
        <v>2.60574312597362E-2</v>
      </c>
      <c r="T173">
        <v>1</v>
      </c>
      <c r="U173" t="s">
        <v>2826</v>
      </c>
    </row>
    <row r="174" spans="1:21" x14ac:dyDescent="0.3">
      <c r="A174">
        <v>173</v>
      </c>
      <c r="B174" t="s">
        <v>1377</v>
      </c>
      <c r="C174" t="s">
        <v>38</v>
      </c>
      <c r="D174">
        <v>19</v>
      </c>
      <c r="E174" t="s">
        <v>38</v>
      </c>
      <c r="F174">
        <v>3</v>
      </c>
      <c r="G174" t="s">
        <v>38</v>
      </c>
      <c r="H174" t="s">
        <v>38</v>
      </c>
      <c r="I174">
        <v>0.1</v>
      </c>
      <c r="J174" t="s">
        <v>38</v>
      </c>
      <c r="K174">
        <v>0</v>
      </c>
      <c r="L174">
        <v>1.4614175690789301E-2</v>
      </c>
      <c r="M174" t="s">
        <v>38</v>
      </c>
      <c r="O174" t="s">
        <v>2838</v>
      </c>
      <c r="P174">
        <v>185.23439999999999</v>
      </c>
      <c r="Q174">
        <v>150.9288</v>
      </c>
      <c r="R174">
        <v>0.81479897902333498</v>
      </c>
      <c r="S174">
        <v>5.34738376257844E-2</v>
      </c>
      <c r="T174">
        <v>3</v>
      </c>
      <c r="U174" t="s">
        <v>2826</v>
      </c>
    </row>
    <row r="175" spans="1:21" x14ac:dyDescent="0.3">
      <c r="A175">
        <v>174</v>
      </c>
      <c r="B175" t="s">
        <v>1690</v>
      </c>
      <c r="C175" t="s">
        <v>38</v>
      </c>
      <c r="D175">
        <v>25</v>
      </c>
      <c r="E175" t="s">
        <v>38</v>
      </c>
      <c r="F175">
        <v>13</v>
      </c>
      <c r="G175" t="s">
        <v>38</v>
      </c>
      <c r="H175" t="s">
        <v>38</v>
      </c>
      <c r="I175">
        <v>0.3</v>
      </c>
      <c r="J175" t="s">
        <v>38</v>
      </c>
      <c r="K175">
        <v>0</v>
      </c>
      <c r="L175">
        <v>3.6081285037491101E-3</v>
      </c>
      <c r="M175" t="s">
        <v>38</v>
      </c>
      <c r="O175" t="s">
        <v>2843</v>
      </c>
      <c r="P175">
        <v>680.32079999999996</v>
      </c>
      <c r="Q175">
        <v>514.94839999999999</v>
      </c>
      <c r="R175">
        <v>0.756919970696177</v>
      </c>
      <c r="S175">
        <v>0.25290981371195398</v>
      </c>
      <c r="T175">
        <v>13</v>
      </c>
      <c r="U175" t="s">
        <v>2826</v>
      </c>
    </row>
    <row r="176" spans="1:21" x14ac:dyDescent="0.3">
      <c r="A176">
        <v>175</v>
      </c>
      <c r="B176" t="s">
        <v>870</v>
      </c>
      <c r="C176" t="s">
        <v>38</v>
      </c>
      <c r="D176">
        <v>9</v>
      </c>
      <c r="E176" t="s">
        <v>38</v>
      </c>
      <c r="F176">
        <v>4</v>
      </c>
      <c r="G176" t="s">
        <v>38</v>
      </c>
      <c r="H176" t="s">
        <v>38</v>
      </c>
      <c r="I176">
        <v>0.1</v>
      </c>
      <c r="J176" t="s">
        <v>38</v>
      </c>
      <c r="K176">
        <v>0</v>
      </c>
      <c r="L176">
        <v>5.4862900069274601E-4</v>
      </c>
      <c r="M176" t="s">
        <v>38</v>
      </c>
      <c r="O176" t="s">
        <v>2843</v>
      </c>
      <c r="P176">
        <v>265.43079999999998</v>
      </c>
      <c r="Q176">
        <v>244.24520000000001</v>
      </c>
      <c r="R176">
        <v>0.92018409317984196</v>
      </c>
      <c r="S176">
        <v>8.8656749548884306E-2</v>
      </c>
      <c r="T176">
        <v>4</v>
      </c>
      <c r="U176" t="s">
        <v>2826</v>
      </c>
    </row>
    <row r="177" spans="1:21" x14ac:dyDescent="0.3">
      <c r="A177">
        <v>176</v>
      </c>
      <c r="B177" t="s">
        <v>1845</v>
      </c>
      <c r="C177" t="s">
        <v>38</v>
      </c>
      <c r="D177">
        <v>0</v>
      </c>
      <c r="E177" t="s">
        <v>38</v>
      </c>
      <c r="F177">
        <v>0</v>
      </c>
      <c r="G177" t="s">
        <v>38</v>
      </c>
      <c r="H177" t="s">
        <v>38</v>
      </c>
      <c r="I177">
        <v>0</v>
      </c>
      <c r="J177" t="s">
        <v>38</v>
      </c>
      <c r="K177">
        <v>0</v>
      </c>
      <c r="L177" t="s">
        <v>2840</v>
      </c>
      <c r="M177" t="s">
        <v>38</v>
      </c>
      <c r="O177" t="s">
        <v>2848</v>
      </c>
      <c r="P177">
        <v>81.642799999999994</v>
      </c>
      <c r="Q177">
        <v>81.260400000000004</v>
      </c>
      <c r="R177">
        <v>0.995316182198553</v>
      </c>
      <c r="S177">
        <v>4.4603307412152199E-4</v>
      </c>
      <c r="T177">
        <v>0</v>
      </c>
      <c r="U177" t="s">
        <v>2826</v>
      </c>
    </row>
    <row r="178" spans="1:21" x14ac:dyDescent="0.3">
      <c r="A178">
        <v>177</v>
      </c>
      <c r="B178" t="s">
        <v>1930</v>
      </c>
      <c r="C178" t="s">
        <v>76</v>
      </c>
      <c r="D178">
        <v>57</v>
      </c>
      <c r="E178" t="s">
        <v>76</v>
      </c>
      <c r="F178">
        <v>41</v>
      </c>
      <c r="G178" t="s">
        <v>51</v>
      </c>
      <c r="H178" t="s">
        <v>76</v>
      </c>
      <c r="I178">
        <v>0.8</v>
      </c>
      <c r="J178" t="s">
        <v>38</v>
      </c>
      <c r="K178">
        <v>0</v>
      </c>
      <c r="L178">
        <v>0.102381329168358</v>
      </c>
      <c r="M178" t="s">
        <v>51</v>
      </c>
      <c r="N178" t="s">
        <v>53</v>
      </c>
      <c r="O178" t="s">
        <v>2842</v>
      </c>
      <c r="P178">
        <v>497.67599999999999</v>
      </c>
      <c r="Q178">
        <v>174.4068</v>
      </c>
      <c r="R178">
        <v>0.350442456537989</v>
      </c>
      <c r="S178">
        <v>0.82312947580216</v>
      </c>
      <c r="T178">
        <v>41</v>
      </c>
      <c r="U178" t="s">
        <v>2826</v>
      </c>
    </row>
    <row r="179" spans="1:21" x14ac:dyDescent="0.3">
      <c r="A179">
        <v>178</v>
      </c>
      <c r="B179" t="s">
        <v>98</v>
      </c>
      <c r="C179" t="s">
        <v>38</v>
      </c>
      <c r="D179">
        <v>35</v>
      </c>
      <c r="E179" t="s">
        <v>38</v>
      </c>
      <c r="F179">
        <v>17</v>
      </c>
      <c r="G179" t="s">
        <v>106</v>
      </c>
      <c r="H179" t="s">
        <v>51</v>
      </c>
      <c r="I179">
        <v>0.3</v>
      </c>
      <c r="J179" t="s">
        <v>38</v>
      </c>
      <c r="K179">
        <v>0</v>
      </c>
      <c r="L179">
        <v>0.150000547447253</v>
      </c>
      <c r="M179" t="s">
        <v>106</v>
      </c>
      <c r="N179" t="s">
        <v>108</v>
      </c>
      <c r="O179" t="s">
        <v>2853</v>
      </c>
      <c r="P179">
        <v>63.072000000000003</v>
      </c>
      <c r="Q179">
        <v>36.533200000000001</v>
      </c>
      <c r="R179">
        <v>0.57923008625063399</v>
      </c>
      <c r="S179">
        <v>0.33146349221885102</v>
      </c>
      <c r="T179">
        <v>17</v>
      </c>
      <c r="U179" t="s">
        <v>2826</v>
      </c>
    </row>
    <row r="180" spans="1:21" x14ac:dyDescent="0.3">
      <c r="A180">
        <v>179</v>
      </c>
      <c r="B180" t="s">
        <v>523</v>
      </c>
      <c r="C180" t="s">
        <v>51</v>
      </c>
      <c r="D180">
        <v>80</v>
      </c>
      <c r="E180" t="s">
        <v>51</v>
      </c>
      <c r="F180">
        <v>60</v>
      </c>
      <c r="G180" t="s">
        <v>51</v>
      </c>
      <c r="H180" t="s">
        <v>106</v>
      </c>
      <c r="I180">
        <v>1.2</v>
      </c>
      <c r="J180" t="s">
        <v>38</v>
      </c>
      <c r="K180">
        <v>0</v>
      </c>
      <c r="L180">
        <v>0.102890173410405</v>
      </c>
      <c r="M180" t="s">
        <v>106</v>
      </c>
      <c r="N180" t="s">
        <v>529</v>
      </c>
      <c r="O180" t="s">
        <v>2850</v>
      </c>
      <c r="P180">
        <v>101.0616</v>
      </c>
      <c r="Q180">
        <v>12.802</v>
      </c>
      <c r="R180">
        <v>0.126675215907921</v>
      </c>
      <c r="S180">
        <v>1.1911724898006499</v>
      </c>
      <c r="T180">
        <v>60</v>
      </c>
      <c r="U180" t="s">
        <v>2826</v>
      </c>
    </row>
    <row r="181" spans="1:21" x14ac:dyDescent="0.3">
      <c r="A181">
        <v>180</v>
      </c>
      <c r="B181" t="s">
        <v>2095</v>
      </c>
      <c r="C181" t="s">
        <v>51</v>
      </c>
      <c r="D181">
        <v>81</v>
      </c>
      <c r="E181" t="s">
        <v>51</v>
      </c>
      <c r="F181">
        <v>51</v>
      </c>
      <c r="G181" t="s">
        <v>51</v>
      </c>
      <c r="H181" t="s">
        <v>51</v>
      </c>
      <c r="I181">
        <v>1</v>
      </c>
      <c r="J181" t="s">
        <v>38</v>
      </c>
      <c r="K181">
        <v>0</v>
      </c>
      <c r="L181">
        <v>9.3819751526637199E-2</v>
      </c>
      <c r="M181" t="s">
        <v>51</v>
      </c>
      <c r="N181" t="s">
        <v>2101</v>
      </c>
      <c r="O181" t="s">
        <v>2850</v>
      </c>
      <c r="P181">
        <v>209.756</v>
      </c>
      <c r="Q181">
        <v>28.494</v>
      </c>
      <c r="R181">
        <v>0.13584355155514</v>
      </c>
      <c r="S181">
        <v>1.0275827954962999</v>
      </c>
      <c r="T181">
        <v>51</v>
      </c>
      <c r="U181" t="s">
        <v>2826</v>
      </c>
    </row>
    <row r="182" spans="1:21" x14ac:dyDescent="0.3">
      <c r="A182">
        <v>181</v>
      </c>
      <c r="B182" t="s">
        <v>1874</v>
      </c>
      <c r="C182" t="s">
        <v>38</v>
      </c>
      <c r="D182">
        <v>10</v>
      </c>
      <c r="E182" t="s">
        <v>38</v>
      </c>
      <c r="F182">
        <v>4</v>
      </c>
      <c r="G182" t="s">
        <v>38</v>
      </c>
      <c r="H182" t="s">
        <v>38</v>
      </c>
      <c r="I182">
        <v>0.1</v>
      </c>
      <c r="J182" t="s">
        <v>38</v>
      </c>
      <c r="K182">
        <v>0</v>
      </c>
      <c r="L182">
        <v>2.7479547510210998E-3</v>
      </c>
      <c r="M182" t="s">
        <v>38</v>
      </c>
      <c r="O182" t="s">
        <v>2838</v>
      </c>
      <c r="P182">
        <v>219.49440000000001</v>
      </c>
      <c r="Q182">
        <v>197.23759999999999</v>
      </c>
      <c r="R182">
        <v>0.89859969092605496</v>
      </c>
      <c r="S182">
        <v>8.0061069954294004E-2</v>
      </c>
      <c r="T182">
        <v>4</v>
      </c>
      <c r="U182" t="s">
        <v>2826</v>
      </c>
    </row>
    <row r="183" spans="1:21" x14ac:dyDescent="0.3">
      <c r="A183">
        <v>182</v>
      </c>
      <c r="B183" t="s">
        <v>1209</v>
      </c>
      <c r="C183" t="s">
        <v>38</v>
      </c>
      <c r="D183">
        <v>2</v>
      </c>
      <c r="E183" t="s">
        <v>38</v>
      </c>
      <c r="F183">
        <v>0</v>
      </c>
      <c r="G183" t="s">
        <v>38</v>
      </c>
      <c r="H183" t="s">
        <v>38</v>
      </c>
      <c r="I183">
        <v>0</v>
      </c>
      <c r="J183" t="s">
        <v>38</v>
      </c>
      <c r="K183">
        <v>0</v>
      </c>
      <c r="L183">
        <v>7.2949111096331002E-4</v>
      </c>
      <c r="M183" t="s">
        <v>38</v>
      </c>
      <c r="O183" t="s">
        <v>2838</v>
      </c>
      <c r="P183">
        <v>578.92600000000004</v>
      </c>
      <c r="Q183">
        <v>565.32560000000001</v>
      </c>
      <c r="R183">
        <v>0.97650753291439696</v>
      </c>
      <c r="S183">
        <v>7.0287680903636501E-3</v>
      </c>
      <c r="T183">
        <v>0</v>
      </c>
      <c r="U183" t="s">
        <v>2826</v>
      </c>
    </row>
    <row r="184" spans="1:21" x14ac:dyDescent="0.3">
      <c r="A184">
        <v>183</v>
      </c>
      <c r="B184" t="s">
        <v>595</v>
      </c>
      <c r="C184" t="s">
        <v>38</v>
      </c>
      <c r="D184">
        <v>17</v>
      </c>
      <c r="E184" t="s">
        <v>38</v>
      </c>
      <c r="F184">
        <v>6</v>
      </c>
      <c r="G184" t="s">
        <v>38</v>
      </c>
      <c r="H184" t="s">
        <v>38</v>
      </c>
      <c r="I184">
        <v>0.1</v>
      </c>
      <c r="J184" t="s">
        <v>38</v>
      </c>
      <c r="K184">
        <v>0</v>
      </c>
      <c r="L184">
        <v>1.0206180673133199E-3</v>
      </c>
      <c r="M184" t="s">
        <v>38</v>
      </c>
      <c r="O184" t="s">
        <v>2838</v>
      </c>
      <c r="P184">
        <v>305.53960000000001</v>
      </c>
      <c r="Q184">
        <v>252.78800000000001</v>
      </c>
      <c r="R184">
        <v>0.82734938449876905</v>
      </c>
      <c r="S184">
        <v>0.110805522571665</v>
      </c>
      <c r="T184">
        <v>6</v>
      </c>
      <c r="U184" t="s">
        <v>2826</v>
      </c>
    </row>
    <row r="185" spans="1:21" x14ac:dyDescent="0.3">
      <c r="A185">
        <v>184</v>
      </c>
      <c r="B185" t="s">
        <v>1228</v>
      </c>
      <c r="C185" t="s">
        <v>51</v>
      </c>
      <c r="D185">
        <v>77</v>
      </c>
      <c r="E185" t="s">
        <v>51</v>
      </c>
      <c r="F185">
        <v>53</v>
      </c>
      <c r="G185" t="s">
        <v>51</v>
      </c>
      <c r="H185" t="s">
        <v>76</v>
      </c>
      <c r="I185">
        <v>1.1000000000000001</v>
      </c>
      <c r="J185" t="s">
        <v>38</v>
      </c>
      <c r="K185">
        <v>0</v>
      </c>
      <c r="L185">
        <v>0.18064563085345001</v>
      </c>
      <c r="M185" t="s">
        <v>51</v>
      </c>
      <c r="N185" t="s">
        <v>1234</v>
      </c>
      <c r="O185" t="s">
        <v>2850</v>
      </c>
      <c r="P185">
        <v>951.34079999999994</v>
      </c>
      <c r="Q185">
        <v>153.8836</v>
      </c>
      <c r="R185">
        <v>0.161754441731081</v>
      </c>
      <c r="S185">
        <v>1.05818681705967</v>
      </c>
      <c r="T185">
        <v>53</v>
      </c>
      <c r="U185" t="s">
        <v>2826</v>
      </c>
    </row>
    <row r="186" spans="1:21" x14ac:dyDescent="0.3">
      <c r="A186">
        <v>185</v>
      </c>
      <c r="B186" t="s">
        <v>479</v>
      </c>
      <c r="C186" t="s">
        <v>38</v>
      </c>
      <c r="D186">
        <v>2</v>
      </c>
      <c r="E186" t="s">
        <v>38</v>
      </c>
      <c r="F186">
        <v>1</v>
      </c>
      <c r="G186" t="s">
        <v>38</v>
      </c>
      <c r="H186" t="s">
        <v>38</v>
      </c>
      <c r="I186">
        <v>0</v>
      </c>
      <c r="J186" t="s">
        <v>38</v>
      </c>
      <c r="K186">
        <v>0</v>
      </c>
      <c r="L186">
        <v>0.10817598708663401</v>
      </c>
      <c r="M186" t="s">
        <v>38</v>
      </c>
      <c r="O186" t="s">
        <v>2836</v>
      </c>
      <c r="P186">
        <v>19.175599999999999</v>
      </c>
      <c r="Q186">
        <v>18.833200000000001</v>
      </c>
      <c r="R186">
        <v>0.98214397463443104</v>
      </c>
      <c r="S186">
        <v>2.71733409129188E-2</v>
      </c>
      <c r="T186">
        <v>1</v>
      </c>
      <c r="U186" t="s">
        <v>2826</v>
      </c>
    </row>
    <row r="187" spans="1:21" x14ac:dyDescent="0.3">
      <c r="A187">
        <v>186</v>
      </c>
      <c r="B187" t="s">
        <v>2035</v>
      </c>
      <c r="C187" t="s">
        <v>38</v>
      </c>
      <c r="D187">
        <v>11</v>
      </c>
      <c r="E187" t="s">
        <v>38</v>
      </c>
      <c r="F187">
        <v>5</v>
      </c>
      <c r="G187" t="s">
        <v>38</v>
      </c>
      <c r="H187" t="s">
        <v>38</v>
      </c>
      <c r="I187">
        <v>0.1</v>
      </c>
      <c r="J187" t="s">
        <v>38</v>
      </c>
      <c r="K187">
        <v>21</v>
      </c>
      <c r="L187">
        <v>1.9067156141750599E-2</v>
      </c>
      <c r="M187" t="s">
        <v>38</v>
      </c>
      <c r="O187" t="s">
        <v>2829</v>
      </c>
      <c r="P187">
        <v>501.68880000000001</v>
      </c>
      <c r="Q187">
        <v>432.68119999999999</v>
      </c>
      <c r="R187">
        <v>0.86244939093717099</v>
      </c>
      <c r="S187">
        <v>9.4929978881168206E-2</v>
      </c>
      <c r="T187">
        <v>5</v>
      </c>
      <c r="U187" t="s">
        <v>2826</v>
      </c>
    </row>
    <row r="188" spans="1:21" x14ac:dyDescent="0.3">
      <c r="A188">
        <v>187</v>
      </c>
      <c r="B188" t="s">
        <v>467</v>
      </c>
      <c r="C188" t="s">
        <v>38</v>
      </c>
      <c r="D188">
        <v>5</v>
      </c>
      <c r="E188" t="s">
        <v>38</v>
      </c>
      <c r="F188">
        <v>3</v>
      </c>
      <c r="G188" t="s">
        <v>38</v>
      </c>
      <c r="H188" t="s">
        <v>38</v>
      </c>
      <c r="I188">
        <v>0.1</v>
      </c>
      <c r="J188" t="s">
        <v>38</v>
      </c>
      <c r="K188">
        <v>0</v>
      </c>
      <c r="L188">
        <v>1.39517991659117E-2</v>
      </c>
      <c r="M188" t="s">
        <v>38</v>
      </c>
      <c r="O188" t="s">
        <v>2838</v>
      </c>
      <c r="P188">
        <v>207.30600000000001</v>
      </c>
      <c r="Q188">
        <v>196.04640000000001</v>
      </c>
      <c r="R188">
        <v>0.945686087233365</v>
      </c>
      <c r="S188">
        <v>6.6595046207177502E-2</v>
      </c>
      <c r="T188">
        <v>3</v>
      </c>
      <c r="U188" t="s">
        <v>2826</v>
      </c>
    </row>
    <row r="189" spans="1:21" x14ac:dyDescent="0.3">
      <c r="A189">
        <v>188</v>
      </c>
      <c r="B189" t="s">
        <v>353</v>
      </c>
      <c r="C189" t="s">
        <v>106</v>
      </c>
      <c r="D189">
        <v>90</v>
      </c>
      <c r="E189" t="s">
        <v>51</v>
      </c>
      <c r="F189">
        <v>61</v>
      </c>
      <c r="G189" t="s">
        <v>106</v>
      </c>
      <c r="H189" t="s">
        <v>106</v>
      </c>
      <c r="I189">
        <v>1.2</v>
      </c>
      <c r="J189" t="s">
        <v>38</v>
      </c>
      <c r="K189">
        <v>7</v>
      </c>
      <c r="L189">
        <v>8.7537800413815106E-2</v>
      </c>
      <c r="M189" t="s">
        <v>106</v>
      </c>
      <c r="N189" t="s">
        <v>359</v>
      </c>
      <c r="O189" t="s">
        <v>2856</v>
      </c>
      <c r="P189">
        <v>25.273599999999998</v>
      </c>
      <c r="Q189">
        <v>2.5131999999999999</v>
      </c>
      <c r="R189">
        <v>9.9439731577614598E-2</v>
      </c>
      <c r="S189">
        <v>1.2244700416223</v>
      </c>
      <c r="T189">
        <v>61</v>
      </c>
      <c r="U189" t="s">
        <v>2826</v>
      </c>
    </row>
    <row r="190" spans="1:21" x14ac:dyDescent="0.3">
      <c r="A190">
        <v>189</v>
      </c>
      <c r="B190" t="s">
        <v>2405</v>
      </c>
      <c r="C190" t="s">
        <v>51</v>
      </c>
      <c r="D190">
        <v>84</v>
      </c>
      <c r="E190" t="s">
        <v>51</v>
      </c>
      <c r="F190">
        <v>54</v>
      </c>
      <c r="G190" t="s">
        <v>106</v>
      </c>
      <c r="H190" t="s">
        <v>76</v>
      </c>
      <c r="I190">
        <v>1.1000000000000001</v>
      </c>
      <c r="J190" t="s">
        <v>38</v>
      </c>
      <c r="K190">
        <v>0</v>
      </c>
      <c r="L190">
        <v>0.175503694236886</v>
      </c>
      <c r="M190" t="s">
        <v>106</v>
      </c>
      <c r="N190" t="s">
        <v>504</v>
      </c>
      <c r="O190" t="s">
        <v>2850</v>
      </c>
      <c r="P190">
        <v>1193.6704</v>
      </c>
      <c r="Q190">
        <v>153.04920000000001</v>
      </c>
      <c r="R190">
        <v>0.12821730353705699</v>
      </c>
      <c r="S190">
        <v>1.0816430635566501</v>
      </c>
      <c r="T190">
        <v>54</v>
      </c>
      <c r="U190" t="s">
        <v>2826</v>
      </c>
    </row>
    <row r="191" spans="1:21" x14ac:dyDescent="0.3">
      <c r="A191">
        <v>190</v>
      </c>
      <c r="B191" t="s">
        <v>2411</v>
      </c>
      <c r="C191" t="s">
        <v>106</v>
      </c>
      <c r="D191">
        <v>90</v>
      </c>
      <c r="E191" t="s">
        <v>51</v>
      </c>
      <c r="F191">
        <v>58</v>
      </c>
      <c r="G191" t="s">
        <v>51</v>
      </c>
      <c r="H191" t="s">
        <v>76</v>
      </c>
      <c r="I191">
        <v>1.2</v>
      </c>
      <c r="J191" t="s">
        <v>38</v>
      </c>
      <c r="K191">
        <v>0</v>
      </c>
      <c r="L191">
        <v>0.13953231697471499</v>
      </c>
      <c r="M191" t="s">
        <v>106</v>
      </c>
      <c r="N191" t="s">
        <v>262</v>
      </c>
      <c r="O191" t="s">
        <v>2851</v>
      </c>
      <c r="P191">
        <v>2027.5060000000001</v>
      </c>
      <c r="Q191">
        <v>195.70519999999999</v>
      </c>
      <c r="R191">
        <v>9.6525090431298297E-2</v>
      </c>
      <c r="S191">
        <v>1.1639619155480201</v>
      </c>
      <c r="T191">
        <v>58</v>
      </c>
      <c r="U191" t="s">
        <v>2826</v>
      </c>
    </row>
    <row r="192" spans="1:21" x14ac:dyDescent="0.3">
      <c r="A192">
        <v>191</v>
      </c>
      <c r="B192" t="s">
        <v>1420</v>
      </c>
      <c r="C192" t="s">
        <v>51</v>
      </c>
      <c r="D192">
        <v>82</v>
      </c>
      <c r="E192" t="s">
        <v>51</v>
      </c>
      <c r="F192">
        <v>54</v>
      </c>
      <c r="G192" t="s">
        <v>51</v>
      </c>
      <c r="H192" t="s">
        <v>76</v>
      </c>
      <c r="I192">
        <v>1.1000000000000001</v>
      </c>
      <c r="J192" t="s">
        <v>38</v>
      </c>
      <c r="K192">
        <v>0</v>
      </c>
      <c r="L192">
        <v>0.11231463957667499</v>
      </c>
      <c r="M192" t="s">
        <v>51</v>
      </c>
      <c r="N192" t="s">
        <v>1234</v>
      </c>
      <c r="O192" t="s">
        <v>2850</v>
      </c>
      <c r="P192">
        <v>2762.57</v>
      </c>
      <c r="Q192">
        <v>397.76560000000001</v>
      </c>
      <c r="R192">
        <v>0.143983899050522</v>
      </c>
      <c r="S192">
        <v>1.07282581562457</v>
      </c>
      <c r="T192">
        <v>54</v>
      </c>
      <c r="U192" t="s">
        <v>2826</v>
      </c>
    </row>
    <row r="193" spans="1:21" x14ac:dyDescent="0.3">
      <c r="A193">
        <v>192</v>
      </c>
      <c r="B193" t="s">
        <v>1484</v>
      </c>
      <c r="C193" t="s">
        <v>76</v>
      </c>
      <c r="D193">
        <v>58</v>
      </c>
      <c r="E193" t="s">
        <v>38</v>
      </c>
      <c r="F193">
        <v>29</v>
      </c>
      <c r="G193" t="s">
        <v>106</v>
      </c>
      <c r="H193" t="s">
        <v>76</v>
      </c>
      <c r="I193">
        <v>0.6</v>
      </c>
      <c r="J193" t="s">
        <v>38</v>
      </c>
      <c r="K193">
        <v>0</v>
      </c>
      <c r="L193">
        <v>0.17641845600547801</v>
      </c>
      <c r="M193" t="s">
        <v>106</v>
      </c>
      <c r="N193" t="s">
        <v>53</v>
      </c>
      <c r="O193" t="s">
        <v>2830</v>
      </c>
      <c r="P193">
        <v>866.5308</v>
      </c>
      <c r="Q193">
        <v>326.54520000000002</v>
      </c>
      <c r="R193">
        <v>0.37684200030743298</v>
      </c>
      <c r="S193">
        <v>0.58949952095379898</v>
      </c>
      <c r="T193">
        <v>29</v>
      </c>
      <c r="U193" t="s">
        <v>2826</v>
      </c>
    </row>
    <row r="194" spans="1:21" x14ac:dyDescent="0.3">
      <c r="A194">
        <v>193</v>
      </c>
      <c r="B194" t="s">
        <v>835</v>
      </c>
      <c r="C194" t="s">
        <v>38</v>
      </c>
      <c r="D194">
        <v>4</v>
      </c>
      <c r="E194" t="s">
        <v>38</v>
      </c>
      <c r="F194">
        <v>1</v>
      </c>
      <c r="G194" t="s">
        <v>38</v>
      </c>
      <c r="H194" t="s">
        <v>38</v>
      </c>
      <c r="I194">
        <v>0</v>
      </c>
      <c r="J194" t="s">
        <v>38</v>
      </c>
      <c r="K194">
        <v>0</v>
      </c>
      <c r="L194">
        <v>2.3111215391834802E-3</v>
      </c>
      <c r="M194" t="s">
        <v>38</v>
      </c>
      <c r="O194" t="s">
        <v>2825</v>
      </c>
      <c r="P194">
        <v>276.41039999999998</v>
      </c>
      <c r="Q194">
        <v>264.24400000000003</v>
      </c>
      <c r="R194">
        <v>0.95598429002671403</v>
      </c>
      <c r="S194">
        <v>2.6119145333529301E-2</v>
      </c>
      <c r="T194">
        <v>1</v>
      </c>
      <c r="U194" t="s">
        <v>2826</v>
      </c>
    </row>
    <row r="195" spans="1:21" x14ac:dyDescent="0.3">
      <c r="A195">
        <v>194</v>
      </c>
      <c r="B195" t="s">
        <v>847</v>
      </c>
      <c r="C195" t="s">
        <v>38</v>
      </c>
      <c r="D195">
        <v>18</v>
      </c>
      <c r="E195" t="s">
        <v>38</v>
      </c>
      <c r="F195">
        <v>5</v>
      </c>
      <c r="G195" t="s">
        <v>38</v>
      </c>
      <c r="H195" t="s">
        <v>38</v>
      </c>
      <c r="I195">
        <v>0.1</v>
      </c>
      <c r="J195" t="s">
        <v>38</v>
      </c>
      <c r="K195">
        <v>0</v>
      </c>
      <c r="L195">
        <v>5.5406275857771596E-3</v>
      </c>
      <c r="M195" t="s">
        <v>38</v>
      </c>
      <c r="O195" t="s">
        <v>2825</v>
      </c>
      <c r="P195">
        <v>1347.8643999999999</v>
      </c>
      <c r="Q195">
        <v>1104.1168</v>
      </c>
      <c r="R195">
        <v>0.81916014697027395</v>
      </c>
      <c r="S195">
        <v>9.4901216934581201E-2</v>
      </c>
      <c r="T195">
        <v>5</v>
      </c>
      <c r="U195" t="s">
        <v>2826</v>
      </c>
    </row>
    <row r="196" spans="1:21" x14ac:dyDescent="0.3">
      <c r="A196">
        <v>195</v>
      </c>
      <c r="B196" t="s">
        <v>841</v>
      </c>
      <c r="C196" t="s">
        <v>76</v>
      </c>
      <c r="D196">
        <v>69</v>
      </c>
      <c r="E196" t="s">
        <v>76</v>
      </c>
      <c r="F196">
        <v>34</v>
      </c>
      <c r="G196" t="s">
        <v>51</v>
      </c>
      <c r="H196" t="s">
        <v>76</v>
      </c>
      <c r="I196">
        <v>0.7</v>
      </c>
      <c r="J196" t="s">
        <v>38</v>
      </c>
      <c r="K196">
        <v>0</v>
      </c>
      <c r="L196">
        <v>0.191890763112291</v>
      </c>
      <c r="M196" t="s">
        <v>51</v>
      </c>
      <c r="N196" t="s">
        <v>53</v>
      </c>
      <c r="O196" t="s">
        <v>2828</v>
      </c>
      <c r="P196">
        <v>207.13839999999999</v>
      </c>
      <c r="Q196">
        <v>64.168800000000005</v>
      </c>
      <c r="R196">
        <v>0.309787079556471</v>
      </c>
      <c r="S196">
        <v>0.67924442005122498</v>
      </c>
      <c r="T196">
        <v>34</v>
      </c>
      <c r="U196" t="s">
        <v>2826</v>
      </c>
    </row>
    <row r="197" spans="1:21" x14ac:dyDescent="0.3">
      <c r="A197">
        <v>196</v>
      </c>
      <c r="B197" t="s">
        <v>768</v>
      </c>
      <c r="C197" t="s">
        <v>38</v>
      </c>
      <c r="D197">
        <v>0</v>
      </c>
      <c r="E197" t="s">
        <v>38</v>
      </c>
      <c r="F197">
        <v>0</v>
      </c>
      <c r="G197" t="s">
        <v>38</v>
      </c>
      <c r="H197" t="s">
        <v>38</v>
      </c>
      <c r="I197">
        <v>0</v>
      </c>
      <c r="J197" t="s">
        <v>38</v>
      </c>
      <c r="K197">
        <v>0</v>
      </c>
      <c r="L197">
        <v>3.0166065030621099E-4</v>
      </c>
      <c r="M197" t="s">
        <v>38</v>
      </c>
      <c r="O197" t="s">
        <v>2825</v>
      </c>
      <c r="P197">
        <v>118.72239999999999</v>
      </c>
      <c r="Q197">
        <v>118.6764</v>
      </c>
      <c r="R197">
        <v>0.99961254152544099</v>
      </c>
      <c r="S197">
        <v>3.0542262065250299E-4</v>
      </c>
      <c r="T197">
        <v>0</v>
      </c>
      <c r="U197" t="s">
        <v>2826</v>
      </c>
    </row>
    <row r="198" spans="1:21" x14ac:dyDescent="0.3">
      <c r="A198">
        <v>197</v>
      </c>
      <c r="B198" t="s">
        <v>1426</v>
      </c>
      <c r="C198" t="s">
        <v>76</v>
      </c>
      <c r="D198">
        <v>58</v>
      </c>
      <c r="E198" t="s">
        <v>38</v>
      </c>
      <c r="F198">
        <v>19</v>
      </c>
      <c r="G198" t="s">
        <v>51</v>
      </c>
      <c r="H198" t="s">
        <v>51</v>
      </c>
      <c r="I198">
        <v>0.4</v>
      </c>
      <c r="J198" t="s">
        <v>38</v>
      </c>
      <c r="K198">
        <v>0</v>
      </c>
      <c r="L198">
        <v>6.2382129028781701E-2</v>
      </c>
      <c r="M198" t="s">
        <v>51</v>
      </c>
      <c r="N198" t="s">
        <v>706</v>
      </c>
      <c r="O198" t="s">
        <v>2828</v>
      </c>
      <c r="P198">
        <v>373.15</v>
      </c>
      <c r="Q198">
        <v>155.89080000000001</v>
      </c>
      <c r="R198">
        <v>0.41776979766849798</v>
      </c>
      <c r="S198">
        <v>0.38235964734495298</v>
      </c>
      <c r="T198">
        <v>19</v>
      </c>
      <c r="U198" t="s">
        <v>2826</v>
      </c>
    </row>
    <row r="199" spans="1:21" x14ac:dyDescent="0.3">
      <c r="A199">
        <v>198</v>
      </c>
      <c r="B199" t="s">
        <v>189</v>
      </c>
      <c r="C199" t="s">
        <v>76</v>
      </c>
      <c r="D199">
        <v>52</v>
      </c>
      <c r="E199" t="s">
        <v>38</v>
      </c>
      <c r="F199">
        <v>18</v>
      </c>
      <c r="G199" t="s">
        <v>106</v>
      </c>
      <c r="H199" t="s">
        <v>51</v>
      </c>
      <c r="I199">
        <v>0.4</v>
      </c>
      <c r="J199" t="s">
        <v>38</v>
      </c>
      <c r="K199">
        <v>0</v>
      </c>
      <c r="L199">
        <v>6.3945776435137998E-3</v>
      </c>
      <c r="M199" t="s">
        <v>106</v>
      </c>
      <c r="N199" t="s">
        <v>53</v>
      </c>
      <c r="O199" t="s">
        <v>2846</v>
      </c>
      <c r="P199">
        <v>218.83680000000001</v>
      </c>
      <c r="Q199">
        <v>104.33839999999999</v>
      </c>
      <c r="R199">
        <v>0.47678635403186298</v>
      </c>
      <c r="S199">
        <v>0.36985148481386598</v>
      </c>
      <c r="T199">
        <v>18</v>
      </c>
      <c r="U199" t="s">
        <v>2826</v>
      </c>
    </row>
    <row r="200" spans="1:21" x14ac:dyDescent="0.3">
      <c r="A200">
        <v>199</v>
      </c>
      <c r="B200" t="s">
        <v>2488</v>
      </c>
      <c r="C200" t="s">
        <v>51</v>
      </c>
      <c r="D200">
        <v>76</v>
      </c>
      <c r="E200" t="s">
        <v>76</v>
      </c>
      <c r="F200">
        <v>45</v>
      </c>
      <c r="G200" t="s">
        <v>106</v>
      </c>
      <c r="H200" t="s">
        <v>51</v>
      </c>
      <c r="I200">
        <v>0.9</v>
      </c>
      <c r="J200" t="s">
        <v>38</v>
      </c>
      <c r="K200">
        <v>0</v>
      </c>
      <c r="L200">
        <v>2.9902423670129099E-2</v>
      </c>
      <c r="M200" t="s">
        <v>106</v>
      </c>
      <c r="N200" t="s">
        <v>53</v>
      </c>
      <c r="O200" t="s">
        <v>2846</v>
      </c>
      <c r="P200">
        <v>46.991199999999999</v>
      </c>
      <c r="Q200">
        <v>11.437200000000001</v>
      </c>
      <c r="R200">
        <v>0.243390251791825</v>
      </c>
      <c r="S200">
        <v>0.90051471320454102</v>
      </c>
      <c r="T200">
        <v>45</v>
      </c>
      <c r="U200" t="s">
        <v>2826</v>
      </c>
    </row>
    <row r="201" spans="1:21" x14ac:dyDescent="0.3">
      <c r="A201">
        <v>200</v>
      </c>
      <c r="B201" t="s">
        <v>1078</v>
      </c>
      <c r="C201" t="s">
        <v>38</v>
      </c>
      <c r="D201">
        <v>2</v>
      </c>
      <c r="E201" t="s">
        <v>38</v>
      </c>
      <c r="F201">
        <v>1</v>
      </c>
      <c r="G201" t="s">
        <v>38</v>
      </c>
      <c r="H201" t="s">
        <v>38</v>
      </c>
      <c r="I201">
        <v>0</v>
      </c>
      <c r="J201" t="s">
        <v>38</v>
      </c>
      <c r="K201">
        <v>0</v>
      </c>
      <c r="L201">
        <v>4.3160261151978799E-4</v>
      </c>
      <c r="M201" t="s">
        <v>38</v>
      </c>
      <c r="O201" t="s">
        <v>2838</v>
      </c>
      <c r="P201">
        <v>3217.4720000000002</v>
      </c>
      <c r="Q201">
        <v>3148.2664</v>
      </c>
      <c r="R201">
        <v>0.97849069082807905</v>
      </c>
      <c r="S201">
        <v>1.40766264286114E-2</v>
      </c>
      <c r="T201">
        <v>1</v>
      </c>
      <c r="U201" t="s">
        <v>2826</v>
      </c>
    </row>
    <row r="202" spans="1:21" x14ac:dyDescent="0.3">
      <c r="A202">
        <v>201</v>
      </c>
      <c r="B202" t="s">
        <v>405</v>
      </c>
      <c r="C202" t="s">
        <v>76</v>
      </c>
      <c r="D202">
        <v>57</v>
      </c>
      <c r="E202" t="s">
        <v>38</v>
      </c>
      <c r="F202">
        <v>26</v>
      </c>
      <c r="G202" t="s">
        <v>106</v>
      </c>
      <c r="H202" t="s">
        <v>51</v>
      </c>
      <c r="I202">
        <v>0.5</v>
      </c>
      <c r="J202" t="s">
        <v>38</v>
      </c>
      <c r="K202">
        <v>0</v>
      </c>
      <c r="L202">
        <v>2.3302286326322801E-2</v>
      </c>
      <c r="M202" t="s">
        <v>106</v>
      </c>
      <c r="N202" t="s">
        <v>53</v>
      </c>
      <c r="O202" t="s">
        <v>2846</v>
      </c>
      <c r="P202">
        <v>491.74959999999999</v>
      </c>
      <c r="Q202">
        <v>211.3784</v>
      </c>
      <c r="R202">
        <v>0.42984966332458602</v>
      </c>
      <c r="S202">
        <v>0.52469932827148802</v>
      </c>
      <c r="T202">
        <v>26</v>
      </c>
      <c r="U202" t="s">
        <v>2826</v>
      </c>
    </row>
    <row r="203" spans="1:21" x14ac:dyDescent="0.3">
      <c r="A203">
        <v>202</v>
      </c>
      <c r="B203" t="s">
        <v>749</v>
      </c>
      <c r="C203" t="s">
        <v>38</v>
      </c>
      <c r="D203">
        <v>3</v>
      </c>
      <c r="E203" t="s">
        <v>38</v>
      </c>
      <c r="F203">
        <v>0</v>
      </c>
      <c r="G203" t="s">
        <v>38</v>
      </c>
      <c r="H203" t="s">
        <v>38</v>
      </c>
      <c r="I203">
        <v>0</v>
      </c>
      <c r="J203" t="s">
        <v>38</v>
      </c>
      <c r="K203">
        <v>0</v>
      </c>
      <c r="L203">
        <v>4.9669028808703897E-4</v>
      </c>
      <c r="M203" t="s">
        <v>38</v>
      </c>
      <c r="O203" t="s">
        <v>2838</v>
      </c>
      <c r="P203">
        <v>1236.5136</v>
      </c>
      <c r="Q203">
        <v>1199.1376</v>
      </c>
      <c r="R203">
        <v>0.969773078112525</v>
      </c>
      <c r="S203">
        <v>8.6343828484939603E-3</v>
      </c>
      <c r="T203">
        <v>0</v>
      </c>
      <c r="U203" t="s">
        <v>2826</v>
      </c>
    </row>
    <row r="204" spans="1:21" x14ac:dyDescent="0.3">
      <c r="A204">
        <v>203</v>
      </c>
      <c r="B204" t="s">
        <v>719</v>
      </c>
      <c r="C204" t="s">
        <v>38</v>
      </c>
      <c r="D204">
        <v>9</v>
      </c>
      <c r="E204" t="s">
        <v>38</v>
      </c>
      <c r="F204">
        <v>3</v>
      </c>
      <c r="G204" t="s">
        <v>38</v>
      </c>
      <c r="H204" t="s">
        <v>38</v>
      </c>
      <c r="I204">
        <v>0.1</v>
      </c>
      <c r="J204" t="s">
        <v>38</v>
      </c>
      <c r="K204">
        <v>0</v>
      </c>
      <c r="L204">
        <v>1.28862732791599E-3</v>
      </c>
      <c r="M204" t="s">
        <v>38</v>
      </c>
      <c r="O204" t="s">
        <v>2836</v>
      </c>
      <c r="P204">
        <v>2095.8456000000001</v>
      </c>
      <c r="Q204">
        <v>1809.9880000000001</v>
      </c>
      <c r="R204">
        <v>0.86360751001886804</v>
      </c>
      <c r="S204">
        <v>5.1626229629339798E-2</v>
      </c>
      <c r="T204">
        <v>3</v>
      </c>
      <c r="U204" t="s">
        <v>2826</v>
      </c>
    </row>
    <row r="205" spans="1:21" x14ac:dyDescent="0.3">
      <c r="A205">
        <v>204</v>
      </c>
      <c r="B205" t="s">
        <v>296</v>
      </c>
      <c r="C205" t="s">
        <v>38</v>
      </c>
      <c r="D205">
        <v>15</v>
      </c>
      <c r="E205" t="s">
        <v>38</v>
      </c>
      <c r="F205">
        <v>6</v>
      </c>
      <c r="G205" t="s">
        <v>38</v>
      </c>
      <c r="H205" t="s">
        <v>38</v>
      </c>
      <c r="I205">
        <v>0.1</v>
      </c>
      <c r="J205" t="s">
        <v>38</v>
      </c>
      <c r="K205">
        <v>0</v>
      </c>
      <c r="L205">
        <v>7.5536885230692704E-3</v>
      </c>
      <c r="M205" t="s">
        <v>38</v>
      </c>
      <c r="O205" t="s">
        <v>2836</v>
      </c>
      <c r="P205">
        <v>1607.8492000000001</v>
      </c>
      <c r="Q205">
        <v>1293.4608000000001</v>
      </c>
      <c r="R205">
        <v>0.80446648852392399</v>
      </c>
      <c r="S205">
        <v>0.114728451360096</v>
      </c>
      <c r="T205">
        <v>6</v>
      </c>
      <c r="U205" t="s">
        <v>2826</v>
      </c>
    </row>
    <row r="206" spans="1:21" x14ac:dyDescent="0.3">
      <c r="A206">
        <v>205</v>
      </c>
      <c r="B206" t="s">
        <v>1595</v>
      </c>
      <c r="C206" t="s">
        <v>38</v>
      </c>
      <c r="D206">
        <v>34</v>
      </c>
      <c r="E206" t="s">
        <v>38</v>
      </c>
      <c r="F206">
        <v>14</v>
      </c>
      <c r="G206" t="s">
        <v>51</v>
      </c>
      <c r="H206" t="s">
        <v>76</v>
      </c>
      <c r="I206">
        <v>0.3</v>
      </c>
      <c r="J206" t="s">
        <v>38</v>
      </c>
      <c r="K206">
        <v>0</v>
      </c>
      <c r="L206">
        <v>2.6872514522746201E-2</v>
      </c>
      <c r="M206" t="s">
        <v>51</v>
      </c>
      <c r="N206" t="s">
        <v>108</v>
      </c>
      <c r="O206" t="s">
        <v>2853</v>
      </c>
      <c r="P206">
        <v>1049.7592</v>
      </c>
      <c r="Q206">
        <v>616.48119999999994</v>
      </c>
      <c r="R206">
        <v>0.58725963058956798</v>
      </c>
      <c r="S206">
        <v>0.28187503615698301</v>
      </c>
      <c r="T206">
        <v>14</v>
      </c>
      <c r="U206" t="s">
        <v>2826</v>
      </c>
    </row>
    <row r="207" spans="1:21" x14ac:dyDescent="0.3">
      <c r="A207">
        <v>206</v>
      </c>
      <c r="B207" t="s">
        <v>1526</v>
      </c>
      <c r="C207" t="s">
        <v>106</v>
      </c>
      <c r="D207">
        <v>90</v>
      </c>
      <c r="E207" t="s">
        <v>51</v>
      </c>
      <c r="F207">
        <v>62</v>
      </c>
      <c r="G207" t="s">
        <v>51</v>
      </c>
      <c r="H207" t="s">
        <v>38</v>
      </c>
      <c r="I207">
        <v>1.2</v>
      </c>
      <c r="J207" t="s">
        <v>38</v>
      </c>
      <c r="K207">
        <v>0</v>
      </c>
      <c r="L207">
        <v>0.129303040324319</v>
      </c>
      <c r="M207" t="s">
        <v>106</v>
      </c>
      <c r="N207" t="s">
        <v>262</v>
      </c>
      <c r="O207" t="s">
        <v>2865</v>
      </c>
      <c r="P207">
        <v>4963.7543999999998</v>
      </c>
      <c r="Q207">
        <v>486.23759999999999</v>
      </c>
      <c r="R207">
        <v>9.7957626590066599E-2</v>
      </c>
      <c r="S207">
        <v>1.23950969813145</v>
      </c>
      <c r="T207">
        <v>62</v>
      </c>
      <c r="U207" t="s">
        <v>2826</v>
      </c>
    </row>
    <row r="208" spans="1:21" x14ac:dyDescent="0.3">
      <c r="A208">
        <v>207</v>
      </c>
      <c r="B208" t="s">
        <v>1637</v>
      </c>
      <c r="C208" t="s">
        <v>38</v>
      </c>
      <c r="D208">
        <v>25</v>
      </c>
      <c r="E208" t="s">
        <v>38</v>
      </c>
      <c r="F208">
        <v>20</v>
      </c>
      <c r="G208" t="s">
        <v>106</v>
      </c>
      <c r="H208" t="s">
        <v>51</v>
      </c>
      <c r="I208">
        <v>0.4</v>
      </c>
      <c r="J208" t="s">
        <v>38</v>
      </c>
      <c r="K208">
        <v>0</v>
      </c>
      <c r="L208">
        <v>7.5846508787405804E-3</v>
      </c>
      <c r="M208" t="s">
        <v>106</v>
      </c>
      <c r="N208" t="s">
        <v>53</v>
      </c>
      <c r="O208" t="s">
        <v>2842</v>
      </c>
      <c r="P208">
        <v>354.27760000000001</v>
      </c>
      <c r="Q208">
        <v>235.792</v>
      </c>
      <c r="R208">
        <v>0.66555717889022603</v>
      </c>
      <c r="S208">
        <v>0.39325083526238303</v>
      </c>
      <c r="T208">
        <v>20</v>
      </c>
      <c r="U208" t="s">
        <v>2826</v>
      </c>
    </row>
    <row r="209" spans="1:21" x14ac:dyDescent="0.3">
      <c r="A209">
        <v>208</v>
      </c>
      <c r="B209" t="s">
        <v>2764</v>
      </c>
      <c r="C209" t="s">
        <v>38</v>
      </c>
      <c r="D209">
        <v>6</v>
      </c>
      <c r="E209" t="s">
        <v>38</v>
      </c>
      <c r="F209">
        <v>3</v>
      </c>
      <c r="G209" t="s">
        <v>51</v>
      </c>
      <c r="H209" t="s">
        <v>76</v>
      </c>
      <c r="I209">
        <v>0.1</v>
      </c>
      <c r="J209" t="s">
        <v>38</v>
      </c>
      <c r="K209">
        <v>0</v>
      </c>
      <c r="L209">
        <v>0.32253372695079602</v>
      </c>
      <c r="M209" t="s">
        <v>51</v>
      </c>
      <c r="N209" t="s">
        <v>1352</v>
      </c>
      <c r="O209" t="s">
        <v>2866</v>
      </c>
      <c r="P209">
        <v>322.87599999999998</v>
      </c>
      <c r="Q209">
        <v>305.54199999999997</v>
      </c>
      <c r="R209">
        <v>0.94631375512580695</v>
      </c>
      <c r="S209">
        <v>6.2524055423696198E-2</v>
      </c>
      <c r="T209">
        <v>3</v>
      </c>
      <c r="U209" t="s">
        <v>2826</v>
      </c>
    </row>
    <row r="210" spans="1:21" x14ac:dyDescent="0.3">
      <c r="A210">
        <v>209</v>
      </c>
      <c r="B210" t="s">
        <v>2769</v>
      </c>
      <c r="C210" t="s">
        <v>38</v>
      </c>
      <c r="D210">
        <v>4</v>
      </c>
      <c r="E210" t="s">
        <v>38</v>
      </c>
      <c r="F210">
        <v>1</v>
      </c>
      <c r="G210" t="s">
        <v>106</v>
      </c>
      <c r="H210" t="s">
        <v>51</v>
      </c>
      <c r="I210">
        <v>0</v>
      </c>
      <c r="J210" t="s">
        <v>38</v>
      </c>
      <c r="K210">
        <v>0</v>
      </c>
      <c r="L210">
        <v>0.39102362603934299</v>
      </c>
      <c r="M210" t="s">
        <v>106</v>
      </c>
      <c r="N210" t="s">
        <v>1352</v>
      </c>
      <c r="O210" t="s">
        <v>2866</v>
      </c>
      <c r="P210">
        <v>39.6004</v>
      </c>
      <c r="Q210">
        <v>39.448</v>
      </c>
      <c r="R210">
        <v>0.99615155402470701</v>
      </c>
      <c r="S210">
        <v>1.19635046818656E-2</v>
      </c>
      <c r="T210">
        <v>1</v>
      </c>
      <c r="U210" t="s">
        <v>2826</v>
      </c>
    </row>
    <row r="211" spans="1:21" x14ac:dyDescent="0.3">
      <c r="A211">
        <v>210</v>
      </c>
      <c r="B211" t="s">
        <v>2772</v>
      </c>
      <c r="C211" t="s">
        <v>38</v>
      </c>
      <c r="D211">
        <v>24</v>
      </c>
      <c r="E211" t="s">
        <v>38</v>
      </c>
      <c r="F211">
        <v>12</v>
      </c>
      <c r="G211" t="s">
        <v>51</v>
      </c>
      <c r="H211" t="s">
        <v>51</v>
      </c>
      <c r="I211">
        <v>0.2</v>
      </c>
      <c r="J211" t="s">
        <v>38</v>
      </c>
      <c r="K211">
        <v>0</v>
      </c>
      <c r="L211">
        <v>0.37315177833646901</v>
      </c>
      <c r="M211" t="s">
        <v>51</v>
      </c>
      <c r="N211" t="s">
        <v>2774</v>
      </c>
      <c r="O211" t="s">
        <v>2854</v>
      </c>
      <c r="P211">
        <v>119.0592</v>
      </c>
      <c r="Q211">
        <v>91.006399999999999</v>
      </c>
      <c r="R211">
        <v>0.76437940117185399</v>
      </c>
      <c r="S211">
        <v>0.24311283739142101</v>
      </c>
      <c r="T211">
        <v>12</v>
      </c>
      <c r="U211" t="s">
        <v>2826</v>
      </c>
    </row>
    <row r="212" spans="1:21" x14ac:dyDescent="0.3">
      <c r="A212">
        <v>211</v>
      </c>
      <c r="B212" t="s">
        <v>2775</v>
      </c>
      <c r="C212" t="s">
        <v>38</v>
      </c>
      <c r="D212">
        <v>14</v>
      </c>
      <c r="E212" t="s">
        <v>38</v>
      </c>
      <c r="F212">
        <v>6</v>
      </c>
      <c r="G212" t="s">
        <v>38</v>
      </c>
      <c r="H212" t="s">
        <v>38</v>
      </c>
      <c r="I212">
        <v>0.1</v>
      </c>
      <c r="J212" t="s">
        <v>38</v>
      </c>
      <c r="K212">
        <v>2</v>
      </c>
      <c r="L212">
        <v>0.166786173615142</v>
      </c>
      <c r="M212" t="s">
        <v>38</v>
      </c>
      <c r="O212" t="s">
        <v>2833</v>
      </c>
      <c r="P212">
        <v>41.643999999999998</v>
      </c>
      <c r="Q212">
        <v>35.144399999999997</v>
      </c>
      <c r="R212">
        <v>0.84392469503409895</v>
      </c>
      <c r="S212">
        <v>0.123757979537406</v>
      </c>
      <c r="T212">
        <v>6</v>
      </c>
      <c r="U212" t="s">
        <v>2826</v>
      </c>
    </row>
    <row r="213" spans="1:21" x14ac:dyDescent="0.3">
      <c r="A213">
        <v>212</v>
      </c>
      <c r="B213" t="s">
        <v>2778</v>
      </c>
      <c r="C213" t="s">
        <v>38</v>
      </c>
      <c r="D213">
        <v>12</v>
      </c>
      <c r="E213" t="s">
        <v>38</v>
      </c>
      <c r="F213">
        <v>10</v>
      </c>
      <c r="G213" t="s">
        <v>106</v>
      </c>
      <c r="H213" t="s">
        <v>51</v>
      </c>
      <c r="I213">
        <v>0.2</v>
      </c>
      <c r="J213" t="s">
        <v>38</v>
      </c>
      <c r="K213">
        <v>3</v>
      </c>
      <c r="L213">
        <v>0.56478328647253595</v>
      </c>
      <c r="M213" t="s">
        <v>106</v>
      </c>
      <c r="N213" t="s">
        <v>1352</v>
      </c>
      <c r="O213" t="s">
        <v>2854</v>
      </c>
      <c r="P213">
        <v>96.925200000000004</v>
      </c>
      <c r="Q213">
        <v>84.932400000000001</v>
      </c>
      <c r="R213">
        <v>0.87626747223632195</v>
      </c>
      <c r="S213">
        <v>0.19077291983585101</v>
      </c>
      <c r="T213">
        <v>10</v>
      </c>
      <c r="U213" t="s">
        <v>2826</v>
      </c>
    </row>
    <row r="214" spans="1:21" x14ac:dyDescent="0.3">
      <c r="A214">
        <v>213</v>
      </c>
      <c r="B214" t="s">
        <v>1155</v>
      </c>
      <c r="C214" t="s">
        <v>51</v>
      </c>
      <c r="D214">
        <v>74</v>
      </c>
      <c r="E214" t="s">
        <v>76</v>
      </c>
      <c r="F214">
        <v>30</v>
      </c>
      <c r="G214" t="s">
        <v>106</v>
      </c>
      <c r="H214" t="s">
        <v>51</v>
      </c>
      <c r="I214">
        <v>0.6</v>
      </c>
      <c r="J214" t="s">
        <v>38</v>
      </c>
      <c r="K214">
        <v>0</v>
      </c>
      <c r="L214">
        <v>7.0851701820076503E-3</v>
      </c>
      <c r="M214" t="s">
        <v>106</v>
      </c>
      <c r="N214" t="s">
        <v>504</v>
      </c>
      <c r="O214" t="s">
        <v>2851</v>
      </c>
      <c r="P214">
        <v>298.82440000000003</v>
      </c>
      <c r="Q214">
        <v>78.304400000000001</v>
      </c>
      <c r="R214">
        <v>0.26204152003651598</v>
      </c>
      <c r="S214">
        <v>0.59654077132595196</v>
      </c>
      <c r="T214">
        <v>30</v>
      </c>
      <c r="U214" t="s">
        <v>2826</v>
      </c>
    </row>
    <row r="215" spans="1:21" x14ac:dyDescent="0.3">
      <c r="A215">
        <v>214</v>
      </c>
      <c r="B215" t="s">
        <v>2417</v>
      </c>
      <c r="C215" t="s">
        <v>76</v>
      </c>
      <c r="D215">
        <v>55</v>
      </c>
      <c r="E215" t="s">
        <v>38</v>
      </c>
      <c r="F215">
        <v>23</v>
      </c>
      <c r="G215" t="s">
        <v>51</v>
      </c>
      <c r="H215" t="s">
        <v>76</v>
      </c>
      <c r="I215">
        <v>0.5</v>
      </c>
      <c r="J215" t="s">
        <v>38</v>
      </c>
      <c r="K215">
        <v>0</v>
      </c>
      <c r="L215">
        <v>3.3820161115939301E-2</v>
      </c>
      <c r="M215" t="s">
        <v>51</v>
      </c>
      <c r="N215" t="s">
        <v>504</v>
      </c>
      <c r="O215" t="s">
        <v>2850</v>
      </c>
      <c r="P215">
        <v>1643.4048</v>
      </c>
      <c r="Q215">
        <v>580.84879999999998</v>
      </c>
      <c r="R215">
        <v>0.35344231682906102</v>
      </c>
      <c r="S215">
        <v>0.46337211211975698</v>
      </c>
      <c r="T215">
        <v>23</v>
      </c>
      <c r="U215" t="s">
        <v>2826</v>
      </c>
    </row>
    <row r="216" spans="1:21" x14ac:dyDescent="0.3">
      <c r="A216">
        <v>215</v>
      </c>
      <c r="B216" t="s">
        <v>2422</v>
      </c>
      <c r="C216" t="s">
        <v>38</v>
      </c>
      <c r="D216">
        <v>12</v>
      </c>
      <c r="E216" t="s">
        <v>38</v>
      </c>
      <c r="F216">
        <v>5</v>
      </c>
      <c r="G216" t="s">
        <v>38</v>
      </c>
      <c r="H216" t="s">
        <v>38</v>
      </c>
      <c r="I216">
        <v>0.1</v>
      </c>
      <c r="J216" t="s">
        <v>38</v>
      </c>
      <c r="K216">
        <v>0</v>
      </c>
      <c r="L216">
        <v>1.6151957617263201E-3</v>
      </c>
      <c r="M216" t="s">
        <v>106</v>
      </c>
      <c r="N216" t="s">
        <v>108</v>
      </c>
      <c r="O216" t="s">
        <v>2836</v>
      </c>
      <c r="P216">
        <v>61.564</v>
      </c>
      <c r="Q216">
        <v>49.529600000000002</v>
      </c>
      <c r="R216">
        <v>0.804522123318823</v>
      </c>
      <c r="S216">
        <v>9.5183378486305203E-2</v>
      </c>
      <c r="T216">
        <v>5</v>
      </c>
      <c r="U216" t="s">
        <v>2860</v>
      </c>
    </row>
    <row r="217" spans="1:21" x14ac:dyDescent="0.3">
      <c r="A217">
        <v>216</v>
      </c>
      <c r="B217" t="s">
        <v>693</v>
      </c>
      <c r="C217" t="s">
        <v>38</v>
      </c>
      <c r="D217">
        <v>11</v>
      </c>
      <c r="E217" t="s">
        <v>38</v>
      </c>
      <c r="F217">
        <v>7</v>
      </c>
      <c r="G217" t="s">
        <v>51</v>
      </c>
      <c r="H217" t="s">
        <v>76</v>
      </c>
      <c r="I217">
        <v>0.1</v>
      </c>
      <c r="J217" t="s">
        <v>38</v>
      </c>
      <c r="K217">
        <v>0</v>
      </c>
      <c r="L217">
        <v>4.2029919372233798E-2</v>
      </c>
      <c r="M217" t="s">
        <v>51</v>
      </c>
      <c r="N217" t="s">
        <v>108</v>
      </c>
      <c r="O217" t="s">
        <v>2853</v>
      </c>
      <c r="P217">
        <v>342.2724</v>
      </c>
      <c r="Q217">
        <v>293.00080000000003</v>
      </c>
      <c r="R217">
        <v>0.856045652527052</v>
      </c>
      <c r="S217">
        <v>0.13217426377913599</v>
      </c>
      <c r="T217">
        <v>7</v>
      </c>
      <c r="U217" t="s">
        <v>2826</v>
      </c>
    </row>
    <row r="218" spans="1:21" x14ac:dyDescent="0.3">
      <c r="A218">
        <v>217</v>
      </c>
      <c r="B218" t="s">
        <v>1401</v>
      </c>
      <c r="C218" t="s">
        <v>76</v>
      </c>
      <c r="D218">
        <v>63</v>
      </c>
      <c r="E218" t="s">
        <v>76</v>
      </c>
      <c r="F218">
        <v>48</v>
      </c>
      <c r="G218" t="s">
        <v>51</v>
      </c>
      <c r="H218" t="s">
        <v>51</v>
      </c>
      <c r="I218">
        <v>1</v>
      </c>
      <c r="J218" t="s">
        <v>38</v>
      </c>
      <c r="K218">
        <v>20</v>
      </c>
      <c r="L218">
        <v>0.37859400149820599</v>
      </c>
      <c r="M218" t="s">
        <v>51</v>
      </c>
      <c r="N218" t="s">
        <v>1407</v>
      </c>
      <c r="O218" t="s">
        <v>2867</v>
      </c>
      <c r="P218">
        <v>394.28919999999999</v>
      </c>
      <c r="Q218">
        <v>183.1524</v>
      </c>
      <c r="R218">
        <v>0.46451284995886299</v>
      </c>
      <c r="S218">
        <v>0.96934559544667698</v>
      </c>
      <c r="T218">
        <v>48</v>
      </c>
      <c r="U218" t="s">
        <v>2826</v>
      </c>
    </row>
    <row r="219" spans="1:21" x14ac:dyDescent="0.3">
      <c r="A219">
        <v>218</v>
      </c>
      <c r="B219" t="s">
        <v>1465</v>
      </c>
      <c r="C219" t="s">
        <v>38</v>
      </c>
      <c r="D219">
        <v>19</v>
      </c>
      <c r="E219" t="s">
        <v>38</v>
      </c>
      <c r="F219">
        <v>8</v>
      </c>
      <c r="G219" t="s">
        <v>51</v>
      </c>
      <c r="H219" t="s">
        <v>51</v>
      </c>
      <c r="I219">
        <v>0.2</v>
      </c>
      <c r="J219" t="s">
        <v>38</v>
      </c>
      <c r="K219">
        <v>0</v>
      </c>
      <c r="L219">
        <v>0.411619744604585</v>
      </c>
      <c r="M219" t="s">
        <v>51</v>
      </c>
      <c r="N219" t="s">
        <v>1471</v>
      </c>
      <c r="O219" t="s">
        <v>2862</v>
      </c>
      <c r="P219">
        <v>46.828800000000001</v>
      </c>
      <c r="Q219">
        <v>37.494799999999998</v>
      </c>
      <c r="R219">
        <v>0.80067821511548398</v>
      </c>
      <c r="S219">
        <v>0.15089904866335699</v>
      </c>
      <c r="T219">
        <v>8</v>
      </c>
      <c r="U219" t="s">
        <v>2826</v>
      </c>
    </row>
    <row r="220" spans="1:21" x14ac:dyDescent="0.3">
      <c r="A220">
        <v>219</v>
      </c>
      <c r="B220" t="s">
        <v>2428</v>
      </c>
      <c r="C220" t="s">
        <v>76</v>
      </c>
      <c r="D220">
        <v>56</v>
      </c>
      <c r="E220" t="s">
        <v>38</v>
      </c>
      <c r="F220">
        <v>26</v>
      </c>
      <c r="G220" t="s">
        <v>106</v>
      </c>
      <c r="H220" t="s">
        <v>106</v>
      </c>
      <c r="I220">
        <v>0.5</v>
      </c>
      <c r="J220" t="s">
        <v>38</v>
      </c>
      <c r="K220">
        <v>0</v>
      </c>
      <c r="L220">
        <v>0.51176337335361299</v>
      </c>
      <c r="M220" t="s">
        <v>106</v>
      </c>
      <c r="N220" t="s">
        <v>2434</v>
      </c>
      <c r="O220" t="s">
        <v>2861</v>
      </c>
      <c r="P220">
        <v>27.99</v>
      </c>
      <c r="Q220">
        <v>12.3604</v>
      </c>
      <c r="R220">
        <v>0.44160057163272598</v>
      </c>
      <c r="S220">
        <v>0.52418594629534898</v>
      </c>
      <c r="T220">
        <v>26</v>
      </c>
      <c r="U220" t="s">
        <v>2826</v>
      </c>
    </row>
    <row r="221" spans="1:21" x14ac:dyDescent="0.3">
      <c r="A221">
        <v>220</v>
      </c>
      <c r="B221" t="s">
        <v>1514</v>
      </c>
      <c r="C221" t="s">
        <v>38</v>
      </c>
      <c r="D221">
        <v>16</v>
      </c>
      <c r="E221" t="s">
        <v>38</v>
      </c>
      <c r="F221">
        <v>7</v>
      </c>
      <c r="G221" t="s">
        <v>38</v>
      </c>
      <c r="H221" t="s">
        <v>38</v>
      </c>
      <c r="I221">
        <v>0.1</v>
      </c>
      <c r="J221" t="s">
        <v>38</v>
      </c>
      <c r="K221">
        <v>0</v>
      </c>
      <c r="L221">
        <v>8.4004778002837802E-2</v>
      </c>
      <c r="M221" t="s">
        <v>38</v>
      </c>
      <c r="O221" t="s">
        <v>2838</v>
      </c>
      <c r="P221">
        <v>5026.9467999999997</v>
      </c>
      <c r="Q221">
        <v>4202.9276</v>
      </c>
      <c r="R221">
        <v>0.83607958612173905</v>
      </c>
      <c r="S221">
        <v>0.138188497281063</v>
      </c>
      <c r="T221">
        <v>7</v>
      </c>
      <c r="U221" t="s">
        <v>2826</v>
      </c>
    </row>
    <row r="222" spans="1:21" x14ac:dyDescent="0.3">
      <c r="A222">
        <v>221</v>
      </c>
      <c r="B222" t="s">
        <v>1241</v>
      </c>
      <c r="C222" t="s">
        <v>38</v>
      </c>
      <c r="D222">
        <v>3</v>
      </c>
      <c r="E222" t="s">
        <v>38</v>
      </c>
      <c r="F222">
        <v>0</v>
      </c>
      <c r="G222" t="s">
        <v>38</v>
      </c>
      <c r="H222" t="s">
        <v>38</v>
      </c>
      <c r="I222">
        <v>0</v>
      </c>
      <c r="J222" t="s">
        <v>38</v>
      </c>
      <c r="K222">
        <v>0</v>
      </c>
      <c r="L222" s="18">
        <v>1.01696737423382E-6</v>
      </c>
      <c r="M222" t="s">
        <v>38</v>
      </c>
      <c r="O222" t="s">
        <v>2838</v>
      </c>
      <c r="P222">
        <v>2830.788</v>
      </c>
      <c r="Q222">
        <v>2753.2840000000001</v>
      </c>
      <c r="R222">
        <v>0.97262105109955299</v>
      </c>
      <c r="S222">
        <v>2.77693831564525E-3</v>
      </c>
      <c r="T222">
        <v>0</v>
      </c>
      <c r="U222" t="s">
        <v>2826</v>
      </c>
    </row>
    <row r="223" spans="1:21" x14ac:dyDescent="0.3">
      <c r="A223">
        <v>222</v>
      </c>
      <c r="B223" t="s">
        <v>927</v>
      </c>
      <c r="C223" t="s">
        <v>38</v>
      </c>
      <c r="D223">
        <v>3</v>
      </c>
      <c r="E223" t="s">
        <v>38</v>
      </c>
      <c r="F223">
        <v>3</v>
      </c>
      <c r="G223" t="s">
        <v>38</v>
      </c>
      <c r="H223" t="s">
        <v>38</v>
      </c>
      <c r="I223">
        <v>0.1</v>
      </c>
      <c r="J223" t="s">
        <v>38</v>
      </c>
      <c r="K223">
        <v>0</v>
      </c>
      <c r="L223">
        <v>2.6747229565194701E-2</v>
      </c>
      <c r="M223" t="s">
        <v>38</v>
      </c>
      <c r="O223" t="s">
        <v>2838</v>
      </c>
      <c r="P223">
        <v>158.3236</v>
      </c>
      <c r="Q223">
        <v>153.58600000000001</v>
      </c>
      <c r="R223">
        <v>0.97007647628022597</v>
      </c>
      <c r="S223">
        <v>5.0391343675209199E-2</v>
      </c>
      <c r="T223">
        <v>3</v>
      </c>
      <c r="U223" t="s">
        <v>2826</v>
      </c>
    </row>
    <row r="224" spans="1:21" x14ac:dyDescent="0.3">
      <c r="A224">
        <v>223</v>
      </c>
      <c r="B224" t="s">
        <v>1084</v>
      </c>
      <c r="C224" t="s">
        <v>38</v>
      </c>
      <c r="D224">
        <v>19</v>
      </c>
      <c r="E224" t="s">
        <v>38</v>
      </c>
      <c r="F224">
        <v>4</v>
      </c>
      <c r="G224" t="s">
        <v>38</v>
      </c>
      <c r="H224" t="s">
        <v>38</v>
      </c>
      <c r="I224">
        <v>0.1</v>
      </c>
      <c r="J224" t="s">
        <v>38</v>
      </c>
      <c r="K224">
        <v>0</v>
      </c>
      <c r="L224">
        <v>5.3674527718446602E-3</v>
      </c>
      <c r="M224" t="s">
        <v>38</v>
      </c>
      <c r="O224" t="s">
        <v>2838</v>
      </c>
      <c r="P224">
        <v>2966.1812</v>
      </c>
      <c r="Q224">
        <v>2409.2620000000002</v>
      </c>
      <c r="R224">
        <v>0.812243702441375</v>
      </c>
      <c r="S224">
        <v>8.8387696453626402E-2</v>
      </c>
      <c r="T224">
        <v>4</v>
      </c>
      <c r="U224" t="s">
        <v>2826</v>
      </c>
    </row>
    <row r="225" spans="1:21" x14ac:dyDescent="0.3">
      <c r="A225">
        <v>224</v>
      </c>
      <c r="B225" t="s">
        <v>2435</v>
      </c>
      <c r="C225" t="s">
        <v>38</v>
      </c>
      <c r="D225">
        <v>10</v>
      </c>
      <c r="E225" t="s">
        <v>38</v>
      </c>
      <c r="F225">
        <v>4</v>
      </c>
      <c r="G225" t="s">
        <v>38</v>
      </c>
      <c r="H225" t="s">
        <v>38</v>
      </c>
      <c r="I225">
        <v>0.1</v>
      </c>
      <c r="J225" t="s">
        <v>38</v>
      </c>
      <c r="K225">
        <v>0</v>
      </c>
      <c r="L225">
        <v>2.0671157618861499E-2</v>
      </c>
      <c r="M225" t="s">
        <v>38</v>
      </c>
      <c r="O225" t="s">
        <v>2838</v>
      </c>
      <c r="P225">
        <v>6647.0259999999998</v>
      </c>
      <c r="Q225">
        <v>5993.8588</v>
      </c>
      <c r="R225">
        <v>0.90173542272890195</v>
      </c>
      <c r="S225">
        <v>8.2778591780945293E-2</v>
      </c>
      <c r="T225">
        <v>4</v>
      </c>
      <c r="U225" t="s">
        <v>2826</v>
      </c>
    </row>
    <row r="226" spans="1:21" x14ac:dyDescent="0.3">
      <c r="A226">
        <v>225</v>
      </c>
      <c r="B226" t="s">
        <v>2720</v>
      </c>
      <c r="C226" t="s">
        <v>38</v>
      </c>
      <c r="D226">
        <v>10</v>
      </c>
      <c r="E226" t="s">
        <v>38</v>
      </c>
      <c r="F226">
        <v>2</v>
      </c>
      <c r="G226" t="s">
        <v>38</v>
      </c>
      <c r="H226" t="s">
        <v>38</v>
      </c>
      <c r="I226">
        <v>0</v>
      </c>
      <c r="J226" t="s">
        <v>38</v>
      </c>
      <c r="K226">
        <v>0</v>
      </c>
      <c r="L226">
        <v>1.04980517749062E-2</v>
      </c>
      <c r="M226" t="s">
        <v>38</v>
      </c>
      <c r="O226" t="s">
        <v>2838</v>
      </c>
      <c r="P226">
        <v>1237.5219999999999</v>
      </c>
      <c r="Q226">
        <v>1116.0927999999999</v>
      </c>
      <c r="R226">
        <v>0.90187713834582295</v>
      </c>
      <c r="S226">
        <v>3.5186615412364397E-2</v>
      </c>
      <c r="T226">
        <v>2</v>
      </c>
      <c r="U226" t="s">
        <v>2826</v>
      </c>
    </row>
    <row r="227" spans="1:21" x14ac:dyDescent="0.3">
      <c r="A227">
        <v>226</v>
      </c>
      <c r="B227" t="s">
        <v>180</v>
      </c>
      <c r="C227" t="s">
        <v>38</v>
      </c>
      <c r="D227">
        <v>0</v>
      </c>
      <c r="E227" t="s">
        <v>38</v>
      </c>
      <c r="F227">
        <v>0</v>
      </c>
      <c r="G227" t="s">
        <v>38</v>
      </c>
      <c r="H227" t="s">
        <v>38</v>
      </c>
      <c r="I227">
        <v>0</v>
      </c>
      <c r="J227" t="s">
        <v>38</v>
      </c>
      <c r="K227">
        <v>0</v>
      </c>
      <c r="L227">
        <v>1.38484100317437E-2</v>
      </c>
      <c r="M227" t="s">
        <v>38</v>
      </c>
      <c r="O227" t="s">
        <v>2838</v>
      </c>
      <c r="P227">
        <v>21.6172</v>
      </c>
      <c r="Q227">
        <v>21.547599999999999</v>
      </c>
      <c r="R227">
        <v>0.99678034157985296</v>
      </c>
      <c r="S227">
        <v>5.2201269534908005E-4</v>
      </c>
      <c r="T227">
        <v>0</v>
      </c>
      <c r="U227" t="s">
        <v>2826</v>
      </c>
    </row>
    <row r="228" spans="1:21" x14ac:dyDescent="0.3">
      <c r="A228">
        <v>227</v>
      </c>
      <c r="B228" t="s">
        <v>568</v>
      </c>
      <c r="C228" t="s">
        <v>38</v>
      </c>
      <c r="D228">
        <v>0</v>
      </c>
      <c r="E228" t="s">
        <v>38</v>
      </c>
      <c r="F228">
        <v>0</v>
      </c>
      <c r="G228" t="s">
        <v>38</v>
      </c>
      <c r="H228" t="s">
        <v>38</v>
      </c>
      <c r="I228">
        <v>0</v>
      </c>
      <c r="J228" t="s">
        <v>38</v>
      </c>
      <c r="K228">
        <v>0</v>
      </c>
      <c r="L228">
        <v>1.07762559791726E-3</v>
      </c>
      <c r="M228" t="s">
        <v>38</v>
      </c>
      <c r="O228" t="s">
        <v>2838</v>
      </c>
      <c r="P228">
        <v>1346.9464</v>
      </c>
      <c r="Q228">
        <v>1345.922</v>
      </c>
      <c r="R228">
        <v>0.99923946491115001</v>
      </c>
      <c r="S228">
        <v>1.0899503532253801E-3</v>
      </c>
      <c r="T228">
        <v>0</v>
      </c>
      <c r="U228" t="s">
        <v>2826</v>
      </c>
    </row>
    <row r="229" spans="1:21" x14ac:dyDescent="0.3">
      <c r="A229">
        <v>228</v>
      </c>
      <c r="B229" t="s">
        <v>2047</v>
      </c>
      <c r="C229" t="s">
        <v>38</v>
      </c>
      <c r="D229">
        <v>14</v>
      </c>
      <c r="E229" t="s">
        <v>38</v>
      </c>
      <c r="F229">
        <v>0</v>
      </c>
      <c r="G229" t="s">
        <v>38</v>
      </c>
      <c r="H229" t="s">
        <v>38</v>
      </c>
      <c r="I229">
        <v>0</v>
      </c>
      <c r="J229" t="s">
        <v>38</v>
      </c>
      <c r="K229">
        <v>0</v>
      </c>
      <c r="L229">
        <v>2.8162031197256898E-4</v>
      </c>
      <c r="M229" t="s">
        <v>38</v>
      </c>
      <c r="O229" t="s">
        <v>2838</v>
      </c>
      <c r="P229">
        <v>20169.288400000001</v>
      </c>
      <c r="Q229">
        <v>17291.366399999999</v>
      </c>
      <c r="R229">
        <v>0.85731167392102903</v>
      </c>
      <c r="S229">
        <v>2.2803262544050101E-3</v>
      </c>
      <c r="T229">
        <v>0</v>
      </c>
      <c r="U229" t="s">
        <v>2826</v>
      </c>
    </row>
    <row r="230" spans="1:21" x14ac:dyDescent="0.3">
      <c r="A230">
        <v>229</v>
      </c>
      <c r="B230" t="s">
        <v>411</v>
      </c>
      <c r="C230" t="s">
        <v>38</v>
      </c>
      <c r="D230">
        <v>3</v>
      </c>
      <c r="E230" t="s">
        <v>38</v>
      </c>
      <c r="F230">
        <v>1</v>
      </c>
      <c r="G230" t="s">
        <v>38</v>
      </c>
      <c r="H230" t="s">
        <v>38</v>
      </c>
      <c r="I230">
        <v>0</v>
      </c>
      <c r="J230" t="s">
        <v>38</v>
      </c>
      <c r="K230">
        <v>0</v>
      </c>
      <c r="L230">
        <v>3.9516211594492201E-3</v>
      </c>
      <c r="M230" t="s">
        <v>38</v>
      </c>
      <c r="O230" t="s">
        <v>2838</v>
      </c>
      <c r="P230">
        <v>8370.6211999999996</v>
      </c>
      <c r="Q230">
        <v>8138.5331999999999</v>
      </c>
      <c r="R230">
        <v>0.97227350342887298</v>
      </c>
      <c r="S230">
        <v>1.6774609812731701E-2</v>
      </c>
      <c r="T230">
        <v>1</v>
      </c>
      <c r="U230" t="s">
        <v>2826</v>
      </c>
    </row>
    <row r="231" spans="1:21" x14ac:dyDescent="0.3">
      <c r="A231">
        <v>230</v>
      </c>
      <c r="B231" t="s">
        <v>2441</v>
      </c>
      <c r="C231" t="s">
        <v>51</v>
      </c>
      <c r="D231">
        <v>78</v>
      </c>
      <c r="E231" t="s">
        <v>76</v>
      </c>
      <c r="F231">
        <v>31</v>
      </c>
      <c r="G231" t="s">
        <v>38</v>
      </c>
      <c r="H231" t="s">
        <v>38</v>
      </c>
      <c r="I231">
        <v>0.6</v>
      </c>
      <c r="J231" t="s">
        <v>38</v>
      </c>
      <c r="K231">
        <v>0</v>
      </c>
      <c r="L231">
        <v>1.00815066279094E-2</v>
      </c>
      <c r="M231" t="s">
        <v>51</v>
      </c>
      <c r="N231" t="s">
        <v>262</v>
      </c>
      <c r="O231" t="s">
        <v>2838</v>
      </c>
      <c r="P231">
        <v>25965.723999999998</v>
      </c>
      <c r="Q231">
        <v>5813.4168</v>
      </c>
      <c r="R231">
        <v>0.223888107260171</v>
      </c>
      <c r="S231">
        <v>0.62955403192985804</v>
      </c>
      <c r="T231">
        <v>31</v>
      </c>
      <c r="U231" t="s">
        <v>2826</v>
      </c>
    </row>
    <row r="232" spans="1:21" x14ac:dyDescent="0.3">
      <c r="A232">
        <v>231</v>
      </c>
      <c r="B232" t="s">
        <v>126</v>
      </c>
      <c r="C232" t="s">
        <v>76</v>
      </c>
      <c r="D232">
        <v>55</v>
      </c>
      <c r="E232" t="s">
        <v>38</v>
      </c>
      <c r="F232">
        <v>20</v>
      </c>
      <c r="G232" t="s">
        <v>106</v>
      </c>
      <c r="H232" t="s">
        <v>51</v>
      </c>
      <c r="I232">
        <v>0.4</v>
      </c>
      <c r="J232" t="s">
        <v>38</v>
      </c>
      <c r="K232">
        <v>0</v>
      </c>
      <c r="L232">
        <v>2.66502562764467E-2</v>
      </c>
      <c r="M232" t="s">
        <v>106</v>
      </c>
      <c r="N232" t="s">
        <v>53</v>
      </c>
      <c r="O232" t="s">
        <v>2846</v>
      </c>
      <c r="P232">
        <v>923.55679999999995</v>
      </c>
      <c r="Q232">
        <v>416.97160000000002</v>
      </c>
      <c r="R232">
        <v>0.45148452158004798</v>
      </c>
      <c r="S232">
        <v>0.40353066883208599</v>
      </c>
      <c r="T232">
        <v>20</v>
      </c>
      <c r="U232" t="s">
        <v>2826</v>
      </c>
    </row>
    <row r="233" spans="1:21" x14ac:dyDescent="0.3">
      <c r="A233">
        <v>232</v>
      </c>
      <c r="B233" t="s">
        <v>1180</v>
      </c>
      <c r="C233" t="s">
        <v>38</v>
      </c>
      <c r="D233">
        <v>33</v>
      </c>
      <c r="E233" t="s">
        <v>38</v>
      </c>
      <c r="F233">
        <v>16</v>
      </c>
      <c r="G233" t="s">
        <v>38</v>
      </c>
      <c r="H233" t="s">
        <v>38</v>
      </c>
      <c r="I233">
        <v>0.3</v>
      </c>
      <c r="J233" t="s">
        <v>38</v>
      </c>
      <c r="K233">
        <v>0</v>
      </c>
      <c r="L233">
        <v>3.5201204004182201E-3</v>
      </c>
      <c r="M233" t="s">
        <v>38</v>
      </c>
      <c r="O233" t="s">
        <v>2838</v>
      </c>
      <c r="P233">
        <v>329.49520000000001</v>
      </c>
      <c r="Q233">
        <v>221.12880000000001</v>
      </c>
      <c r="R233">
        <v>0.67111387358601904</v>
      </c>
      <c r="S233">
        <v>0.31324309214220503</v>
      </c>
      <c r="T233">
        <v>16</v>
      </c>
      <c r="U233" t="s">
        <v>2826</v>
      </c>
    </row>
    <row r="234" spans="1:21" x14ac:dyDescent="0.3">
      <c r="A234">
        <v>233</v>
      </c>
      <c r="B234" t="s">
        <v>2726</v>
      </c>
      <c r="C234" t="s">
        <v>38</v>
      </c>
      <c r="D234">
        <v>44</v>
      </c>
      <c r="E234" t="s">
        <v>38</v>
      </c>
      <c r="F234">
        <v>12</v>
      </c>
      <c r="G234" t="s">
        <v>38</v>
      </c>
      <c r="H234" t="s">
        <v>38</v>
      </c>
      <c r="I234">
        <v>0.2</v>
      </c>
      <c r="J234" t="s">
        <v>38</v>
      </c>
      <c r="K234">
        <v>0</v>
      </c>
      <c r="L234">
        <v>5.0086525588897597E-3</v>
      </c>
      <c r="M234" t="s">
        <v>38</v>
      </c>
      <c r="O234" t="s">
        <v>2838</v>
      </c>
      <c r="P234">
        <v>3766.2224000000001</v>
      </c>
      <c r="Q234">
        <v>2123.7647999999999</v>
      </c>
      <c r="R234">
        <v>0.56389787283937298</v>
      </c>
      <c r="S234">
        <v>0.247422640853663</v>
      </c>
      <c r="T234">
        <v>12</v>
      </c>
      <c r="U234" t="s">
        <v>2826</v>
      </c>
    </row>
    <row r="235" spans="1:21" x14ac:dyDescent="0.3">
      <c r="A235">
        <v>234</v>
      </c>
      <c r="B235" t="s">
        <v>1581</v>
      </c>
      <c r="C235" t="s">
        <v>76</v>
      </c>
      <c r="D235">
        <v>60</v>
      </c>
      <c r="E235" t="s">
        <v>38</v>
      </c>
      <c r="F235">
        <v>19</v>
      </c>
      <c r="G235" t="s">
        <v>76</v>
      </c>
      <c r="H235" t="s">
        <v>38</v>
      </c>
      <c r="I235">
        <v>0.4</v>
      </c>
      <c r="J235" t="s">
        <v>38</v>
      </c>
      <c r="K235">
        <v>0</v>
      </c>
      <c r="L235">
        <v>3.44975743195873E-3</v>
      </c>
      <c r="M235" t="s">
        <v>51</v>
      </c>
      <c r="N235" t="s">
        <v>53</v>
      </c>
      <c r="O235" t="s">
        <v>2868</v>
      </c>
      <c r="P235">
        <v>9187.4096000000009</v>
      </c>
      <c r="Q235">
        <v>3675.5048000000002</v>
      </c>
      <c r="R235">
        <v>0.40005888057935302</v>
      </c>
      <c r="S235">
        <v>0.38196779868439001</v>
      </c>
      <c r="T235">
        <v>19</v>
      </c>
      <c r="U235" t="s">
        <v>2860</v>
      </c>
    </row>
    <row r="236" spans="1:21" x14ac:dyDescent="0.3">
      <c r="A236">
        <v>235</v>
      </c>
      <c r="B236" t="s">
        <v>2126</v>
      </c>
      <c r="C236" t="s">
        <v>38</v>
      </c>
      <c r="D236">
        <v>36</v>
      </c>
      <c r="E236" t="s">
        <v>38</v>
      </c>
      <c r="F236">
        <v>13</v>
      </c>
      <c r="G236" t="s">
        <v>38</v>
      </c>
      <c r="H236" t="s">
        <v>38</v>
      </c>
      <c r="I236">
        <v>0.3</v>
      </c>
      <c r="J236" t="s">
        <v>38</v>
      </c>
      <c r="K236">
        <v>0</v>
      </c>
      <c r="L236">
        <v>3.0366189860875602E-3</v>
      </c>
      <c r="M236" t="s">
        <v>38</v>
      </c>
      <c r="O236" t="s">
        <v>2838</v>
      </c>
      <c r="P236">
        <v>8598.4796000000006</v>
      </c>
      <c r="Q236">
        <v>5468.9772000000003</v>
      </c>
      <c r="R236">
        <v>0.636040027355534</v>
      </c>
      <c r="S236">
        <v>0.25276585169789401</v>
      </c>
      <c r="T236">
        <v>13</v>
      </c>
      <c r="U236" t="s">
        <v>2826</v>
      </c>
    </row>
    <row r="237" spans="1:21" x14ac:dyDescent="0.3">
      <c r="A237">
        <v>236</v>
      </c>
      <c r="B237" t="s">
        <v>270</v>
      </c>
      <c r="C237" t="s">
        <v>38</v>
      </c>
      <c r="D237">
        <v>21</v>
      </c>
      <c r="E237" t="s">
        <v>38</v>
      </c>
      <c r="F237">
        <v>6</v>
      </c>
      <c r="G237" t="s">
        <v>38</v>
      </c>
      <c r="H237" t="s">
        <v>38</v>
      </c>
      <c r="I237">
        <v>0.1</v>
      </c>
      <c r="J237" t="s">
        <v>38</v>
      </c>
      <c r="K237">
        <v>0</v>
      </c>
      <c r="L237">
        <v>4.9356660364909301E-3</v>
      </c>
      <c r="M237" t="s">
        <v>38</v>
      </c>
      <c r="O237" t="s">
        <v>2838</v>
      </c>
      <c r="P237">
        <v>7163.2323999999999</v>
      </c>
      <c r="Q237">
        <v>5660.4315999999999</v>
      </c>
      <c r="R237">
        <v>0.790206331990569</v>
      </c>
      <c r="S237">
        <v>0.122440758485303</v>
      </c>
      <c r="T237">
        <v>6</v>
      </c>
      <c r="U237" t="s">
        <v>2826</v>
      </c>
    </row>
    <row r="238" spans="1:21" x14ac:dyDescent="0.3">
      <c r="A238">
        <v>237</v>
      </c>
      <c r="B238" t="s">
        <v>24</v>
      </c>
      <c r="C238" t="s">
        <v>38</v>
      </c>
      <c r="D238">
        <v>8</v>
      </c>
      <c r="E238" t="s">
        <v>38</v>
      </c>
      <c r="F238">
        <v>3</v>
      </c>
      <c r="G238" t="s">
        <v>38</v>
      </c>
      <c r="H238" t="s">
        <v>38</v>
      </c>
      <c r="I238">
        <v>0.1</v>
      </c>
      <c r="J238" t="s">
        <v>38</v>
      </c>
      <c r="K238">
        <v>0</v>
      </c>
      <c r="L238">
        <v>1.1366022168032199E-3</v>
      </c>
      <c r="M238" t="s">
        <v>38</v>
      </c>
      <c r="O238" t="s">
        <v>2838</v>
      </c>
      <c r="P238">
        <v>13392.436799999999</v>
      </c>
      <c r="Q238">
        <v>12357.1816</v>
      </c>
      <c r="R238">
        <v>0.92269851891330201</v>
      </c>
      <c r="S238">
        <v>5.5122337544690099E-2</v>
      </c>
      <c r="T238">
        <v>3</v>
      </c>
      <c r="U238" t="s">
        <v>2826</v>
      </c>
    </row>
    <row r="239" spans="1:21" x14ac:dyDescent="0.3">
      <c r="A239">
        <v>238</v>
      </c>
      <c r="B239" t="s">
        <v>1265</v>
      </c>
      <c r="C239" t="s">
        <v>38</v>
      </c>
      <c r="D239">
        <v>4</v>
      </c>
      <c r="E239" t="s">
        <v>38</v>
      </c>
      <c r="F239">
        <v>1</v>
      </c>
      <c r="G239" t="s">
        <v>38</v>
      </c>
      <c r="H239" t="s">
        <v>38</v>
      </c>
      <c r="I239">
        <v>0</v>
      </c>
      <c r="J239" t="s">
        <v>38</v>
      </c>
      <c r="K239">
        <v>0</v>
      </c>
      <c r="L239">
        <v>1.7126592644024199E-3</v>
      </c>
      <c r="M239" t="s">
        <v>38</v>
      </c>
      <c r="O239" t="s">
        <v>2838</v>
      </c>
      <c r="P239">
        <v>9677.7703999999994</v>
      </c>
      <c r="Q239">
        <v>9249.2420000000002</v>
      </c>
      <c r="R239">
        <v>0.95572033822997104</v>
      </c>
      <c r="S239">
        <v>2.9178484012046799E-2</v>
      </c>
      <c r="T239">
        <v>1</v>
      </c>
      <c r="U239" t="s">
        <v>2826</v>
      </c>
    </row>
    <row r="240" spans="1:21" x14ac:dyDescent="0.3">
      <c r="A240">
        <v>239</v>
      </c>
      <c r="B240" t="s">
        <v>581</v>
      </c>
      <c r="C240" t="s">
        <v>38</v>
      </c>
      <c r="D240">
        <v>48</v>
      </c>
      <c r="E240" t="s">
        <v>38</v>
      </c>
      <c r="F240">
        <v>14</v>
      </c>
      <c r="G240" t="s">
        <v>38</v>
      </c>
      <c r="H240" t="s">
        <v>38</v>
      </c>
      <c r="I240">
        <v>0.3</v>
      </c>
      <c r="J240" t="s">
        <v>38</v>
      </c>
      <c r="K240">
        <v>0</v>
      </c>
      <c r="L240">
        <v>1.05961852180888E-3</v>
      </c>
      <c r="M240" t="s">
        <v>38</v>
      </c>
      <c r="O240" t="s">
        <v>2838</v>
      </c>
      <c r="P240">
        <v>4949.5983999999999</v>
      </c>
      <c r="Q240">
        <v>2576.7764000000002</v>
      </c>
      <c r="R240">
        <v>0.52060312610412995</v>
      </c>
      <c r="S240">
        <v>0.27234472308673502</v>
      </c>
      <c r="T240">
        <v>14</v>
      </c>
      <c r="U240" t="s">
        <v>2826</v>
      </c>
    </row>
    <row r="241" spans="1:21" x14ac:dyDescent="0.3">
      <c r="A241">
        <v>240</v>
      </c>
      <c r="B241" t="s">
        <v>1501</v>
      </c>
      <c r="C241" t="s">
        <v>38</v>
      </c>
      <c r="D241">
        <v>35</v>
      </c>
      <c r="E241" t="s">
        <v>38</v>
      </c>
      <c r="F241">
        <v>11</v>
      </c>
      <c r="G241" t="s">
        <v>38</v>
      </c>
      <c r="H241" t="s">
        <v>38</v>
      </c>
      <c r="I241">
        <v>0.2</v>
      </c>
      <c r="J241" t="s">
        <v>38</v>
      </c>
      <c r="K241">
        <v>0</v>
      </c>
      <c r="L241">
        <v>3.7297956846482098E-3</v>
      </c>
      <c r="M241" t="s">
        <v>38</v>
      </c>
      <c r="O241" t="s">
        <v>2838</v>
      </c>
      <c r="P241">
        <v>16012.9004</v>
      </c>
      <c r="Q241">
        <v>10488.081200000001</v>
      </c>
      <c r="R241">
        <v>0.65497698343268296</v>
      </c>
      <c r="S241">
        <v>0.210468453852763</v>
      </c>
      <c r="T241">
        <v>11</v>
      </c>
      <c r="U241" t="s">
        <v>2826</v>
      </c>
    </row>
    <row r="242" spans="1:21" x14ac:dyDescent="0.3">
      <c r="A242">
        <v>241</v>
      </c>
      <c r="B242" t="s">
        <v>970</v>
      </c>
      <c r="C242" t="s">
        <v>38</v>
      </c>
      <c r="D242">
        <v>18</v>
      </c>
      <c r="E242" t="s">
        <v>38</v>
      </c>
      <c r="F242">
        <v>6</v>
      </c>
      <c r="G242" t="s">
        <v>38</v>
      </c>
      <c r="H242" t="s">
        <v>38</v>
      </c>
      <c r="I242">
        <v>0.1</v>
      </c>
      <c r="J242" t="s">
        <v>38</v>
      </c>
      <c r="K242">
        <v>0</v>
      </c>
      <c r="L242">
        <v>3.1868874525209099E-3</v>
      </c>
      <c r="M242" t="s">
        <v>38</v>
      </c>
      <c r="O242" t="s">
        <v>2838</v>
      </c>
      <c r="P242">
        <v>1571.9508000000001</v>
      </c>
      <c r="Q242">
        <v>1286.1451999999999</v>
      </c>
      <c r="R242">
        <v>0.81818413146263902</v>
      </c>
      <c r="S242">
        <v>0.116912066498799</v>
      </c>
      <c r="T242">
        <v>6</v>
      </c>
      <c r="U242" t="s">
        <v>2826</v>
      </c>
    </row>
    <row r="243" spans="1:21" x14ac:dyDescent="0.3">
      <c r="A243">
        <v>242</v>
      </c>
      <c r="B243" t="s">
        <v>1445</v>
      </c>
      <c r="C243" t="s">
        <v>38</v>
      </c>
      <c r="D243">
        <v>18</v>
      </c>
      <c r="E243" t="s">
        <v>38</v>
      </c>
      <c r="F243">
        <v>10</v>
      </c>
      <c r="G243" t="s">
        <v>38</v>
      </c>
      <c r="H243" t="s">
        <v>38</v>
      </c>
      <c r="I243">
        <v>0.2</v>
      </c>
      <c r="J243" t="s">
        <v>38</v>
      </c>
      <c r="K243">
        <v>0</v>
      </c>
      <c r="L243">
        <v>1.5678019924150299E-2</v>
      </c>
      <c r="M243" t="s">
        <v>38</v>
      </c>
      <c r="O243" t="s">
        <v>2838</v>
      </c>
      <c r="P243">
        <v>80.466800000000006</v>
      </c>
      <c r="Q243">
        <v>66.130799999999994</v>
      </c>
      <c r="R243">
        <v>0.82183956613162201</v>
      </c>
      <c r="S243">
        <v>0.20333450204430201</v>
      </c>
      <c r="T243">
        <v>10</v>
      </c>
      <c r="U243" t="s">
        <v>2826</v>
      </c>
    </row>
    <row r="244" spans="1:21" x14ac:dyDescent="0.3">
      <c r="A244">
        <v>243</v>
      </c>
      <c r="B244" t="s">
        <v>976</v>
      </c>
      <c r="C244" t="s">
        <v>38</v>
      </c>
      <c r="D244">
        <v>25</v>
      </c>
      <c r="E244" t="s">
        <v>38</v>
      </c>
      <c r="F244">
        <v>6</v>
      </c>
      <c r="G244" t="s">
        <v>38</v>
      </c>
      <c r="H244" t="s">
        <v>38</v>
      </c>
      <c r="I244">
        <v>0.1</v>
      </c>
      <c r="J244" t="s">
        <v>38</v>
      </c>
      <c r="K244">
        <v>0</v>
      </c>
      <c r="L244" s="18">
        <v>7.9366915814464695E-5</v>
      </c>
      <c r="M244" t="s">
        <v>38</v>
      </c>
      <c r="O244" t="s">
        <v>2838</v>
      </c>
      <c r="P244">
        <v>7074.3047999999999</v>
      </c>
      <c r="Q244">
        <v>5306.9971999999998</v>
      </c>
      <c r="R244">
        <v>0.75017932504123896</v>
      </c>
      <c r="S244">
        <v>0.127391698427888</v>
      </c>
      <c r="T244">
        <v>6</v>
      </c>
      <c r="U244" t="s">
        <v>2826</v>
      </c>
    </row>
    <row r="245" spans="1:21" x14ac:dyDescent="0.3">
      <c r="A245">
        <v>244</v>
      </c>
      <c r="B245" t="s">
        <v>486</v>
      </c>
      <c r="C245" t="s">
        <v>38</v>
      </c>
      <c r="D245">
        <v>34</v>
      </c>
      <c r="E245" t="s">
        <v>38</v>
      </c>
      <c r="F245">
        <v>8</v>
      </c>
      <c r="G245" t="s">
        <v>38</v>
      </c>
      <c r="H245" t="s">
        <v>38</v>
      </c>
      <c r="I245">
        <v>0.2</v>
      </c>
      <c r="J245" t="s">
        <v>38</v>
      </c>
      <c r="K245">
        <v>0</v>
      </c>
      <c r="L245">
        <v>5.9008823526066198E-3</v>
      </c>
      <c r="M245" t="s">
        <v>38</v>
      </c>
      <c r="O245" t="s">
        <v>2838</v>
      </c>
      <c r="P245">
        <v>4268.0983999999999</v>
      </c>
      <c r="Q245">
        <v>2813.2064</v>
      </c>
      <c r="R245">
        <v>0.65912407267836204</v>
      </c>
      <c r="S245">
        <v>0.150012947276632</v>
      </c>
      <c r="T245">
        <v>8</v>
      </c>
      <c r="U245" t="s">
        <v>2826</v>
      </c>
    </row>
    <row r="246" spans="1:21" x14ac:dyDescent="0.3">
      <c r="A246">
        <v>245</v>
      </c>
      <c r="B246" t="s">
        <v>864</v>
      </c>
      <c r="C246" t="s">
        <v>51</v>
      </c>
      <c r="D246">
        <v>83</v>
      </c>
      <c r="E246" t="s">
        <v>51</v>
      </c>
      <c r="F246">
        <v>67</v>
      </c>
      <c r="G246" t="s">
        <v>106</v>
      </c>
      <c r="H246" t="s">
        <v>51</v>
      </c>
      <c r="I246">
        <v>1.3</v>
      </c>
      <c r="J246" t="s">
        <v>38</v>
      </c>
      <c r="K246">
        <v>0</v>
      </c>
      <c r="L246">
        <v>6.0154021552533701E-2</v>
      </c>
      <c r="M246" t="s">
        <v>106</v>
      </c>
      <c r="N246" t="s">
        <v>53</v>
      </c>
      <c r="O246" t="s">
        <v>2846</v>
      </c>
      <c r="P246">
        <v>1093.2008000000001</v>
      </c>
      <c r="Q246">
        <v>183.14320000000001</v>
      </c>
      <c r="R246">
        <v>0.16752933221417299</v>
      </c>
      <c r="S246">
        <v>1.3395542270006899</v>
      </c>
      <c r="T246">
        <v>67</v>
      </c>
      <c r="U246" t="s">
        <v>2826</v>
      </c>
    </row>
    <row r="247" spans="1:21" x14ac:dyDescent="0.3">
      <c r="A247">
        <v>246</v>
      </c>
      <c r="B247" t="s">
        <v>254</v>
      </c>
      <c r="C247" t="s">
        <v>76</v>
      </c>
      <c r="D247">
        <v>60</v>
      </c>
      <c r="E247" t="s">
        <v>38</v>
      </c>
      <c r="F247">
        <v>25</v>
      </c>
      <c r="G247" t="s">
        <v>38</v>
      </c>
      <c r="H247" t="s">
        <v>38</v>
      </c>
      <c r="I247">
        <v>0.5</v>
      </c>
      <c r="J247" t="s">
        <v>38</v>
      </c>
      <c r="K247">
        <v>0</v>
      </c>
      <c r="L247">
        <v>2.6718125232695299E-2</v>
      </c>
      <c r="M247" t="s">
        <v>76</v>
      </c>
      <c r="N247" t="s">
        <v>262</v>
      </c>
      <c r="O247" t="s">
        <v>2838</v>
      </c>
      <c r="P247">
        <v>10508.8704</v>
      </c>
      <c r="Q247">
        <v>4209.3671999999997</v>
      </c>
      <c r="R247">
        <v>0.40055372649756898</v>
      </c>
      <c r="S247">
        <v>0.502288703849193</v>
      </c>
      <c r="T247">
        <v>25</v>
      </c>
      <c r="U247" t="s">
        <v>2826</v>
      </c>
    </row>
    <row r="248" spans="1:21" x14ac:dyDescent="0.3">
      <c r="A248">
        <v>247</v>
      </c>
      <c r="B248" t="s">
        <v>2732</v>
      </c>
      <c r="C248" t="s">
        <v>51</v>
      </c>
      <c r="D248">
        <v>71</v>
      </c>
      <c r="E248" t="s">
        <v>76</v>
      </c>
      <c r="F248">
        <v>35</v>
      </c>
      <c r="G248" t="s">
        <v>76</v>
      </c>
      <c r="H248" t="s">
        <v>38</v>
      </c>
      <c r="I248">
        <v>0.7</v>
      </c>
      <c r="J248" t="s">
        <v>38</v>
      </c>
      <c r="K248">
        <v>0</v>
      </c>
      <c r="L248">
        <v>2.6935444246774399E-2</v>
      </c>
      <c r="M248" t="s">
        <v>51</v>
      </c>
      <c r="N248" t="s">
        <v>262</v>
      </c>
      <c r="O248" t="s">
        <v>2868</v>
      </c>
      <c r="P248">
        <v>12772.3408</v>
      </c>
      <c r="Q248">
        <v>3707.4124000000002</v>
      </c>
      <c r="R248">
        <v>0.29026882840457902</v>
      </c>
      <c r="S248">
        <v>0.69961067666180998</v>
      </c>
      <c r="T248">
        <v>35</v>
      </c>
      <c r="U248" t="s">
        <v>2826</v>
      </c>
    </row>
    <row r="249" spans="1:21" x14ac:dyDescent="0.3">
      <c r="A249">
        <v>248</v>
      </c>
      <c r="B249" t="s">
        <v>1478</v>
      </c>
      <c r="C249" t="s">
        <v>38</v>
      </c>
      <c r="D249">
        <v>46</v>
      </c>
      <c r="E249" t="s">
        <v>38</v>
      </c>
      <c r="F249">
        <v>13</v>
      </c>
      <c r="G249" t="s">
        <v>38</v>
      </c>
      <c r="H249" t="s">
        <v>38</v>
      </c>
      <c r="I249">
        <v>0.3</v>
      </c>
      <c r="J249" t="s">
        <v>38</v>
      </c>
      <c r="K249">
        <v>0</v>
      </c>
      <c r="L249">
        <v>4.7984733378746399E-3</v>
      </c>
      <c r="M249" t="s">
        <v>38</v>
      </c>
      <c r="O249" t="s">
        <v>2838</v>
      </c>
      <c r="P249">
        <v>3927.0520000000001</v>
      </c>
      <c r="Q249">
        <v>2126.2595999999999</v>
      </c>
      <c r="R249">
        <v>0.54143912532861804</v>
      </c>
      <c r="S249">
        <v>0.256715961817921</v>
      </c>
      <c r="T249">
        <v>13</v>
      </c>
      <c r="U249" t="s">
        <v>2826</v>
      </c>
    </row>
    <row r="250" spans="1:21" x14ac:dyDescent="0.3">
      <c r="A250">
        <v>249</v>
      </c>
      <c r="B250" t="s">
        <v>392</v>
      </c>
      <c r="C250" t="s">
        <v>38</v>
      </c>
      <c r="D250">
        <v>21</v>
      </c>
      <c r="E250" t="s">
        <v>38</v>
      </c>
      <c r="F250">
        <v>10</v>
      </c>
      <c r="G250" t="s">
        <v>38</v>
      </c>
      <c r="H250" t="s">
        <v>38</v>
      </c>
      <c r="I250">
        <v>0.2</v>
      </c>
      <c r="J250" t="s">
        <v>38</v>
      </c>
      <c r="K250">
        <v>0</v>
      </c>
      <c r="L250">
        <v>2.3947833309673199E-2</v>
      </c>
      <c r="M250" t="s">
        <v>38</v>
      </c>
      <c r="O250" t="s">
        <v>2838</v>
      </c>
      <c r="P250">
        <v>3750.41</v>
      </c>
      <c r="Q250">
        <v>2950.1124</v>
      </c>
      <c r="R250">
        <v>0.78661063723699498</v>
      </c>
      <c r="S250">
        <v>0.19322279392150901</v>
      </c>
      <c r="T250">
        <v>10</v>
      </c>
      <c r="U250" t="s">
        <v>2826</v>
      </c>
    </row>
    <row r="251" spans="1:21" x14ac:dyDescent="0.3">
      <c r="A251">
        <v>250</v>
      </c>
      <c r="B251" t="s">
        <v>2133</v>
      </c>
      <c r="C251" t="s">
        <v>76</v>
      </c>
      <c r="D251">
        <v>53</v>
      </c>
      <c r="E251" t="s">
        <v>76</v>
      </c>
      <c r="F251">
        <v>39</v>
      </c>
      <c r="G251" t="s">
        <v>51</v>
      </c>
      <c r="H251" t="s">
        <v>38</v>
      </c>
      <c r="I251">
        <v>0.8</v>
      </c>
      <c r="J251" t="s">
        <v>38</v>
      </c>
      <c r="K251">
        <v>0</v>
      </c>
      <c r="L251">
        <v>4.9426111966527297E-2</v>
      </c>
      <c r="M251" t="s">
        <v>51</v>
      </c>
      <c r="N251" t="s">
        <v>53</v>
      </c>
      <c r="O251" t="s">
        <v>2868</v>
      </c>
      <c r="P251">
        <v>4216.8495999999996</v>
      </c>
      <c r="Q251">
        <v>1967.0735999999999</v>
      </c>
      <c r="R251">
        <v>0.46647943052083202</v>
      </c>
      <c r="S251">
        <v>0.78257216589364398</v>
      </c>
      <c r="T251">
        <v>39</v>
      </c>
      <c r="U251" t="s">
        <v>2826</v>
      </c>
    </row>
    <row r="252" spans="1:21" x14ac:dyDescent="0.3">
      <c r="A252">
        <v>251</v>
      </c>
      <c r="B252" t="s">
        <v>876</v>
      </c>
      <c r="C252" t="s">
        <v>38</v>
      </c>
      <c r="D252">
        <v>45</v>
      </c>
      <c r="E252" t="s">
        <v>38</v>
      </c>
      <c r="F252">
        <v>17</v>
      </c>
      <c r="G252" t="s">
        <v>38</v>
      </c>
      <c r="H252" t="s">
        <v>38</v>
      </c>
      <c r="I252">
        <v>0.3</v>
      </c>
      <c r="J252" t="s">
        <v>38</v>
      </c>
      <c r="K252">
        <v>0</v>
      </c>
      <c r="L252">
        <v>2.7035797195190701E-2</v>
      </c>
      <c r="M252" t="s">
        <v>51</v>
      </c>
      <c r="N252" t="s">
        <v>53</v>
      </c>
      <c r="O252" t="s">
        <v>2838</v>
      </c>
      <c r="P252">
        <v>9654.2360000000008</v>
      </c>
      <c r="Q252">
        <v>5328.8756000000003</v>
      </c>
      <c r="R252">
        <v>0.55197279204693195</v>
      </c>
      <c r="S252">
        <v>0.33826399411109598</v>
      </c>
      <c r="T252">
        <v>17</v>
      </c>
      <c r="U252" t="s">
        <v>2860</v>
      </c>
    </row>
    <row r="253" spans="1:21" x14ac:dyDescent="0.3">
      <c r="A253">
        <v>252</v>
      </c>
      <c r="B253" t="s">
        <v>237</v>
      </c>
      <c r="C253" t="s">
        <v>38</v>
      </c>
      <c r="D253">
        <v>38</v>
      </c>
      <c r="E253" t="s">
        <v>38</v>
      </c>
      <c r="F253">
        <v>11</v>
      </c>
      <c r="G253" t="s">
        <v>38</v>
      </c>
      <c r="H253" t="s">
        <v>38</v>
      </c>
      <c r="I253">
        <v>0.2</v>
      </c>
      <c r="J253" t="s">
        <v>38</v>
      </c>
      <c r="K253">
        <v>0</v>
      </c>
      <c r="L253">
        <v>1.8313444298614701E-2</v>
      </c>
      <c r="M253" t="s">
        <v>38</v>
      </c>
      <c r="O253" t="s">
        <v>2838</v>
      </c>
      <c r="P253">
        <v>1291.3936000000001</v>
      </c>
      <c r="Q253">
        <v>805.20079999999996</v>
      </c>
      <c r="R253">
        <v>0.623513079203738</v>
      </c>
      <c r="S253">
        <v>0.22188273875397199</v>
      </c>
      <c r="T253">
        <v>11</v>
      </c>
      <c r="U253" t="s">
        <v>2826</v>
      </c>
    </row>
    <row r="254" spans="1:21" x14ac:dyDescent="0.3">
      <c r="A254">
        <v>253</v>
      </c>
      <c r="B254" t="s">
        <v>341</v>
      </c>
      <c r="C254" t="s">
        <v>38</v>
      </c>
      <c r="D254">
        <v>39</v>
      </c>
      <c r="E254" t="s">
        <v>38</v>
      </c>
      <c r="F254">
        <v>8</v>
      </c>
      <c r="G254" t="s">
        <v>38</v>
      </c>
      <c r="H254" t="s">
        <v>38</v>
      </c>
      <c r="I254">
        <v>0.2</v>
      </c>
      <c r="J254" t="s">
        <v>38</v>
      </c>
      <c r="K254">
        <v>0</v>
      </c>
      <c r="L254">
        <v>3.4786608199450897E-2</v>
      </c>
      <c r="M254" t="s">
        <v>38</v>
      </c>
      <c r="O254" t="s">
        <v>2838</v>
      </c>
      <c r="P254">
        <v>1380.8520000000001</v>
      </c>
      <c r="Q254">
        <v>847.0616</v>
      </c>
      <c r="R254">
        <v>0.61343402479049203</v>
      </c>
      <c r="S254">
        <v>0.16088082820327201</v>
      </c>
      <c r="T254">
        <v>8</v>
      </c>
      <c r="U254" t="s">
        <v>2826</v>
      </c>
    </row>
    <row r="255" spans="1:21" x14ac:dyDescent="0.3">
      <c r="A255">
        <v>254</v>
      </c>
      <c r="B255" t="s">
        <v>429</v>
      </c>
      <c r="C255" t="s">
        <v>38</v>
      </c>
      <c r="D255">
        <v>25</v>
      </c>
      <c r="E255" t="s">
        <v>38</v>
      </c>
      <c r="F255">
        <v>1</v>
      </c>
      <c r="G255" t="s">
        <v>38</v>
      </c>
      <c r="H255" t="s">
        <v>38</v>
      </c>
      <c r="I255">
        <v>0</v>
      </c>
      <c r="J255" t="s">
        <v>38</v>
      </c>
      <c r="K255">
        <v>0</v>
      </c>
      <c r="L255">
        <v>1.5464872828453999E-3</v>
      </c>
      <c r="M255" t="s">
        <v>38</v>
      </c>
      <c r="O255" t="s">
        <v>2838</v>
      </c>
      <c r="P255">
        <v>3737.0288</v>
      </c>
      <c r="Q255">
        <v>2818.7752</v>
      </c>
      <c r="R255">
        <v>0.75428243956803298</v>
      </c>
      <c r="S255">
        <v>1.0209019474443999E-2</v>
      </c>
      <c r="T255">
        <v>1</v>
      </c>
      <c r="U255" t="s">
        <v>2826</v>
      </c>
    </row>
    <row r="256" spans="1:21" x14ac:dyDescent="0.3">
      <c r="A256">
        <v>255</v>
      </c>
      <c r="B256" t="s">
        <v>347</v>
      </c>
      <c r="C256" t="s">
        <v>38</v>
      </c>
      <c r="D256">
        <v>10</v>
      </c>
      <c r="E256" t="s">
        <v>38</v>
      </c>
      <c r="F256">
        <v>8</v>
      </c>
      <c r="G256" t="s">
        <v>38</v>
      </c>
      <c r="H256" t="s">
        <v>38</v>
      </c>
      <c r="I256">
        <v>0.2</v>
      </c>
      <c r="J256" t="s">
        <v>38</v>
      </c>
      <c r="K256">
        <v>0</v>
      </c>
      <c r="L256" t="s">
        <v>2840</v>
      </c>
      <c r="M256" t="s">
        <v>38</v>
      </c>
      <c r="O256" t="s">
        <v>2848</v>
      </c>
      <c r="P256">
        <v>20.3384</v>
      </c>
      <c r="Q256">
        <v>18.378399999999999</v>
      </c>
      <c r="R256">
        <v>0.90363057074302799</v>
      </c>
      <c r="S256">
        <v>0.16913278435409199</v>
      </c>
      <c r="T256">
        <v>8</v>
      </c>
      <c r="U256" t="s">
        <v>2826</v>
      </c>
    </row>
    <row r="257" spans="1:21" x14ac:dyDescent="0.3">
      <c r="A257">
        <v>256</v>
      </c>
      <c r="B257" t="s">
        <v>1625</v>
      </c>
      <c r="C257" t="s">
        <v>38</v>
      </c>
      <c r="D257">
        <v>23</v>
      </c>
      <c r="E257" t="s">
        <v>38</v>
      </c>
      <c r="F257">
        <v>7</v>
      </c>
      <c r="G257" t="s">
        <v>38</v>
      </c>
      <c r="H257" t="s">
        <v>38</v>
      </c>
      <c r="I257">
        <v>0.1</v>
      </c>
      <c r="J257" t="s">
        <v>38</v>
      </c>
      <c r="K257">
        <v>0</v>
      </c>
      <c r="L257">
        <v>1.18499950866774E-2</v>
      </c>
      <c r="M257" t="s">
        <v>38</v>
      </c>
      <c r="O257" t="s">
        <v>2838</v>
      </c>
      <c r="P257">
        <v>1551.0771999999999</v>
      </c>
      <c r="Q257">
        <v>1192.6756</v>
      </c>
      <c r="R257">
        <v>0.768933744883878</v>
      </c>
      <c r="S257">
        <v>0.140974388585238</v>
      </c>
      <c r="T257">
        <v>7</v>
      </c>
      <c r="U257" t="s">
        <v>2826</v>
      </c>
    </row>
    <row r="258" spans="1:21" x14ac:dyDescent="0.3">
      <c r="A258">
        <v>257</v>
      </c>
      <c r="B258" t="s">
        <v>1607</v>
      </c>
      <c r="C258" t="s">
        <v>76</v>
      </c>
      <c r="D258">
        <v>50</v>
      </c>
      <c r="E258" t="s">
        <v>38</v>
      </c>
      <c r="F258">
        <v>17</v>
      </c>
      <c r="G258" t="s">
        <v>38</v>
      </c>
      <c r="H258" t="s">
        <v>38</v>
      </c>
      <c r="I258">
        <v>0.3</v>
      </c>
      <c r="J258" t="s">
        <v>38</v>
      </c>
      <c r="K258">
        <v>0</v>
      </c>
      <c r="L258">
        <v>4.26054997926643E-2</v>
      </c>
      <c r="M258" t="s">
        <v>51</v>
      </c>
      <c r="N258" t="s">
        <v>53</v>
      </c>
      <c r="O258" t="s">
        <v>2869</v>
      </c>
      <c r="P258">
        <v>939.17439999999999</v>
      </c>
      <c r="Q258">
        <v>352.08600000000001</v>
      </c>
      <c r="R258">
        <v>0.37488883853733701</v>
      </c>
      <c r="S258">
        <v>0.34316602076460501</v>
      </c>
      <c r="T258">
        <v>17</v>
      </c>
      <c r="U258" t="s">
        <v>2860</v>
      </c>
    </row>
    <row r="259" spans="1:21" x14ac:dyDescent="0.3">
      <c r="A259">
        <v>258</v>
      </c>
      <c r="B259" t="s">
        <v>322</v>
      </c>
      <c r="C259" t="s">
        <v>38</v>
      </c>
      <c r="D259">
        <v>45</v>
      </c>
      <c r="E259" t="s">
        <v>38</v>
      </c>
      <c r="F259">
        <v>7</v>
      </c>
      <c r="G259" t="s">
        <v>38</v>
      </c>
      <c r="H259" t="s">
        <v>38</v>
      </c>
      <c r="I259">
        <v>0.1</v>
      </c>
      <c r="J259" t="s">
        <v>38</v>
      </c>
      <c r="K259">
        <v>0</v>
      </c>
      <c r="L259">
        <v>3.54583680579868E-2</v>
      </c>
      <c r="M259" t="s">
        <v>38</v>
      </c>
      <c r="O259" t="s">
        <v>2838</v>
      </c>
      <c r="P259">
        <v>1373.9431999999999</v>
      </c>
      <c r="Q259">
        <v>759.78679999999997</v>
      </c>
      <c r="R259">
        <v>0.55299724180737597</v>
      </c>
      <c r="S259">
        <v>0.13781396900708001</v>
      </c>
      <c r="T259">
        <v>7</v>
      </c>
      <c r="U259" t="s">
        <v>2826</v>
      </c>
    </row>
    <row r="260" spans="1:21" x14ac:dyDescent="0.3">
      <c r="A260">
        <v>259</v>
      </c>
      <c r="B260" t="s">
        <v>284</v>
      </c>
      <c r="C260" t="s">
        <v>38</v>
      </c>
      <c r="D260">
        <v>7</v>
      </c>
      <c r="E260" t="s">
        <v>38</v>
      </c>
      <c r="F260">
        <v>1</v>
      </c>
      <c r="G260" t="s">
        <v>38</v>
      </c>
      <c r="H260" t="s">
        <v>38</v>
      </c>
      <c r="I260">
        <v>0</v>
      </c>
      <c r="J260" t="s">
        <v>38</v>
      </c>
      <c r="K260">
        <v>0</v>
      </c>
      <c r="L260">
        <v>1.56008914795131E-2</v>
      </c>
      <c r="M260" t="s">
        <v>38</v>
      </c>
      <c r="O260" t="s">
        <v>2838</v>
      </c>
      <c r="P260">
        <v>10.001200000000001</v>
      </c>
      <c r="Q260">
        <v>9.3328000000000007</v>
      </c>
      <c r="R260">
        <v>0.93316801983761899</v>
      </c>
      <c r="S260">
        <v>2.3528223233655301E-2</v>
      </c>
      <c r="T260">
        <v>1</v>
      </c>
      <c r="U260" t="s">
        <v>2826</v>
      </c>
    </row>
    <row r="261" spans="1:21" x14ac:dyDescent="0.3">
      <c r="A261">
        <v>260</v>
      </c>
      <c r="B261" t="s">
        <v>455</v>
      </c>
      <c r="C261" t="s">
        <v>51</v>
      </c>
      <c r="D261">
        <v>76</v>
      </c>
      <c r="E261" t="s">
        <v>76</v>
      </c>
      <c r="F261">
        <v>32</v>
      </c>
      <c r="G261" t="s">
        <v>106</v>
      </c>
      <c r="H261" t="s">
        <v>51</v>
      </c>
      <c r="I261">
        <v>0.6</v>
      </c>
      <c r="J261" t="s">
        <v>38</v>
      </c>
      <c r="K261">
        <v>0</v>
      </c>
      <c r="L261">
        <v>0.201011319533036</v>
      </c>
      <c r="M261" t="s">
        <v>106</v>
      </c>
      <c r="N261" t="s">
        <v>53</v>
      </c>
      <c r="O261" t="s">
        <v>2846</v>
      </c>
      <c r="P261">
        <v>430.63440000000003</v>
      </c>
      <c r="Q261">
        <v>103.7852</v>
      </c>
      <c r="R261">
        <v>0.241005363250126</v>
      </c>
      <c r="S261">
        <v>0.63449311197456704</v>
      </c>
      <c r="T261">
        <v>32</v>
      </c>
      <c r="U261" t="s">
        <v>2826</v>
      </c>
    </row>
    <row r="262" spans="1:21" x14ac:dyDescent="0.3">
      <c r="A262">
        <v>261</v>
      </c>
      <c r="B262" t="s">
        <v>461</v>
      </c>
      <c r="C262" t="s">
        <v>38</v>
      </c>
      <c r="D262">
        <v>7</v>
      </c>
      <c r="E262" t="s">
        <v>38</v>
      </c>
      <c r="F262">
        <v>2</v>
      </c>
      <c r="G262" t="s">
        <v>38</v>
      </c>
      <c r="H262" t="s">
        <v>38</v>
      </c>
      <c r="I262">
        <v>0</v>
      </c>
      <c r="J262" t="s">
        <v>38</v>
      </c>
      <c r="K262">
        <v>0</v>
      </c>
      <c r="L262">
        <v>3.9682736275767801E-2</v>
      </c>
      <c r="M262" t="s">
        <v>38</v>
      </c>
      <c r="O262" t="s">
        <v>2838</v>
      </c>
      <c r="P262">
        <v>260.57960000000003</v>
      </c>
      <c r="Q262">
        <v>242.22120000000001</v>
      </c>
      <c r="R262">
        <v>0.92954782339062603</v>
      </c>
      <c r="S262">
        <v>4.01479621279551E-2</v>
      </c>
      <c r="T262">
        <v>2</v>
      </c>
      <c r="U262" t="s">
        <v>2826</v>
      </c>
    </row>
    <row r="263" spans="1:21" x14ac:dyDescent="0.3">
      <c r="A263">
        <v>262</v>
      </c>
      <c r="B263" t="s">
        <v>2738</v>
      </c>
      <c r="C263" t="s">
        <v>38</v>
      </c>
      <c r="D263">
        <v>3</v>
      </c>
      <c r="E263" t="s">
        <v>38</v>
      </c>
      <c r="F263">
        <v>1</v>
      </c>
      <c r="G263" t="s">
        <v>38</v>
      </c>
      <c r="H263" t="s">
        <v>38</v>
      </c>
      <c r="I263">
        <v>0</v>
      </c>
      <c r="J263" t="s">
        <v>38</v>
      </c>
      <c r="K263">
        <v>0</v>
      </c>
      <c r="L263">
        <v>1.53815519406917E-2</v>
      </c>
      <c r="M263" t="s">
        <v>38</v>
      </c>
      <c r="O263" t="s">
        <v>2838</v>
      </c>
      <c r="P263">
        <v>268.06639999999999</v>
      </c>
      <c r="Q263">
        <v>261.14400000000001</v>
      </c>
      <c r="R263">
        <v>0.97417654730320602</v>
      </c>
      <c r="S263">
        <v>1.54889713951274E-2</v>
      </c>
      <c r="T263">
        <v>1</v>
      </c>
      <c r="U263" t="s">
        <v>2826</v>
      </c>
    </row>
    <row r="264" spans="1:21" x14ac:dyDescent="0.3">
      <c r="A264">
        <v>263</v>
      </c>
      <c r="B264" t="s">
        <v>373</v>
      </c>
      <c r="C264" t="s">
        <v>38</v>
      </c>
      <c r="D264">
        <v>2</v>
      </c>
      <c r="E264" t="s">
        <v>38</v>
      </c>
      <c r="F264">
        <v>1</v>
      </c>
      <c r="G264" t="s">
        <v>38</v>
      </c>
      <c r="H264" t="s">
        <v>38</v>
      </c>
      <c r="I264">
        <v>0</v>
      </c>
      <c r="J264" t="s">
        <v>38</v>
      </c>
      <c r="K264">
        <v>0</v>
      </c>
      <c r="L264">
        <v>2.6484337454672501E-2</v>
      </c>
      <c r="M264" t="s">
        <v>38</v>
      </c>
      <c r="O264" t="s">
        <v>2838</v>
      </c>
      <c r="P264">
        <v>93.875600000000006</v>
      </c>
      <c r="Q264">
        <v>91.555999999999997</v>
      </c>
      <c r="R264">
        <v>0.97529070386767203</v>
      </c>
      <c r="S264">
        <v>1.4215912253844699E-2</v>
      </c>
      <c r="T264">
        <v>1</v>
      </c>
      <c r="U264" t="s">
        <v>2826</v>
      </c>
    </row>
    <row r="265" spans="1:21" x14ac:dyDescent="0.3">
      <c r="A265">
        <v>264</v>
      </c>
      <c r="B265" t="s">
        <v>435</v>
      </c>
      <c r="C265" t="s">
        <v>38</v>
      </c>
      <c r="D265">
        <v>4</v>
      </c>
      <c r="E265" t="s">
        <v>38</v>
      </c>
      <c r="F265">
        <v>1</v>
      </c>
      <c r="G265" t="s">
        <v>38</v>
      </c>
      <c r="H265" t="s">
        <v>38</v>
      </c>
      <c r="I265">
        <v>0</v>
      </c>
      <c r="J265" t="s">
        <v>38</v>
      </c>
      <c r="K265">
        <v>0</v>
      </c>
      <c r="L265">
        <v>2.89630895659674E-3</v>
      </c>
      <c r="M265" t="s">
        <v>38</v>
      </c>
      <c r="O265" t="s">
        <v>2838</v>
      </c>
      <c r="P265">
        <v>523.22199999999998</v>
      </c>
      <c r="Q265">
        <v>502.7088</v>
      </c>
      <c r="R265">
        <v>0.96079446200656704</v>
      </c>
      <c r="S265">
        <v>2.4544177447125299E-2</v>
      </c>
      <c r="T265">
        <v>1</v>
      </c>
      <c r="U265" t="s">
        <v>2826</v>
      </c>
    </row>
    <row r="266" spans="1:21" x14ac:dyDescent="0.3">
      <c r="A266">
        <v>265</v>
      </c>
      <c r="B266" t="s">
        <v>1790</v>
      </c>
      <c r="C266" t="s">
        <v>76</v>
      </c>
      <c r="D266">
        <v>60</v>
      </c>
      <c r="E266" t="s">
        <v>38</v>
      </c>
      <c r="F266">
        <v>21</v>
      </c>
      <c r="G266" t="s">
        <v>76</v>
      </c>
      <c r="H266" t="s">
        <v>38</v>
      </c>
      <c r="I266">
        <v>0.4</v>
      </c>
      <c r="J266" t="s">
        <v>38</v>
      </c>
      <c r="K266">
        <v>0</v>
      </c>
      <c r="L266">
        <v>1.82845495915448E-2</v>
      </c>
      <c r="M266" t="s">
        <v>76</v>
      </c>
      <c r="N266" t="s">
        <v>1796</v>
      </c>
      <c r="O266" t="s">
        <v>2868</v>
      </c>
      <c r="P266">
        <v>15063.9784</v>
      </c>
      <c r="Q266">
        <v>6008.3951999999999</v>
      </c>
      <c r="R266">
        <v>0.39885845826757199</v>
      </c>
      <c r="S266">
        <v>0.41892212369688098</v>
      </c>
      <c r="T266">
        <v>21</v>
      </c>
      <c r="U266" t="s">
        <v>2826</v>
      </c>
    </row>
    <row r="267" spans="1:21" x14ac:dyDescent="0.3">
      <c r="A267">
        <v>266</v>
      </c>
      <c r="B267" t="s">
        <v>2490</v>
      </c>
      <c r="C267" t="s">
        <v>38</v>
      </c>
      <c r="D267">
        <v>22</v>
      </c>
      <c r="E267" t="s">
        <v>38</v>
      </c>
      <c r="F267">
        <v>17</v>
      </c>
      <c r="G267" t="s">
        <v>38</v>
      </c>
      <c r="H267" t="s">
        <v>38</v>
      </c>
      <c r="I267">
        <v>0.3</v>
      </c>
      <c r="J267" t="s">
        <v>38</v>
      </c>
      <c r="K267">
        <v>0</v>
      </c>
      <c r="L267">
        <v>4.1134888004231401E-2</v>
      </c>
      <c r="M267" t="s">
        <v>38</v>
      </c>
      <c r="O267" t="s">
        <v>2869</v>
      </c>
      <c r="P267">
        <v>3858.6324</v>
      </c>
      <c r="Q267">
        <v>2611.3308000000002</v>
      </c>
      <c r="R267">
        <v>0.67675034294533998</v>
      </c>
      <c r="S267">
        <v>0.33149858093128198</v>
      </c>
      <c r="T267">
        <v>17</v>
      </c>
      <c r="U267" t="s">
        <v>2826</v>
      </c>
    </row>
    <row r="268" spans="1:21" x14ac:dyDescent="0.3">
      <c r="A268">
        <v>267</v>
      </c>
      <c r="B268" t="s">
        <v>2495</v>
      </c>
      <c r="C268" t="s">
        <v>38</v>
      </c>
      <c r="D268">
        <v>39</v>
      </c>
      <c r="E268" t="s">
        <v>38</v>
      </c>
      <c r="F268">
        <v>12</v>
      </c>
      <c r="G268" t="s">
        <v>38</v>
      </c>
      <c r="H268" t="s">
        <v>38</v>
      </c>
      <c r="I268">
        <v>0.2</v>
      </c>
      <c r="J268" t="s">
        <v>38</v>
      </c>
      <c r="K268">
        <v>0</v>
      </c>
      <c r="L268">
        <v>2.29169713011898E-2</v>
      </c>
      <c r="M268" t="s">
        <v>38</v>
      </c>
      <c r="O268" t="s">
        <v>2869</v>
      </c>
      <c r="P268">
        <v>1048.1812</v>
      </c>
      <c r="Q268">
        <v>536.16160000000002</v>
      </c>
      <c r="R268">
        <v>0.51151613862183398</v>
      </c>
      <c r="S268">
        <v>0.24283322255387199</v>
      </c>
      <c r="T268">
        <v>12</v>
      </c>
      <c r="U268" t="s">
        <v>2826</v>
      </c>
    </row>
    <row r="269" spans="1:21" x14ac:dyDescent="0.3">
      <c r="A269">
        <v>268</v>
      </c>
      <c r="B269" t="s">
        <v>1408</v>
      </c>
      <c r="C269" t="s">
        <v>38</v>
      </c>
      <c r="D269">
        <v>48</v>
      </c>
      <c r="E269" t="s">
        <v>38</v>
      </c>
      <c r="F269">
        <v>13</v>
      </c>
      <c r="G269" t="s">
        <v>38</v>
      </c>
      <c r="H269" t="s">
        <v>38</v>
      </c>
      <c r="I269">
        <v>0.3</v>
      </c>
      <c r="J269" t="s">
        <v>38</v>
      </c>
      <c r="K269">
        <v>0</v>
      </c>
      <c r="L269">
        <v>1.2200590931213499E-2</v>
      </c>
      <c r="M269" t="s">
        <v>38</v>
      </c>
      <c r="O269" t="s">
        <v>2838</v>
      </c>
      <c r="P269">
        <v>14254.748</v>
      </c>
      <c r="Q269">
        <v>7447.7704000000003</v>
      </c>
      <c r="R269">
        <v>0.52247646889303101</v>
      </c>
      <c r="S269">
        <v>0.26377637742260601</v>
      </c>
      <c r="T269">
        <v>13</v>
      </c>
      <c r="U269" t="s">
        <v>2826</v>
      </c>
    </row>
    <row r="270" spans="1:21" x14ac:dyDescent="0.3">
      <c r="A270">
        <v>269</v>
      </c>
      <c r="B270" t="s">
        <v>621</v>
      </c>
      <c r="C270" t="s">
        <v>38</v>
      </c>
      <c r="D270">
        <v>29</v>
      </c>
      <c r="E270" t="s">
        <v>38</v>
      </c>
      <c r="F270">
        <v>4</v>
      </c>
      <c r="G270" t="s">
        <v>38</v>
      </c>
      <c r="H270" t="s">
        <v>38</v>
      </c>
      <c r="I270">
        <v>0.1</v>
      </c>
      <c r="J270" t="s">
        <v>38</v>
      </c>
      <c r="K270">
        <v>0</v>
      </c>
      <c r="L270">
        <v>2.9866976133547302E-2</v>
      </c>
      <c r="M270" t="s">
        <v>38</v>
      </c>
      <c r="O270" t="s">
        <v>2838</v>
      </c>
      <c r="P270">
        <v>3469.5508</v>
      </c>
      <c r="Q270">
        <v>2462.3852000000002</v>
      </c>
      <c r="R270">
        <v>0.70971296918321503</v>
      </c>
      <c r="S270">
        <v>7.3928462786774299E-2</v>
      </c>
      <c r="T270">
        <v>4</v>
      </c>
      <c r="U270" t="s">
        <v>2826</v>
      </c>
    </row>
    <row r="271" spans="1:21" x14ac:dyDescent="0.3">
      <c r="A271">
        <v>270</v>
      </c>
      <c r="B271" t="s">
        <v>2139</v>
      </c>
      <c r="C271" t="s">
        <v>38</v>
      </c>
      <c r="D271">
        <v>45</v>
      </c>
      <c r="E271" t="s">
        <v>38</v>
      </c>
      <c r="F271">
        <v>15</v>
      </c>
      <c r="G271" t="s">
        <v>38</v>
      </c>
      <c r="H271" t="s">
        <v>38</v>
      </c>
      <c r="I271">
        <v>0.3</v>
      </c>
      <c r="J271" t="s">
        <v>38</v>
      </c>
      <c r="K271">
        <v>0</v>
      </c>
      <c r="L271">
        <v>1.07469775177885E-3</v>
      </c>
      <c r="M271" t="s">
        <v>38</v>
      </c>
      <c r="O271" t="s">
        <v>2838</v>
      </c>
      <c r="P271">
        <v>9891.6532000000007</v>
      </c>
      <c r="Q271">
        <v>5464.9784</v>
      </c>
      <c r="R271">
        <v>0.55248382545397001</v>
      </c>
      <c r="S271">
        <v>0.29211197941669398</v>
      </c>
      <c r="T271">
        <v>15</v>
      </c>
      <c r="U271" t="s">
        <v>2826</v>
      </c>
    </row>
    <row r="272" spans="1:21" x14ac:dyDescent="0.3">
      <c r="A272">
        <v>271</v>
      </c>
      <c r="B272" t="s">
        <v>2145</v>
      </c>
      <c r="C272" t="s">
        <v>38</v>
      </c>
      <c r="D272">
        <v>8</v>
      </c>
      <c r="E272" t="s">
        <v>38</v>
      </c>
      <c r="F272">
        <v>3</v>
      </c>
      <c r="G272" t="s">
        <v>38</v>
      </c>
      <c r="H272" t="s">
        <v>38</v>
      </c>
      <c r="I272">
        <v>0.1</v>
      </c>
      <c r="J272" t="s">
        <v>38</v>
      </c>
      <c r="K272">
        <v>0</v>
      </c>
      <c r="L272">
        <v>1.7378962765572301E-4</v>
      </c>
      <c r="M272" t="s">
        <v>38</v>
      </c>
      <c r="O272" t="s">
        <v>2838</v>
      </c>
      <c r="P272">
        <v>30.048400000000001</v>
      </c>
      <c r="Q272">
        <v>27.619599999999998</v>
      </c>
      <c r="R272">
        <v>0.91917040507980496</v>
      </c>
      <c r="S272">
        <v>6.7613282135570302E-2</v>
      </c>
      <c r="T272">
        <v>3</v>
      </c>
      <c r="U272" t="s">
        <v>2826</v>
      </c>
    </row>
    <row r="273" spans="1:21" x14ac:dyDescent="0.3">
      <c r="A273">
        <v>272</v>
      </c>
      <c r="B273" t="s">
        <v>2151</v>
      </c>
      <c r="C273" t="s">
        <v>76</v>
      </c>
      <c r="D273">
        <v>62</v>
      </c>
      <c r="E273" t="s">
        <v>38</v>
      </c>
      <c r="F273">
        <v>23</v>
      </c>
      <c r="G273" t="s">
        <v>76</v>
      </c>
      <c r="H273" t="s">
        <v>38</v>
      </c>
      <c r="I273">
        <v>0.5</v>
      </c>
      <c r="J273" t="s">
        <v>38</v>
      </c>
      <c r="K273">
        <v>0</v>
      </c>
      <c r="L273">
        <v>8.8008243664826399E-3</v>
      </c>
      <c r="M273" t="s">
        <v>76</v>
      </c>
      <c r="N273" t="s">
        <v>1796</v>
      </c>
      <c r="O273" t="s">
        <v>2868</v>
      </c>
      <c r="P273">
        <v>14492.9396</v>
      </c>
      <c r="Q273">
        <v>5504.348</v>
      </c>
      <c r="R273">
        <v>0.37979513831686701</v>
      </c>
      <c r="S273">
        <v>0.450422136765533</v>
      </c>
      <c r="T273">
        <v>23</v>
      </c>
      <c r="U273" t="s">
        <v>2826</v>
      </c>
    </row>
    <row r="274" spans="1:21" x14ac:dyDescent="0.3">
      <c r="A274">
        <v>273</v>
      </c>
      <c r="B274" t="s">
        <v>1717</v>
      </c>
      <c r="C274" t="s">
        <v>76</v>
      </c>
      <c r="D274">
        <v>67</v>
      </c>
      <c r="E274" t="s">
        <v>76</v>
      </c>
      <c r="F274">
        <v>33</v>
      </c>
      <c r="G274" t="s">
        <v>51</v>
      </c>
      <c r="H274" t="s">
        <v>76</v>
      </c>
      <c r="I274">
        <v>0.7</v>
      </c>
      <c r="J274" t="s">
        <v>38</v>
      </c>
      <c r="K274">
        <v>0</v>
      </c>
      <c r="L274">
        <v>5.3037422632726599E-3</v>
      </c>
      <c r="M274" t="s">
        <v>51</v>
      </c>
      <c r="N274" t="s">
        <v>53</v>
      </c>
      <c r="O274" t="s">
        <v>2846</v>
      </c>
      <c r="P274">
        <v>1313.2256</v>
      </c>
      <c r="Q274">
        <v>435.84320000000002</v>
      </c>
      <c r="R274">
        <v>0.33188752945419298</v>
      </c>
      <c r="S274">
        <v>0.65782657021212498</v>
      </c>
      <c r="T274">
        <v>33</v>
      </c>
      <c r="U274" t="s">
        <v>2826</v>
      </c>
    </row>
    <row r="275" spans="1:21" x14ac:dyDescent="0.3">
      <c r="A275">
        <v>274</v>
      </c>
      <c r="B275" t="s">
        <v>217</v>
      </c>
      <c r="C275" t="s">
        <v>38</v>
      </c>
      <c r="D275">
        <v>44</v>
      </c>
      <c r="E275" t="s">
        <v>38</v>
      </c>
      <c r="F275">
        <v>27</v>
      </c>
      <c r="G275" t="s">
        <v>51</v>
      </c>
      <c r="H275" t="s">
        <v>76</v>
      </c>
      <c r="I275">
        <v>0.5</v>
      </c>
      <c r="J275" t="s">
        <v>38</v>
      </c>
      <c r="K275">
        <v>0</v>
      </c>
      <c r="L275">
        <v>3.7385076951719901E-2</v>
      </c>
      <c r="M275" t="s">
        <v>51</v>
      </c>
      <c r="N275" t="s">
        <v>53</v>
      </c>
      <c r="O275" t="s">
        <v>2845</v>
      </c>
      <c r="P275">
        <v>539.21320000000003</v>
      </c>
      <c r="Q275">
        <v>281.44920000000002</v>
      </c>
      <c r="R275">
        <v>0.52196274126820297</v>
      </c>
      <c r="S275">
        <v>0.54834519424910599</v>
      </c>
      <c r="T275">
        <v>27</v>
      </c>
      <c r="U275" t="s">
        <v>2826</v>
      </c>
    </row>
    <row r="276" spans="1:21" x14ac:dyDescent="0.3">
      <c r="A276">
        <v>275</v>
      </c>
      <c r="B276" t="s">
        <v>1821</v>
      </c>
      <c r="C276" t="s">
        <v>38</v>
      </c>
      <c r="D276">
        <v>31</v>
      </c>
      <c r="E276" t="s">
        <v>38</v>
      </c>
      <c r="F276">
        <v>13</v>
      </c>
      <c r="G276" t="s">
        <v>38</v>
      </c>
      <c r="H276" t="s">
        <v>38</v>
      </c>
      <c r="I276">
        <v>0.3</v>
      </c>
      <c r="J276" t="s">
        <v>38</v>
      </c>
      <c r="K276">
        <v>0</v>
      </c>
      <c r="L276">
        <v>7.7322890693400703E-2</v>
      </c>
      <c r="M276" t="s">
        <v>38</v>
      </c>
      <c r="O276" t="s">
        <v>2838</v>
      </c>
      <c r="P276">
        <v>10944.612800000001</v>
      </c>
      <c r="Q276">
        <v>7576.2196000000004</v>
      </c>
      <c r="R276">
        <v>0.692232766790982</v>
      </c>
      <c r="S276">
        <v>0.26162270718761199</v>
      </c>
      <c r="T276">
        <v>13</v>
      </c>
      <c r="U276" t="s">
        <v>2826</v>
      </c>
    </row>
    <row r="277" spans="1:21" x14ac:dyDescent="0.3">
      <c r="A277">
        <v>276</v>
      </c>
      <c r="B277" t="s">
        <v>2157</v>
      </c>
      <c r="C277" t="s">
        <v>76</v>
      </c>
      <c r="D277">
        <v>56</v>
      </c>
      <c r="E277" t="s">
        <v>38</v>
      </c>
      <c r="F277">
        <v>25</v>
      </c>
      <c r="G277" t="s">
        <v>51</v>
      </c>
      <c r="H277" t="s">
        <v>76</v>
      </c>
      <c r="I277">
        <v>0.5</v>
      </c>
      <c r="J277" t="s">
        <v>38</v>
      </c>
      <c r="K277">
        <v>0</v>
      </c>
      <c r="L277">
        <v>8.2436259069038703E-2</v>
      </c>
      <c r="M277" t="s">
        <v>51</v>
      </c>
      <c r="N277" t="s">
        <v>53</v>
      </c>
      <c r="O277" t="s">
        <v>2846</v>
      </c>
      <c r="P277">
        <v>2342.1579999999999</v>
      </c>
      <c r="Q277">
        <v>1020.7256</v>
      </c>
      <c r="R277">
        <v>0.43580561174779803</v>
      </c>
      <c r="S277">
        <v>0.50037080732237704</v>
      </c>
      <c r="T277">
        <v>25</v>
      </c>
      <c r="U277" t="s">
        <v>2826</v>
      </c>
    </row>
    <row r="278" spans="1:21" x14ac:dyDescent="0.3">
      <c r="A278">
        <v>277</v>
      </c>
      <c r="B278" t="s">
        <v>2163</v>
      </c>
      <c r="C278" t="s">
        <v>38</v>
      </c>
      <c r="D278">
        <v>46</v>
      </c>
      <c r="E278" t="s">
        <v>38</v>
      </c>
      <c r="F278">
        <v>17</v>
      </c>
      <c r="G278" t="s">
        <v>38</v>
      </c>
      <c r="H278" t="s">
        <v>38</v>
      </c>
      <c r="I278">
        <v>0.3</v>
      </c>
      <c r="J278" t="s">
        <v>38</v>
      </c>
      <c r="K278">
        <v>0</v>
      </c>
      <c r="L278">
        <v>6.9955922456899397E-2</v>
      </c>
      <c r="M278" t="s">
        <v>51</v>
      </c>
      <c r="N278" t="s">
        <v>53</v>
      </c>
      <c r="O278" t="s">
        <v>2838</v>
      </c>
      <c r="P278">
        <v>8728.1252000000004</v>
      </c>
      <c r="Q278">
        <v>4698.0839999999998</v>
      </c>
      <c r="R278">
        <v>0.53826954727917997</v>
      </c>
      <c r="S278">
        <v>0.33489010684107801</v>
      </c>
      <c r="T278">
        <v>17</v>
      </c>
      <c r="U278" t="s">
        <v>2860</v>
      </c>
    </row>
    <row r="279" spans="1:21" x14ac:dyDescent="0.3">
      <c r="A279">
        <v>278</v>
      </c>
      <c r="B279" t="s">
        <v>1538</v>
      </c>
      <c r="C279" t="s">
        <v>51</v>
      </c>
      <c r="D279">
        <v>70</v>
      </c>
      <c r="E279" t="s">
        <v>76</v>
      </c>
      <c r="F279">
        <v>32</v>
      </c>
      <c r="G279" t="s">
        <v>106</v>
      </c>
      <c r="H279" t="s">
        <v>51</v>
      </c>
      <c r="I279">
        <v>0.6</v>
      </c>
      <c r="J279" t="s">
        <v>38</v>
      </c>
      <c r="K279">
        <v>0</v>
      </c>
      <c r="L279">
        <v>9.4451608725915001E-3</v>
      </c>
      <c r="M279" t="s">
        <v>106</v>
      </c>
      <c r="N279" t="s">
        <v>53</v>
      </c>
      <c r="O279" t="s">
        <v>2846</v>
      </c>
      <c r="P279">
        <v>492.96</v>
      </c>
      <c r="Q279">
        <v>148.2664</v>
      </c>
      <c r="R279">
        <v>0.30076760791950702</v>
      </c>
      <c r="S279">
        <v>0.64523863553650695</v>
      </c>
      <c r="T279">
        <v>32</v>
      </c>
      <c r="U279" t="s">
        <v>2826</v>
      </c>
    </row>
    <row r="280" spans="1:21" x14ac:dyDescent="0.3">
      <c r="A280">
        <v>279</v>
      </c>
      <c r="B280" t="s">
        <v>912</v>
      </c>
      <c r="C280" t="s">
        <v>76</v>
      </c>
      <c r="D280">
        <v>60</v>
      </c>
      <c r="E280" t="s">
        <v>38</v>
      </c>
      <c r="F280">
        <v>22</v>
      </c>
      <c r="G280" t="s">
        <v>51</v>
      </c>
      <c r="H280" t="s">
        <v>38</v>
      </c>
      <c r="I280">
        <v>0.4</v>
      </c>
      <c r="J280" t="s">
        <v>38</v>
      </c>
      <c r="K280">
        <v>0</v>
      </c>
      <c r="L280">
        <v>3.5631381625040003E-2</v>
      </c>
      <c r="M280" t="s">
        <v>51</v>
      </c>
      <c r="N280" t="s">
        <v>53</v>
      </c>
      <c r="O280" t="s">
        <v>2868</v>
      </c>
      <c r="P280">
        <v>5281.6719999999996</v>
      </c>
      <c r="Q280">
        <v>2135.8588</v>
      </c>
      <c r="R280">
        <v>0.40439065508043698</v>
      </c>
      <c r="S280">
        <v>0.43129258155188499</v>
      </c>
      <c r="T280">
        <v>22</v>
      </c>
      <c r="U280" t="s">
        <v>2826</v>
      </c>
    </row>
    <row r="281" spans="1:21" x14ac:dyDescent="0.3">
      <c r="A281">
        <v>280</v>
      </c>
      <c r="B281" t="s">
        <v>1149</v>
      </c>
      <c r="C281" t="s">
        <v>38</v>
      </c>
      <c r="D281">
        <v>40</v>
      </c>
      <c r="E281" t="s">
        <v>38</v>
      </c>
      <c r="F281">
        <v>10</v>
      </c>
      <c r="G281" t="s">
        <v>38</v>
      </c>
      <c r="H281" t="s">
        <v>38</v>
      </c>
      <c r="I281">
        <v>0.2</v>
      </c>
      <c r="J281" t="s">
        <v>38</v>
      </c>
      <c r="K281">
        <v>0</v>
      </c>
      <c r="L281">
        <v>2.9981224450608902E-2</v>
      </c>
      <c r="M281" t="s">
        <v>38</v>
      </c>
      <c r="O281" t="s">
        <v>2838</v>
      </c>
      <c r="P281">
        <v>6137.2615999999998</v>
      </c>
      <c r="Q281">
        <v>3708.0140000000001</v>
      </c>
      <c r="R281">
        <v>0.60418053550137096</v>
      </c>
      <c r="S281">
        <v>0.19752309988455299</v>
      </c>
      <c r="T281">
        <v>10</v>
      </c>
      <c r="U281" t="s">
        <v>2826</v>
      </c>
    </row>
    <row r="282" spans="1:21" x14ac:dyDescent="0.3">
      <c r="A282">
        <v>281</v>
      </c>
      <c r="B282" t="s">
        <v>2114</v>
      </c>
      <c r="C282" t="s">
        <v>38</v>
      </c>
      <c r="D282">
        <v>17</v>
      </c>
      <c r="E282" t="s">
        <v>38</v>
      </c>
      <c r="F282">
        <v>6</v>
      </c>
      <c r="G282" t="s">
        <v>38</v>
      </c>
      <c r="H282" t="s">
        <v>38</v>
      </c>
      <c r="I282">
        <v>0.1</v>
      </c>
      <c r="J282" t="s">
        <v>38</v>
      </c>
      <c r="K282">
        <v>0</v>
      </c>
      <c r="L282">
        <v>5.9633181442980696E-3</v>
      </c>
      <c r="M282" t="s">
        <v>38</v>
      </c>
      <c r="O282" t="s">
        <v>2838</v>
      </c>
      <c r="P282">
        <v>3606.2944000000002</v>
      </c>
      <c r="Q282">
        <v>2980.22</v>
      </c>
      <c r="R282">
        <v>0.82639398491703797</v>
      </c>
      <c r="S282">
        <v>0.12160242047106599</v>
      </c>
      <c r="T282">
        <v>6</v>
      </c>
      <c r="U282" t="s">
        <v>2826</v>
      </c>
    </row>
    <row r="283" spans="1:21" x14ac:dyDescent="0.3">
      <c r="A283">
        <v>282</v>
      </c>
      <c r="B283" t="s">
        <v>1458</v>
      </c>
      <c r="C283" t="s">
        <v>38</v>
      </c>
      <c r="D283">
        <v>2</v>
      </c>
      <c r="E283" t="s">
        <v>38</v>
      </c>
      <c r="F283">
        <v>1</v>
      </c>
      <c r="G283" t="s">
        <v>38</v>
      </c>
      <c r="H283" t="s">
        <v>38</v>
      </c>
      <c r="I283">
        <v>0</v>
      </c>
      <c r="J283" t="s">
        <v>38</v>
      </c>
      <c r="K283">
        <v>0</v>
      </c>
      <c r="L283">
        <v>1.0406351895948599E-2</v>
      </c>
      <c r="M283" t="s">
        <v>38</v>
      </c>
      <c r="O283" t="s">
        <v>2838</v>
      </c>
      <c r="P283">
        <v>4242.1876000000002</v>
      </c>
      <c r="Q283">
        <v>4170.7987999999996</v>
      </c>
      <c r="R283">
        <v>0.98317170131749898</v>
      </c>
      <c r="S283">
        <v>1.1201257374213401E-2</v>
      </c>
      <c r="T283">
        <v>1</v>
      </c>
      <c r="U283" t="s">
        <v>2826</v>
      </c>
    </row>
    <row r="284" spans="1:21" x14ac:dyDescent="0.3">
      <c r="A284">
        <v>283</v>
      </c>
      <c r="B284" t="s">
        <v>1827</v>
      </c>
      <c r="C284" t="s">
        <v>38</v>
      </c>
      <c r="D284">
        <v>2</v>
      </c>
      <c r="E284" t="s">
        <v>38</v>
      </c>
      <c r="F284">
        <v>1</v>
      </c>
      <c r="G284" t="s">
        <v>38</v>
      </c>
      <c r="H284" t="s">
        <v>38</v>
      </c>
      <c r="I284">
        <v>0</v>
      </c>
      <c r="J284" t="s">
        <v>38</v>
      </c>
      <c r="K284">
        <v>0</v>
      </c>
      <c r="L284">
        <v>1.05471710929638E-3</v>
      </c>
      <c r="M284" t="s">
        <v>38</v>
      </c>
      <c r="O284" t="s">
        <v>2825</v>
      </c>
      <c r="P284">
        <v>1433.932</v>
      </c>
      <c r="Q284">
        <v>1407.3915999999999</v>
      </c>
      <c r="R284">
        <v>0.98149117252422002</v>
      </c>
      <c r="S284">
        <v>1.6431293409784501E-2</v>
      </c>
      <c r="T284">
        <v>1</v>
      </c>
      <c r="U284" t="s">
        <v>2826</v>
      </c>
    </row>
    <row r="285" spans="1:21" x14ac:dyDescent="0.3">
      <c r="A285">
        <v>284</v>
      </c>
      <c r="B285" t="s">
        <v>2500</v>
      </c>
      <c r="C285" t="s">
        <v>76</v>
      </c>
      <c r="D285">
        <v>56</v>
      </c>
      <c r="E285" t="s">
        <v>38</v>
      </c>
      <c r="F285">
        <v>22</v>
      </c>
      <c r="G285" t="s">
        <v>76</v>
      </c>
      <c r="H285" t="s">
        <v>38</v>
      </c>
      <c r="I285">
        <v>0.4</v>
      </c>
      <c r="J285" t="s">
        <v>38</v>
      </c>
      <c r="K285">
        <v>0</v>
      </c>
      <c r="L285">
        <v>0.148237349031446</v>
      </c>
      <c r="M285" t="s">
        <v>76</v>
      </c>
      <c r="N285" t="s">
        <v>1796</v>
      </c>
      <c r="O285" t="s">
        <v>2868</v>
      </c>
      <c r="P285">
        <v>3024.2363999999998</v>
      </c>
      <c r="Q285">
        <v>1334.6487999999999</v>
      </c>
      <c r="R285">
        <v>0.44131761657256702</v>
      </c>
      <c r="S285">
        <v>0.43610348503704999</v>
      </c>
      <c r="T285">
        <v>22</v>
      </c>
      <c r="U285" t="s">
        <v>2826</v>
      </c>
    </row>
    <row r="286" spans="1:21" x14ac:dyDescent="0.3">
      <c r="A286">
        <v>285</v>
      </c>
      <c r="B286" t="s">
        <v>634</v>
      </c>
      <c r="C286" t="s">
        <v>38</v>
      </c>
      <c r="D286">
        <v>20</v>
      </c>
      <c r="E286" t="s">
        <v>38</v>
      </c>
      <c r="F286">
        <v>7</v>
      </c>
      <c r="G286" t="s">
        <v>38</v>
      </c>
      <c r="H286" t="s">
        <v>38</v>
      </c>
      <c r="I286">
        <v>0.1</v>
      </c>
      <c r="J286" t="s">
        <v>38</v>
      </c>
      <c r="K286">
        <v>0</v>
      </c>
      <c r="L286">
        <v>1.32913557749343E-2</v>
      </c>
      <c r="M286" t="s">
        <v>38</v>
      </c>
      <c r="O286" t="s">
        <v>2838</v>
      </c>
      <c r="P286">
        <v>1545.4911999999999</v>
      </c>
      <c r="Q286">
        <v>1242.8227999999999</v>
      </c>
      <c r="R286">
        <v>0.80416038603131501</v>
      </c>
      <c r="S286">
        <v>0.13797734188278499</v>
      </c>
      <c r="T286">
        <v>7</v>
      </c>
      <c r="U286" t="s">
        <v>2826</v>
      </c>
    </row>
    <row r="287" spans="1:21" x14ac:dyDescent="0.3">
      <c r="A287">
        <v>286</v>
      </c>
      <c r="B287" t="s">
        <v>2505</v>
      </c>
      <c r="C287" t="s">
        <v>76</v>
      </c>
      <c r="D287">
        <v>64</v>
      </c>
      <c r="E287" t="s">
        <v>38</v>
      </c>
      <c r="F287">
        <v>23</v>
      </c>
      <c r="G287" t="s">
        <v>76</v>
      </c>
      <c r="H287" t="s">
        <v>38</v>
      </c>
      <c r="I287">
        <v>0.5</v>
      </c>
      <c r="J287" t="s">
        <v>38</v>
      </c>
      <c r="K287">
        <v>0</v>
      </c>
      <c r="L287">
        <v>0.155142142579341</v>
      </c>
      <c r="M287" t="s">
        <v>76</v>
      </c>
      <c r="N287" t="s">
        <v>1796</v>
      </c>
      <c r="O287" t="s">
        <v>2868</v>
      </c>
      <c r="P287">
        <v>6280.5940000000001</v>
      </c>
      <c r="Q287">
        <v>2257.5219999999999</v>
      </c>
      <c r="R287">
        <v>0.35944402710953799</v>
      </c>
      <c r="S287">
        <v>0.456964999465997</v>
      </c>
      <c r="T287">
        <v>23</v>
      </c>
      <c r="U287" t="s">
        <v>2826</v>
      </c>
    </row>
    <row r="288" spans="1:21" x14ac:dyDescent="0.3">
      <c r="A288">
        <v>287</v>
      </c>
      <c r="B288" t="s">
        <v>2088</v>
      </c>
      <c r="C288" t="s">
        <v>38</v>
      </c>
      <c r="D288">
        <v>10</v>
      </c>
      <c r="E288" t="s">
        <v>38</v>
      </c>
      <c r="F288">
        <v>4</v>
      </c>
      <c r="G288" t="s">
        <v>38</v>
      </c>
      <c r="H288" t="s">
        <v>38</v>
      </c>
      <c r="I288">
        <v>0.1</v>
      </c>
      <c r="J288" t="s">
        <v>38</v>
      </c>
      <c r="K288">
        <v>0</v>
      </c>
      <c r="L288">
        <v>7.2149008831304901E-2</v>
      </c>
      <c r="M288" t="s">
        <v>38</v>
      </c>
      <c r="O288" t="s">
        <v>2838</v>
      </c>
      <c r="P288">
        <v>1742.278</v>
      </c>
      <c r="Q288">
        <v>1563.8912</v>
      </c>
      <c r="R288">
        <v>0.89761289530143895</v>
      </c>
      <c r="S288">
        <v>8.3332700581028402E-2</v>
      </c>
      <c r="T288">
        <v>4</v>
      </c>
      <c r="U288" t="s">
        <v>2826</v>
      </c>
    </row>
    <row r="289" spans="1:21" x14ac:dyDescent="0.3">
      <c r="A289">
        <v>288</v>
      </c>
      <c r="B289" t="s">
        <v>2169</v>
      </c>
      <c r="C289" t="s">
        <v>38</v>
      </c>
      <c r="D289">
        <v>40</v>
      </c>
      <c r="E289" t="s">
        <v>38</v>
      </c>
      <c r="F289">
        <v>18</v>
      </c>
      <c r="G289" t="s">
        <v>76</v>
      </c>
      <c r="H289" t="s">
        <v>38</v>
      </c>
      <c r="I289">
        <v>0.4</v>
      </c>
      <c r="J289" t="s">
        <v>38</v>
      </c>
      <c r="K289">
        <v>0</v>
      </c>
      <c r="L289">
        <v>3.6655990082325202E-2</v>
      </c>
      <c r="M289" t="s">
        <v>76</v>
      </c>
      <c r="N289" t="s">
        <v>53</v>
      </c>
      <c r="O289" t="s">
        <v>2844</v>
      </c>
      <c r="P289">
        <v>7440.4260000000004</v>
      </c>
      <c r="Q289">
        <v>4242.93</v>
      </c>
      <c r="R289">
        <v>0.57025363870294499</v>
      </c>
      <c r="S289">
        <v>0.36608373256934301</v>
      </c>
      <c r="T289">
        <v>18</v>
      </c>
      <c r="U289" t="s">
        <v>2826</v>
      </c>
    </row>
    <row r="290" spans="1:21" x14ac:dyDescent="0.3">
      <c r="A290">
        <v>289</v>
      </c>
      <c r="B290" t="s">
        <v>1108</v>
      </c>
      <c r="C290" t="s">
        <v>38</v>
      </c>
      <c r="D290">
        <v>37</v>
      </c>
      <c r="E290" t="s">
        <v>38</v>
      </c>
      <c r="F290">
        <v>14</v>
      </c>
      <c r="G290" t="s">
        <v>38</v>
      </c>
      <c r="H290" t="s">
        <v>38</v>
      </c>
      <c r="I290">
        <v>0.3</v>
      </c>
      <c r="J290" t="s">
        <v>38</v>
      </c>
      <c r="K290">
        <v>0</v>
      </c>
      <c r="L290">
        <v>2.23087914308591E-2</v>
      </c>
      <c r="M290" t="s">
        <v>38</v>
      </c>
      <c r="O290" t="s">
        <v>2843</v>
      </c>
      <c r="P290">
        <v>5227.4683999999997</v>
      </c>
      <c r="Q290">
        <v>3303.6124</v>
      </c>
      <c r="R290">
        <v>0.63197175902584102</v>
      </c>
      <c r="S290">
        <v>0.28758980323185501</v>
      </c>
      <c r="T290">
        <v>14</v>
      </c>
      <c r="U290" t="s">
        <v>2826</v>
      </c>
    </row>
    <row r="291" spans="1:21" x14ac:dyDescent="0.3">
      <c r="A291">
        <v>290</v>
      </c>
      <c r="B291" t="s">
        <v>1279</v>
      </c>
      <c r="C291" t="s">
        <v>76</v>
      </c>
      <c r="D291">
        <v>54</v>
      </c>
      <c r="E291" t="s">
        <v>38</v>
      </c>
      <c r="F291">
        <v>19</v>
      </c>
      <c r="G291" t="s">
        <v>51</v>
      </c>
      <c r="H291" t="s">
        <v>38</v>
      </c>
      <c r="I291">
        <v>0.4</v>
      </c>
      <c r="J291" t="s">
        <v>38</v>
      </c>
      <c r="K291">
        <v>0</v>
      </c>
      <c r="L291">
        <v>5.4106064314098801E-3</v>
      </c>
      <c r="M291" t="s">
        <v>51</v>
      </c>
      <c r="N291" t="s">
        <v>53</v>
      </c>
      <c r="O291" t="s">
        <v>2870</v>
      </c>
      <c r="P291">
        <v>4653.6067999999996</v>
      </c>
      <c r="Q291">
        <v>2366.6848</v>
      </c>
      <c r="R291">
        <v>0.50856999779181999</v>
      </c>
      <c r="S291">
        <v>0.37914016181953603</v>
      </c>
      <c r="T291">
        <v>19</v>
      </c>
      <c r="U291" t="s">
        <v>2826</v>
      </c>
    </row>
    <row r="292" spans="1:21" x14ac:dyDescent="0.3">
      <c r="A292">
        <v>291</v>
      </c>
      <c r="B292" t="s">
        <v>505</v>
      </c>
      <c r="C292" t="s">
        <v>38</v>
      </c>
      <c r="D292">
        <v>36</v>
      </c>
      <c r="E292" t="s">
        <v>38</v>
      </c>
      <c r="F292">
        <v>25</v>
      </c>
      <c r="G292" t="s">
        <v>51</v>
      </c>
      <c r="H292" t="s">
        <v>38</v>
      </c>
      <c r="I292">
        <v>0.5</v>
      </c>
      <c r="J292" t="s">
        <v>38</v>
      </c>
      <c r="K292">
        <v>0</v>
      </c>
      <c r="L292">
        <v>2.85563553771646E-2</v>
      </c>
      <c r="M292" t="s">
        <v>51</v>
      </c>
      <c r="N292" t="s">
        <v>53</v>
      </c>
      <c r="O292" t="s">
        <v>2844</v>
      </c>
      <c r="P292">
        <v>2862.4155999999998</v>
      </c>
      <c r="Q292">
        <v>1664.26</v>
      </c>
      <c r="R292">
        <v>0.58141801630762502</v>
      </c>
      <c r="S292">
        <v>0.496462617222034</v>
      </c>
      <c r="T292">
        <v>25</v>
      </c>
      <c r="U292" t="s">
        <v>2826</v>
      </c>
    </row>
    <row r="293" spans="1:21" x14ac:dyDescent="0.3">
      <c r="A293">
        <v>292</v>
      </c>
      <c r="B293" t="s">
        <v>1976</v>
      </c>
      <c r="C293" t="s">
        <v>51</v>
      </c>
      <c r="D293">
        <v>71</v>
      </c>
      <c r="E293" t="s">
        <v>76</v>
      </c>
      <c r="F293">
        <v>35</v>
      </c>
      <c r="G293" t="s">
        <v>76</v>
      </c>
      <c r="H293" t="s">
        <v>38</v>
      </c>
      <c r="I293">
        <v>0.7</v>
      </c>
      <c r="J293" t="s">
        <v>38</v>
      </c>
      <c r="K293">
        <v>0</v>
      </c>
      <c r="L293">
        <v>7.9505995162049203E-2</v>
      </c>
      <c r="M293" t="s">
        <v>51</v>
      </c>
      <c r="N293" t="s">
        <v>262</v>
      </c>
      <c r="O293" t="s">
        <v>2868</v>
      </c>
      <c r="P293">
        <v>6972.2335999999996</v>
      </c>
      <c r="Q293">
        <v>2020.0288</v>
      </c>
      <c r="R293">
        <v>0.28972477342124597</v>
      </c>
      <c r="S293">
        <v>0.69753489193406304</v>
      </c>
      <c r="T293">
        <v>35</v>
      </c>
      <c r="U293" t="s">
        <v>2826</v>
      </c>
    </row>
    <row r="294" spans="1:21" x14ac:dyDescent="0.3">
      <c r="A294">
        <v>293</v>
      </c>
      <c r="B294" t="s">
        <v>2175</v>
      </c>
      <c r="C294" t="s">
        <v>38</v>
      </c>
      <c r="D294">
        <v>1</v>
      </c>
      <c r="E294" t="s">
        <v>38</v>
      </c>
      <c r="F294">
        <v>1</v>
      </c>
      <c r="G294" t="s">
        <v>38</v>
      </c>
      <c r="H294" t="s">
        <v>38</v>
      </c>
      <c r="I294">
        <v>0</v>
      </c>
      <c r="J294" t="s">
        <v>38</v>
      </c>
      <c r="K294">
        <v>0</v>
      </c>
      <c r="L294">
        <v>2.9505977573973498E-3</v>
      </c>
      <c r="M294" t="s">
        <v>38</v>
      </c>
      <c r="O294" t="s">
        <v>2838</v>
      </c>
      <c r="P294">
        <v>4671.0663999999997</v>
      </c>
      <c r="Q294">
        <v>4637.4332000000004</v>
      </c>
      <c r="R294">
        <v>0.99279967418146797</v>
      </c>
      <c r="S294">
        <v>1.32339361819903E-2</v>
      </c>
      <c r="T294">
        <v>1</v>
      </c>
      <c r="U294" t="s">
        <v>2826</v>
      </c>
    </row>
    <row r="295" spans="1:21" x14ac:dyDescent="0.3">
      <c r="A295">
        <v>294</v>
      </c>
      <c r="B295" t="s">
        <v>302</v>
      </c>
      <c r="C295" t="s">
        <v>38</v>
      </c>
      <c r="D295">
        <v>1</v>
      </c>
      <c r="E295" t="s">
        <v>38</v>
      </c>
      <c r="F295">
        <v>1</v>
      </c>
      <c r="G295" t="s">
        <v>38</v>
      </c>
      <c r="H295" t="s">
        <v>38</v>
      </c>
      <c r="I295">
        <v>0</v>
      </c>
      <c r="J295" t="s">
        <v>38</v>
      </c>
      <c r="K295">
        <v>0</v>
      </c>
      <c r="L295">
        <v>0</v>
      </c>
      <c r="M295" t="s">
        <v>38</v>
      </c>
      <c r="O295" t="s">
        <v>2838</v>
      </c>
      <c r="P295">
        <v>607.48800000000006</v>
      </c>
      <c r="Q295">
        <v>601.39200000000005</v>
      </c>
      <c r="R295">
        <v>0.98996523388116298</v>
      </c>
      <c r="S295">
        <v>1.4373005117095701E-2</v>
      </c>
      <c r="T295">
        <v>1</v>
      </c>
      <c r="U295" t="s">
        <v>2826</v>
      </c>
    </row>
    <row r="296" spans="1:21" x14ac:dyDescent="0.3">
      <c r="A296">
        <v>295</v>
      </c>
      <c r="B296" t="s">
        <v>555</v>
      </c>
      <c r="C296" t="s">
        <v>38</v>
      </c>
      <c r="D296">
        <v>1</v>
      </c>
      <c r="E296" t="s">
        <v>38</v>
      </c>
      <c r="F296">
        <v>1</v>
      </c>
      <c r="G296" t="s">
        <v>38</v>
      </c>
      <c r="H296" t="s">
        <v>38</v>
      </c>
      <c r="I296">
        <v>0</v>
      </c>
      <c r="J296" t="s">
        <v>38</v>
      </c>
      <c r="K296">
        <v>0</v>
      </c>
      <c r="L296">
        <v>4.7494531011142097E-3</v>
      </c>
      <c r="M296" t="s">
        <v>38</v>
      </c>
      <c r="O296" t="s">
        <v>2838</v>
      </c>
      <c r="P296">
        <v>41251.817999999999</v>
      </c>
      <c r="Q296">
        <v>40919.995600000002</v>
      </c>
      <c r="R296">
        <v>0.99195617511936096</v>
      </c>
      <c r="S296">
        <v>1.7282223946704301E-2</v>
      </c>
      <c r="T296">
        <v>1</v>
      </c>
      <c r="U296" t="s">
        <v>2826</v>
      </c>
    </row>
    <row r="297" spans="1:21" x14ac:dyDescent="0.3">
      <c r="A297">
        <v>296</v>
      </c>
      <c r="B297" t="s">
        <v>830</v>
      </c>
      <c r="C297" t="s">
        <v>38</v>
      </c>
      <c r="D297">
        <v>0</v>
      </c>
      <c r="E297" t="s">
        <v>38</v>
      </c>
      <c r="F297">
        <v>0</v>
      </c>
      <c r="G297" t="s">
        <v>38</v>
      </c>
      <c r="H297" t="s">
        <v>38</v>
      </c>
      <c r="I297">
        <v>0</v>
      </c>
      <c r="J297" t="s">
        <v>38</v>
      </c>
      <c r="K297">
        <v>0</v>
      </c>
      <c r="L297">
        <v>1.59636346096751E-3</v>
      </c>
      <c r="M297" t="s">
        <v>38</v>
      </c>
      <c r="O297" t="s">
        <v>2838</v>
      </c>
      <c r="P297">
        <v>2677.2</v>
      </c>
      <c r="Q297">
        <v>2670.3191999999999</v>
      </c>
      <c r="R297">
        <v>0.99742985208426704</v>
      </c>
      <c r="S297">
        <v>4.6549515634505103E-3</v>
      </c>
      <c r="T297">
        <v>0</v>
      </c>
      <c r="U297" t="s">
        <v>2826</v>
      </c>
    </row>
    <row r="298" spans="1:21" x14ac:dyDescent="0.3">
      <c r="A298">
        <v>297</v>
      </c>
      <c r="B298" t="s">
        <v>166</v>
      </c>
      <c r="C298" t="s">
        <v>38</v>
      </c>
      <c r="D298">
        <v>1</v>
      </c>
      <c r="E298" t="s">
        <v>38</v>
      </c>
      <c r="F298">
        <v>1</v>
      </c>
      <c r="G298" t="s">
        <v>38</v>
      </c>
      <c r="H298" t="s">
        <v>38</v>
      </c>
      <c r="I298">
        <v>0</v>
      </c>
      <c r="J298" t="s">
        <v>38</v>
      </c>
      <c r="K298">
        <v>0</v>
      </c>
      <c r="L298">
        <v>1.5907705810303901E-3</v>
      </c>
      <c r="M298" t="s">
        <v>38</v>
      </c>
      <c r="O298" t="s">
        <v>2838</v>
      </c>
      <c r="P298">
        <v>8634.3688000000002</v>
      </c>
      <c r="Q298">
        <v>8543.5324000000001</v>
      </c>
      <c r="R298">
        <v>0.98947967105597801</v>
      </c>
      <c r="S298">
        <v>1.7743030122629601E-2</v>
      </c>
      <c r="T298">
        <v>1</v>
      </c>
      <c r="U298" t="s">
        <v>2826</v>
      </c>
    </row>
    <row r="299" spans="1:21" x14ac:dyDescent="0.3">
      <c r="A299">
        <v>298</v>
      </c>
      <c r="B299" t="s">
        <v>1321</v>
      </c>
      <c r="C299" t="s">
        <v>38</v>
      </c>
      <c r="D299">
        <v>1</v>
      </c>
      <c r="E299" t="s">
        <v>38</v>
      </c>
      <c r="F299">
        <v>1</v>
      </c>
      <c r="G299" t="s">
        <v>38</v>
      </c>
      <c r="H299" t="s">
        <v>38</v>
      </c>
      <c r="I299">
        <v>0</v>
      </c>
      <c r="J299" t="s">
        <v>38</v>
      </c>
      <c r="K299">
        <v>0</v>
      </c>
      <c r="L299">
        <v>3.1285673454592901E-3</v>
      </c>
      <c r="M299" t="s">
        <v>38</v>
      </c>
      <c r="O299" t="s">
        <v>2838</v>
      </c>
      <c r="P299">
        <v>41250.668400000002</v>
      </c>
      <c r="Q299">
        <v>40909.9712</v>
      </c>
      <c r="R299">
        <v>0.99174080776834195</v>
      </c>
      <c r="S299">
        <v>1.04837234445636E-2</v>
      </c>
      <c r="T299">
        <v>1</v>
      </c>
      <c r="U299" t="s">
        <v>2826</v>
      </c>
    </row>
    <row r="300" spans="1:21" x14ac:dyDescent="0.3">
      <c r="A300">
        <v>299</v>
      </c>
      <c r="B300" t="s">
        <v>2447</v>
      </c>
      <c r="C300" t="s">
        <v>38</v>
      </c>
      <c r="D300">
        <v>1</v>
      </c>
      <c r="E300" t="s">
        <v>38</v>
      </c>
      <c r="F300">
        <v>1</v>
      </c>
      <c r="G300" t="s">
        <v>38</v>
      </c>
      <c r="H300" t="s">
        <v>38</v>
      </c>
      <c r="I300">
        <v>0</v>
      </c>
      <c r="J300" t="s">
        <v>38</v>
      </c>
      <c r="K300">
        <v>0</v>
      </c>
      <c r="L300" s="18">
        <v>6.9440513301086205E-5</v>
      </c>
      <c r="M300" t="s">
        <v>38</v>
      </c>
      <c r="O300" t="s">
        <v>2838</v>
      </c>
      <c r="P300">
        <v>20205.945199999998</v>
      </c>
      <c r="Q300">
        <v>20074.736400000002</v>
      </c>
      <c r="R300">
        <v>0.99350642601960504</v>
      </c>
      <c r="S300">
        <v>1.02364808296635E-2</v>
      </c>
      <c r="T300">
        <v>1</v>
      </c>
      <c r="U300" t="s">
        <v>2826</v>
      </c>
    </row>
    <row r="301" spans="1:21" x14ac:dyDescent="0.3">
      <c r="A301">
        <v>300</v>
      </c>
      <c r="B301" t="s">
        <v>151</v>
      </c>
      <c r="C301" t="s">
        <v>38</v>
      </c>
      <c r="D301">
        <v>2</v>
      </c>
      <c r="E301" t="s">
        <v>38</v>
      </c>
      <c r="F301">
        <v>1</v>
      </c>
      <c r="G301" t="s">
        <v>38</v>
      </c>
      <c r="H301" t="s">
        <v>38</v>
      </c>
      <c r="I301">
        <v>0</v>
      </c>
      <c r="J301" t="s">
        <v>38</v>
      </c>
      <c r="K301">
        <v>0</v>
      </c>
      <c r="L301">
        <v>1.04361789758885E-3</v>
      </c>
      <c r="M301" t="s">
        <v>38</v>
      </c>
      <c r="O301" t="s">
        <v>2838</v>
      </c>
      <c r="P301">
        <v>8321.3631999999998</v>
      </c>
      <c r="Q301">
        <v>8164.2907999999998</v>
      </c>
      <c r="R301">
        <v>0.98112419849670796</v>
      </c>
      <c r="S301">
        <v>1.9007056272439898E-2</v>
      </c>
      <c r="T301">
        <v>1</v>
      </c>
      <c r="U301" t="s">
        <v>2826</v>
      </c>
    </row>
    <row r="302" spans="1:21" x14ac:dyDescent="0.3">
      <c r="A302">
        <v>301</v>
      </c>
      <c r="B302" t="s">
        <v>316</v>
      </c>
      <c r="C302" t="s">
        <v>38</v>
      </c>
      <c r="D302">
        <v>8</v>
      </c>
      <c r="E302" t="s">
        <v>38</v>
      </c>
      <c r="F302">
        <v>4</v>
      </c>
      <c r="G302" t="s">
        <v>38</v>
      </c>
      <c r="H302" t="s">
        <v>38</v>
      </c>
      <c r="I302">
        <v>0.1</v>
      </c>
      <c r="J302" t="s">
        <v>38</v>
      </c>
      <c r="K302">
        <v>0</v>
      </c>
      <c r="L302">
        <v>6.0420413669064795E-4</v>
      </c>
      <c r="M302" t="s">
        <v>38</v>
      </c>
      <c r="O302" t="s">
        <v>2825</v>
      </c>
      <c r="P302">
        <v>742.69320000000005</v>
      </c>
      <c r="Q302">
        <v>683.21280000000002</v>
      </c>
      <c r="R302">
        <v>0.91991255608641598</v>
      </c>
      <c r="S302">
        <v>8.4522965923370497E-2</v>
      </c>
      <c r="T302">
        <v>4</v>
      </c>
      <c r="U302" t="s">
        <v>2826</v>
      </c>
    </row>
    <row r="303" spans="1:21" x14ac:dyDescent="0.3">
      <c r="A303">
        <v>302</v>
      </c>
      <c r="B303" t="s">
        <v>1778</v>
      </c>
      <c r="C303" t="s">
        <v>38</v>
      </c>
      <c r="D303">
        <v>1</v>
      </c>
      <c r="E303" t="s">
        <v>38</v>
      </c>
      <c r="F303">
        <v>1</v>
      </c>
      <c r="G303" t="s">
        <v>38</v>
      </c>
      <c r="H303" t="s">
        <v>38</v>
      </c>
      <c r="I303">
        <v>0</v>
      </c>
      <c r="J303" t="s">
        <v>38</v>
      </c>
      <c r="K303">
        <v>0</v>
      </c>
      <c r="L303">
        <v>7.01702646895664E-4</v>
      </c>
      <c r="M303" t="s">
        <v>38</v>
      </c>
      <c r="O303" t="s">
        <v>2838</v>
      </c>
      <c r="P303">
        <v>17149.5756</v>
      </c>
      <c r="Q303">
        <v>16965.020799999998</v>
      </c>
      <c r="R303">
        <v>0.98923852086462105</v>
      </c>
      <c r="S303">
        <v>1.1228358731801899E-2</v>
      </c>
      <c r="T303">
        <v>1</v>
      </c>
      <c r="U303" t="s">
        <v>2826</v>
      </c>
    </row>
    <row r="304" spans="1:21" x14ac:dyDescent="0.3">
      <c r="A304">
        <v>303</v>
      </c>
      <c r="B304" t="s">
        <v>1490</v>
      </c>
      <c r="C304" t="s">
        <v>38</v>
      </c>
      <c r="D304">
        <v>0</v>
      </c>
      <c r="E304" t="s">
        <v>38</v>
      </c>
      <c r="F304">
        <v>0</v>
      </c>
      <c r="G304" t="s">
        <v>38</v>
      </c>
      <c r="H304" t="s">
        <v>38</v>
      </c>
      <c r="I304">
        <v>0</v>
      </c>
      <c r="J304" t="s">
        <v>38</v>
      </c>
      <c r="K304">
        <v>0</v>
      </c>
      <c r="L304">
        <v>1.2904095694709801E-3</v>
      </c>
      <c r="M304" t="s">
        <v>38</v>
      </c>
      <c r="O304" t="s">
        <v>2838</v>
      </c>
      <c r="P304">
        <v>11734.275600000001</v>
      </c>
      <c r="Q304">
        <v>11706.3608</v>
      </c>
      <c r="R304">
        <v>0.99762108877006395</v>
      </c>
      <c r="S304">
        <v>3.28876249482284E-3</v>
      </c>
      <c r="T304">
        <v>0</v>
      </c>
      <c r="U304" t="s">
        <v>2826</v>
      </c>
    </row>
    <row r="305" spans="1:21" x14ac:dyDescent="0.3">
      <c r="A305">
        <v>304</v>
      </c>
      <c r="B305" t="s">
        <v>673</v>
      </c>
      <c r="C305" t="s">
        <v>38</v>
      </c>
      <c r="D305">
        <v>5</v>
      </c>
      <c r="E305" t="s">
        <v>38</v>
      </c>
      <c r="F305">
        <v>2</v>
      </c>
      <c r="G305" t="s">
        <v>38</v>
      </c>
      <c r="H305" t="s">
        <v>38</v>
      </c>
      <c r="I305">
        <v>0</v>
      </c>
      <c r="J305" t="s">
        <v>38</v>
      </c>
      <c r="K305">
        <v>0</v>
      </c>
      <c r="L305">
        <v>6.5096200453713896E-3</v>
      </c>
      <c r="M305" t="s">
        <v>38</v>
      </c>
      <c r="O305" t="s">
        <v>2838</v>
      </c>
      <c r="P305">
        <v>42273.727200000001</v>
      </c>
      <c r="Q305">
        <v>40004.239600000001</v>
      </c>
      <c r="R305">
        <v>0.94631446644714101</v>
      </c>
      <c r="S305">
        <v>4.2023270495740499E-2</v>
      </c>
      <c r="T305">
        <v>2</v>
      </c>
      <c r="U305" t="s">
        <v>2826</v>
      </c>
    </row>
    <row r="306" spans="1:21" x14ac:dyDescent="0.3">
      <c r="A306">
        <v>305</v>
      </c>
      <c r="B306" t="s">
        <v>308</v>
      </c>
      <c r="C306" t="s">
        <v>38</v>
      </c>
      <c r="D306">
        <v>4</v>
      </c>
      <c r="E306" t="s">
        <v>38</v>
      </c>
      <c r="F306">
        <v>1</v>
      </c>
      <c r="G306" t="s">
        <v>38</v>
      </c>
      <c r="H306" t="s">
        <v>38</v>
      </c>
      <c r="I306">
        <v>0</v>
      </c>
      <c r="J306" t="s">
        <v>38</v>
      </c>
      <c r="K306">
        <v>0</v>
      </c>
      <c r="L306">
        <v>1.1716436384864E-3</v>
      </c>
      <c r="M306" t="s">
        <v>38</v>
      </c>
      <c r="O306" t="s">
        <v>2838</v>
      </c>
      <c r="P306">
        <v>49834.434399999998</v>
      </c>
      <c r="Q306">
        <v>48084.245199999998</v>
      </c>
      <c r="R306">
        <v>0.96487992246581999</v>
      </c>
      <c r="S306">
        <v>2.1665814166706401E-2</v>
      </c>
      <c r="T306">
        <v>1</v>
      </c>
      <c r="U306" t="s">
        <v>2826</v>
      </c>
    </row>
    <row r="307" spans="1:21" x14ac:dyDescent="0.3">
      <c r="A307">
        <v>306</v>
      </c>
      <c r="B307" t="s">
        <v>2453</v>
      </c>
      <c r="C307" t="s">
        <v>38</v>
      </c>
      <c r="D307">
        <v>0</v>
      </c>
      <c r="E307" t="s">
        <v>38</v>
      </c>
      <c r="F307">
        <v>0</v>
      </c>
      <c r="G307" t="s">
        <v>38</v>
      </c>
      <c r="H307" t="s">
        <v>38</v>
      </c>
      <c r="I307">
        <v>0</v>
      </c>
      <c r="J307" t="s">
        <v>38</v>
      </c>
      <c r="K307">
        <v>0</v>
      </c>
      <c r="L307">
        <v>2.8081711011788699E-3</v>
      </c>
      <c r="M307" t="s">
        <v>38</v>
      </c>
      <c r="O307" t="s">
        <v>2838</v>
      </c>
      <c r="P307">
        <v>1673.7739999999999</v>
      </c>
      <c r="Q307">
        <v>1666.85</v>
      </c>
      <c r="R307">
        <v>0.99586324079595001</v>
      </c>
      <c r="S307">
        <v>8.0848871715066203E-3</v>
      </c>
      <c r="T307">
        <v>0</v>
      </c>
      <c r="U307" t="s">
        <v>2826</v>
      </c>
    </row>
    <row r="308" spans="1:21" x14ac:dyDescent="0.3">
      <c r="A308">
        <v>307</v>
      </c>
      <c r="B308" t="s">
        <v>1684</v>
      </c>
      <c r="C308" t="s">
        <v>38</v>
      </c>
      <c r="D308">
        <v>1</v>
      </c>
      <c r="E308" t="s">
        <v>38</v>
      </c>
      <c r="F308">
        <v>0</v>
      </c>
      <c r="G308" t="s">
        <v>38</v>
      </c>
      <c r="H308" t="s">
        <v>38</v>
      </c>
      <c r="I308">
        <v>0</v>
      </c>
      <c r="J308" t="s">
        <v>38</v>
      </c>
      <c r="K308">
        <v>0</v>
      </c>
      <c r="L308" t="s">
        <v>2840</v>
      </c>
      <c r="M308" t="s">
        <v>38</v>
      </c>
      <c r="O308" t="s">
        <v>2859</v>
      </c>
      <c r="P308">
        <v>129.90559999999999</v>
      </c>
      <c r="Q308">
        <v>129.15479999999999</v>
      </c>
      <c r="R308">
        <v>0.99422041851929399</v>
      </c>
      <c r="S308">
        <v>6.2493431911331198E-3</v>
      </c>
      <c r="T308">
        <v>0</v>
      </c>
      <c r="U308" t="s">
        <v>2826</v>
      </c>
    </row>
    <row r="309" spans="1:21" x14ac:dyDescent="0.3">
      <c r="A309">
        <v>308</v>
      </c>
      <c r="B309" t="s">
        <v>939</v>
      </c>
      <c r="C309" t="s">
        <v>38</v>
      </c>
      <c r="D309">
        <v>3</v>
      </c>
      <c r="E309" t="s">
        <v>38</v>
      </c>
      <c r="F309">
        <v>1</v>
      </c>
      <c r="G309" t="s">
        <v>38</v>
      </c>
      <c r="H309" t="s">
        <v>38</v>
      </c>
      <c r="I309">
        <v>0</v>
      </c>
      <c r="J309" t="s">
        <v>38</v>
      </c>
      <c r="K309">
        <v>0</v>
      </c>
      <c r="L309">
        <v>1.8416580589170401E-4</v>
      </c>
      <c r="M309" t="s">
        <v>38</v>
      </c>
      <c r="O309" t="s">
        <v>2836</v>
      </c>
      <c r="P309">
        <v>1320.886</v>
      </c>
      <c r="Q309">
        <v>1298.8296</v>
      </c>
      <c r="R309">
        <v>0.98330181408539397</v>
      </c>
      <c r="S309">
        <v>1.4947451175107301E-2</v>
      </c>
      <c r="T309">
        <v>1</v>
      </c>
      <c r="U309" t="s">
        <v>2826</v>
      </c>
    </row>
    <row r="310" spans="1:21" x14ac:dyDescent="0.3">
      <c r="A310">
        <v>309</v>
      </c>
      <c r="B310" t="s">
        <v>517</v>
      </c>
      <c r="C310" t="s">
        <v>38</v>
      </c>
      <c r="D310">
        <v>0</v>
      </c>
      <c r="E310" t="s">
        <v>38</v>
      </c>
      <c r="F310">
        <v>0</v>
      </c>
      <c r="G310" t="s">
        <v>38</v>
      </c>
      <c r="H310" t="s">
        <v>38</v>
      </c>
      <c r="I310">
        <v>0</v>
      </c>
      <c r="J310" t="s">
        <v>38</v>
      </c>
      <c r="K310">
        <v>0</v>
      </c>
      <c r="L310">
        <v>1.58346304225032E-3</v>
      </c>
      <c r="M310" t="s">
        <v>38</v>
      </c>
      <c r="O310" t="s">
        <v>2838</v>
      </c>
      <c r="P310">
        <v>983.548</v>
      </c>
      <c r="Q310">
        <v>979.37239999999997</v>
      </c>
      <c r="R310">
        <v>0.99575455392111001</v>
      </c>
      <c r="S310">
        <v>7.3267703942449603E-3</v>
      </c>
      <c r="T310">
        <v>0</v>
      </c>
      <c r="U310" t="s">
        <v>2826</v>
      </c>
    </row>
    <row r="311" spans="1:21" x14ac:dyDescent="0.3">
      <c r="A311">
        <v>310</v>
      </c>
      <c r="B311" t="s">
        <v>2181</v>
      </c>
      <c r="C311" t="s">
        <v>38</v>
      </c>
      <c r="D311">
        <v>15</v>
      </c>
      <c r="E311" t="s">
        <v>38</v>
      </c>
      <c r="F311">
        <v>5</v>
      </c>
      <c r="G311" t="s">
        <v>38</v>
      </c>
      <c r="H311" t="s">
        <v>38</v>
      </c>
      <c r="I311">
        <v>0.1</v>
      </c>
      <c r="J311" t="s">
        <v>38</v>
      </c>
      <c r="K311">
        <v>0</v>
      </c>
      <c r="L311">
        <v>6.8096454218207697E-3</v>
      </c>
      <c r="M311" t="s">
        <v>38</v>
      </c>
      <c r="O311" t="s">
        <v>2836</v>
      </c>
      <c r="P311">
        <v>988.53</v>
      </c>
      <c r="Q311">
        <v>829.17679999999996</v>
      </c>
      <c r="R311">
        <v>0.83879781089091898</v>
      </c>
      <c r="S311">
        <v>0.106452992408834</v>
      </c>
      <c r="T311">
        <v>5</v>
      </c>
      <c r="U311" t="s">
        <v>2826</v>
      </c>
    </row>
    <row r="312" spans="1:21" x14ac:dyDescent="0.3">
      <c r="A312">
        <v>311</v>
      </c>
      <c r="B312" t="s">
        <v>2187</v>
      </c>
      <c r="C312" t="s">
        <v>38</v>
      </c>
      <c r="D312">
        <v>6</v>
      </c>
      <c r="E312" t="s">
        <v>38</v>
      </c>
      <c r="F312">
        <v>3</v>
      </c>
      <c r="G312" t="s">
        <v>38</v>
      </c>
      <c r="H312" t="s">
        <v>38</v>
      </c>
      <c r="I312">
        <v>0.1</v>
      </c>
      <c r="J312" t="s">
        <v>38</v>
      </c>
      <c r="K312">
        <v>0</v>
      </c>
      <c r="L312">
        <v>2.78440173937439E-3</v>
      </c>
      <c r="M312" t="s">
        <v>38</v>
      </c>
      <c r="O312" t="s">
        <v>2836</v>
      </c>
      <c r="P312">
        <v>59.8264</v>
      </c>
      <c r="Q312">
        <v>57.031999999999996</v>
      </c>
      <c r="R312">
        <v>0.95329152347458601</v>
      </c>
      <c r="S312">
        <v>6.3787778854147395E-2</v>
      </c>
      <c r="T312">
        <v>3</v>
      </c>
      <c r="U312" t="s">
        <v>2826</v>
      </c>
    </row>
    <row r="313" spans="1:21" x14ac:dyDescent="0.3">
      <c r="A313">
        <v>312</v>
      </c>
      <c r="B313" t="s">
        <v>1893</v>
      </c>
      <c r="C313" t="s">
        <v>38</v>
      </c>
      <c r="D313">
        <v>28</v>
      </c>
      <c r="E313" t="s">
        <v>38</v>
      </c>
      <c r="F313">
        <v>14</v>
      </c>
      <c r="G313" t="s">
        <v>38</v>
      </c>
      <c r="H313" t="s">
        <v>38</v>
      </c>
      <c r="I313">
        <v>0.3</v>
      </c>
      <c r="J313" t="s">
        <v>38</v>
      </c>
      <c r="K313">
        <v>0</v>
      </c>
      <c r="L313">
        <v>2.2625499384080199E-2</v>
      </c>
      <c r="M313" t="s">
        <v>38</v>
      </c>
      <c r="O313" t="s">
        <v>2836</v>
      </c>
      <c r="P313">
        <v>185.21360000000001</v>
      </c>
      <c r="Q313">
        <v>130.8612</v>
      </c>
      <c r="R313">
        <v>0.70654206818505805</v>
      </c>
      <c r="S313">
        <v>0.28966674154685801</v>
      </c>
      <c r="T313">
        <v>14</v>
      </c>
      <c r="U313" t="s">
        <v>2826</v>
      </c>
    </row>
    <row r="314" spans="1:21" x14ac:dyDescent="0.3">
      <c r="A314">
        <v>313</v>
      </c>
      <c r="B314" t="s">
        <v>700</v>
      </c>
      <c r="C314" t="s">
        <v>51</v>
      </c>
      <c r="D314">
        <v>76</v>
      </c>
      <c r="E314" t="s">
        <v>76</v>
      </c>
      <c r="F314">
        <v>43</v>
      </c>
      <c r="G314" t="s">
        <v>106</v>
      </c>
      <c r="H314" t="s">
        <v>106</v>
      </c>
      <c r="I314">
        <v>0.9</v>
      </c>
      <c r="J314" t="s">
        <v>38</v>
      </c>
      <c r="K314">
        <v>0</v>
      </c>
      <c r="L314">
        <v>6.3331222292590302E-4</v>
      </c>
      <c r="M314" t="s">
        <v>106</v>
      </c>
      <c r="N314" t="s">
        <v>706</v>
      </c>
      <c r="O314" t="s">
        <v>2842</v>
      </c>
      <c r="P314">
        <v>2.86</v>
      </c>
      <c r="Q314">
        <v>0.61439999999999995</v>
      </c>
      <c r="R314">
        <v>0.220839160839161</v>
      </c>
      <c r="S314">
        <v>0.869360902255639</v>
      </c>
      <c r="T314">
        <v>43</v>
      </c>
      <c r="U314" t="s">
        <v>2826</v>
      </c>
    </row>
    <row r="315" spans="1:21" x14ac:dyDescent="0.3">
      <c r="A315">
        <v>314</v>
      </c>
      <c r="B315" t="s">
        <v>1016</v>
      </c>
      <c r="C315" t="s">
        <v>38</v>
      </c>
      <c r="D315">
        <v>2</v>
      </c>
      <c r="E315" t="s">
        <v>38</v>
      </c>
      <c r="F315">
        <v>2</v>
      </c>
      <c r="G315" t="s">
        <v>38</v>
      </c>
      <c r="H315" t="s">
        <v>38</v>
      </c>
      <c r="I315">
        <v>0</v>
      </c>
      <c r="J315" t="s">
        <v>38</v>
      </c>
      <c r="K315">
        <v>0</v>
      </c>
      <c r="L315">
        <v>3.5371269971218002E-4</v>
      </c>
      <c r="M315" t="s">
        <v>38</v>
      </c>
      <c r="O315" t="s">
        <v>2838</v>
      </c>
      <c r="P315">
        <v>142.76560000000001</v>
      </c>
      <c r="Q315">
        <v>140.2268</v>
      </c>
      <c r="R315">
        <v>0.98221700465658401</v>
      </c>
      <c r="S315">
        <v>4.2140483285916401E-2</v>
      </c>
      <c r="T315">
        <v>2</v>
      </c>
      <c r="U315" t="s">
        <v>2826</v>
      </c>
    </row>
    <row r="316" spans="1:21" x14ac:dyDescent="0.3">
      <c r="A316">
        <v>315</v>
      </c>
      <c r="B316" t="s">
        <v>1365</v>
      </c>
      <c r="C316" t="s">
        <v>38</v>
      </c>
      <c r="D316">
        <v>3</v>
      </c>
      <c r="E316" t="s">
        <v>38</v>
      </c>
      <c r="F316">
        <v>1</v>
      </c>
      <c r="G316" t="s">
        <v>38</v>
      </c>
      <c r="H316" t="s">
        <v>38</v>
      </c>
      <c r="I316">
        <v>0</v>
      </c>
      <c r="J316" t="s">
        <v>38</v>
      </c>
      <c r="K316">
        <v>0</v>
      </c>
      <c r="L316" s="18">
        <v>4.9196372086272703E-5</v>
      </c>
      <c r="M316" t="s">
        <v>38</v>
      </c>
      <c r="O316" t="s">
        <v>2838</v>
      </c>
      <c r="P316">
        <v>7582.1624000000002</v>
      </c>
      <c r="Q316">
        <v>7342.0047999999997</v>
      </c>
      <c r="R316">
        <v>0.96832597518618202</v>
      </c>
      <c r="S316">
        <v>1.2980613483179399E-2</v>
      </c>
      <c r="T316">
        <v>1</v>
      </c>
      <c r="U316" t="s">
        <v>2826</v>
      </c>
    </row>
    <row r="317" spans="1:21" x14ac:dyDescent="0.3">
      <c r="A317">
        <v>316</v>
      </c>
      <c r="B317" t="s">
        <v>1532</v>
      </c>
      <c r="C317" t="s">
        <v>38</v>
      </c>
      <c r="D317">
        <v>1</v>
      </c>
      <c r="E317" t="s">
        <v>38</v>
      </c>
      <c r="F317">
        <v>0</v>
      </c>
      <c r="G317" t="s">
        <v>38</v>
      </c>
      <c r="H317" t="s">
        <v>38</v>
      </c>
      <c r="I317">
        <v>0</v>
      </c>
      <c r="J317" t="s">
        <v>38</v>
      </c>
      <c r="K317">
        <v>0</v>
      </c>
      <c r="L317">
        <v>0</v>
      </c>
      <c r="M317" t="s">
        <v>38</v>
      </c>
      <c r="O317" t="s">
        <v>2838</v>
      </c>
      <c r="P317">
        <v>539.33240000000001</v>
      </c>
      <c r="Q317">
        <v>534.20360000000005</v>
      </c>
      <c r="R317">
        <v>0.99049046562008902</v>
      </c>
      <c r="S317">
        <v>7.0949080645594798E-3</v>
      </c>
      <c r="T317">
        <v>0</v>
      </c>
      <c r="U317" t="s">
        <v>2826</v>
      </c>
    </row>
    <row r="318" spans="1:21" x14ac:dyDescent="0.3">
      <c r="A318">
        <v>317</v>
      </c>
      <c r="B318" t="s">
        <v>957</v>
      </c>
      <c r="C318" t="s">
        <v>38</v>
      </c>
      <c r="D318">
        <v>7</v>
      </c>
      <c r="E318" t="s">
        <v>38</v>
      </c>
      <c r="F318">
        <v>1</v>
      </c>
      <c r="G318" t="s">
        <v>38</v>
      </c>
      <c r="H318" t="s">
        <v>38</v>
      </c>
      <c r="I318">
        <v>0</v>
      </c>
      <c r="J318" t="s">
        <v>38</v>
      </c>
      <c r="K318">
        <v>0</v>
      </c>
      <c r="L318" s="18">
        <v>7.6512682011633206E-5</v>
      </c>
      <c r="M318" t="s">
        <v>38</v>
      </c>
      <c r="O318" t="s">
        <v>2838</v>
      </c>
      <c r="P318">
        <v>3107.9960000000001</v>
      </c>
      <c r="Q318">
        <v>2891.0239999999999</v>
      </c>
      <c r="R318">
        <v>0.93018909934246996</v>
      </c>
      <c r="S318">
        <v>2.9535900181497401E-2</v>
      </c>
      <c r="T318">
        <v>1</v>
      </c>
      <c r="U318" t="s">
        <v>2826</v>
      </c>
    </row>
    <row r="319" spans="1:21" x14ac:dyDescent="0.3">
      <c r="A319">
        <v>318</v>
      </c>
      <c r="B319" t="s">
        <v>1700</v>
      </c>
      <c r="C319" t="s">
        <v>38</v>
      </c>
      <c r="D319">
        <v>9</v>
      </c>
      <c r="E319" t="s">
        <v>38</v>
      </c>
      <c r="F319">
        <v>2</v>
      </c>
      <c r="G319" t="s">
        <v>38</v>
      </c>
      <c r="H319" t="s">
        <v>38</v>
      </c>
      <c r="I319">
        <v>0</v>
      </c>
      <c r="J319" t="s">
        <v>38</v>
      </c>
      <c r="K319">
        <v>0</v>
      </c>
      <c r="L319" s="18">
        <v>3.80680798713718E-5</v>
      </c>
      <c r="M319" t="s">
        <v>38</v>
      </c>
      <c r="O319" t="s">
        <v>2838</v>
      </c>
      <c r="P319">
        <v>5040.6135999999997</v>
      </c>
      <c r="Q319">
        <v>4581.2659999999996</v>
      </c>
      <c r="R319">
        <v>0.90887069780552099</v>
      </c>
      <c r="S319">
        <v>3.45540500821074E-2</v>
      </c>
      <c r="T319">
        <v>2</v>
      </c>
      <c r="U319" t="s">
        <v>2826</v>
      </c>
    </row>
    <row r="320" spans="1:21" x14ac:dyDescent="0.3">
      <c r="A320">
        <v>319</v>
      </c>
      <c r="B320" t="s">
        <v>1168</v>
      </c>
      <c r="C320" t="s">
        <v>38</v>
      </c>
      <c r="D320">
        <v>0</v>
      </c>
      <c r="E320" t="s">
        <v>38</v>
      </c>
      <c r="F320">
        <v>1</v>
      </c>
      <c r="G320" t="s">
        <v>38</v>
      </c>
      <c r="H320" t="s">
        <v>38</v>
      </c>
      <c r="I320">
        <v>0</v>
      </c>
      <c r="J320" t="s">
        <v>38</v>
      </c>
      <c r="K320">
        <v>0</v>
      </c>
      <c r="L320">
        <v>0</v>
      </c>
      <c r="M320" t="s">
        <v>38</v>
      </c>
      <c r="O320" t="s">
        <v>2838</v>
      </c>
      <c r="P320">
        <v>653.34360000000004</v>
      </c>
      <c r="Q320">
        <v>650.53840000000002</v>
      </c>
      <c r="R320">
        <v>0.99570639400156402</v>
      </c>
      <c r="S320">
        <v>1.0608890572013E-2</v>
      </c>
      <c r="T320">
        <v>1</v>
      </c>
      <c r="U320" t="s">
        <v>2826</v>
      </c>
    </row>
    <row r="321" spans="1:21" x14ac:dyDescent="0.3">
      <c r="A321">
        <v>320</v>
      </c>
      <c r="B321" t="s">
        <v>1036</v>
      </c>
      <c r="C321" t="s">
        <v>38</v>
      </c>
      <c r="D321">
        <v>1</v>
      </c>
      <c r="E321" t="s">
        <v>38</v>
      </c>
      <c r="F321">
        <v>0</v>
      </c>
      <c r="G321" t="s">
        <v>38</v>
      </c>
      <c r="H321" t="s">
        <v>38</v>
      </c>
      <c r="I321">
        <v>0</v>
      </c>
      <c r="J321" t="s">
        <v>38</v>
      </c>
      <c r="K321">
        <v>0</v>
      </c>
      <c r="L321">
        <v>4.2298202326401102E-4</v>
      </c>
      <c r="M321" t="s">
        <v>38</v>
      </c>
      <c r="O321" t="s">
        <v>2838</v>
      </c>
      <c r="P321">
        <v>396.7944</v>
      </c>
      <c r="Q321">
        <v>391.50599999999997</v>
      </c>
      <c r="R321">
        <v>0.98667219093817804</v>
      </c>
      <c r="S321">
        <v>8.9397324498538804E-3</v>
      </c>
      <c r="T321">
        <v>0</v>
      </c>
      <c r="U321" t="s">
        <v>2826</v>
      </c>
    </row>
    <row r="322" spans="1:21" x14ac:dyDescent="0.3">
      <c r="A322">
        <v>321</v>
      </c>
      <c r="B322" t="s">
        <v>2701</v>
      </c>
      <c r="C322" t="s">
        <v>38</v>
      </c>
      <c r="D322">
        <v>8</v>
      </c>
      <c r="E322" t="s">
        <v>38</v>
      </c>
      <c r="F322">
        <v>2</v>
      </c>
      <c r="G322" t="s">
        <v>38</v>
      </c>
      <c r="H322" t="s">
        <v>38</v>
      </c>
      <c r="I322">
        <v>0</v>
      </c>
      <c r="J322" t="s">
        <v>38</v>
      </c>
      <c r="K322">
        <v>0</v>
      </c>
      <c r="L322" t="s">
        <v>2840</v>
      </c>
      <c r="M322" t="s">
        <v>38</v>
      </c>
      <c r="O322" t="s">
        <v>2859</v>
      </c>
      <c r="P322">
        <v>997.14880000000005</v>
      </c>
      <c r="Q322">
        <v>907.93119999999999</v>
      </c>
      <c r="R322">
        <v>0.910527295424715</v>
      </c>
      <c r="S322">
        <v>4.0885950766092097E-2</v>
      </c>
      <c r="T322">
        <v>2</v>
      </c>
      <c r="U322" t="s">
        <v>2826</v>
      </c>
    </row>
    <row r="323" spans="1:21" x14ac:dyDescent="0.3">
      <c r="A323">
        <v>322</v>
      </c>
      <c r="B323" t="s">
        <v>2082</v>
      </c>
      <c r="C323" t="s">
        <v>38</v>
      </c>
      <c r="D323">
        <v>0</v>
      </c>
      <c r="E323" t="s">
        <v>38</v>
      </c>
      <c r="F323">
        <v>0</v>
      </c>
      <c r="G323" t="s">
        <v>38</v>
      </c>
      <c r="H323" t="s">
        <v>38</v>
      </c>
      <c r="I323">
        <v>0</v>
      </c>
      <c r="J323" t="s">
        <v>38</v>
      </c>
      <c r="K323">
        <v>0</v>
      </c>
      <c r="L323" t="s">
        <v>2840</v>
      </c>
      <c r="M323" t="s">
        <v>38</v>
      </c>
      <c r="O323" t="s">
        <v>2848</v>
      </c>
      <c r="P323">
        <v>1200.4012</v>
      </c>
      <c r="Q323">
        <v>1199.7416000000001</v>
      </c>
      <c r="R323">
        <v>0.99945051704380194</v>
      </c>
      <c r="S323">
        <v>1.17168792049548E-3</v>
      </c>
      <c r="T323">
        <v>0</v>
      </c>
      <c r="U323" t="s">
        <v>2826</v>
      </c>
    </row>
    <row r="324" spans="1:21" x14ac:dyDescent="0.3">
      <c r="A324">
        <v>323</v>
      </c>
      <c r="B324" t="s">
        <v>2192</v>
      </c>
      <c r="C324" t="s">
        <v>38</v>
      </c>
      <c r="D324">
        <v>0</v>
      </c>
      <c r="E324" t="s">
        <v>38</v>
      </c>
      <c r="F324">
        <v>0</v>
      </c>
      <c r="G324" t="s">
        <v>38</v>
      </c>
      <c r="H324" t="s">
        <v>38</v>
      </c>
      <c r="I324">
        <v>0</v>
      </c>
      <c r="J324" t="s">
        <v>38</v>
      </c>
      <c r="K324">
        <v>0</v>
      </c>
      <c r="L324" t="s">
        <v>2840</v>
      </c>
      <c r="M324" t="s">
        <v>38</v>
      </c>
      <c r="O324" t="s">
        <v>2848</v>
      </c>
      <c r="P324">
        <v>127.56959999999999</v>
      </c>
      <c r="Q324">
        <v>127.14239999999999</v>
      </c>
      <c r="R324">
        <v>0.99665123979380699</v>
      </c>
      <c r="S324">
        <v>9.56616650775329E-3</v>
      </c>
      <c r="T324">
        <v>0</v>
      </c>
      <c r="U324" t="s">
        <v>2826</v>
      </c>
    </row>
    <row r="325" spans="1:21" x14ac:dyDescent="0.3">
      <c r="A325">
        <v>324</v>
      </c>
      <c r="B325" t="s">
        <v>1784</v>
      </c>
      <c r="C325" t="s">
        <v>38</v>
      </c>
      <c r="D325">
        <v>1</v>
      </c>
      <c r="E325" t="s">
        <v>38</v>
      </c>
      <c r="F325">
        <v>1</v>
      </c>
      <c r="G325" t="s">
        <v>38</v>
      </c>
      <c r="H325" t="s">
        <v>38</v>
      </c>
      <c r="I325">
        <v>0</v>
      </c>
      <c r="J325" t="s">
        <v>38</v>
      </c>
      <c r="K325">
        <v>0</v>
      </c>
      <c r="L325" t="s">
        <v>2840</v>
      </c>
      <c r="M325" t="s">
        <v>38</v>
      </c>
      <c r="O325" t="s">
        <v>2848</v>
      </c>
      <c r="P325">
        <v>129.27520000000001</v>
      </c>
      <c r="Q325">
        <v>128.12039999999999</v>
      </c>
      <c r="R325">
        <v>0.99106711882866905</v>
      </c>
      <c r="S325">
        <v>2.1029022764838302E-2</v>
      </c>
      <c r="T325">
        <v>1</v>
      </c>
      <c r="U325" t="s">
        <v>2826</v>
      </c>
    </row>
    <row r="326" spans="1:21" x14ac:dyDescent="0.3">
      <c r="A326">
        <v>325</v>
      </c>
      <c r="B326" t="s">
        <v>1004</v>
      </c>
      <c r="C326" t="s">
        <v>38</v>
      </c>
      <c r="D326">
        <v>0</v>
      </c>
      <c r="E326" t="s">
        <v>38</v>
      </c>
      <c r="F326">
        <v>0</v>
      </c>
      <c r="G326" t="s">
        <v>38</v>
      </c>
      <c r="H326" t="s">
        <v>38</v>
      </c>
      <c r="I326">
        <v>0</v>
      </c>
      <c r="J326" t="s">
        <v>38</v>
      </c>
      <c r="K326">
        <v>0</v>
      </c>
      <c r="L326" t="s">
        <v>2840</v>
      </c>
      <c r="M326" t="s">
        <v>38</v>
      </c>
      <c r="O326" t="s">
        <v>2848</v>
      </c>
      <c r="P326">
        <v>612.14639999999997</v>
      </c>
      <c r="Q326">
        <v>611.89679999999998</v>
      </c>
      <c r="R326">
        <v>0.99959225440188804</v>
      </c>
      <c r="S326">
        <v>8.9450260753645998E-4</v>
      </c>
      <c r="T326">
        <v>0</v>
      </c>
      <c r="U326" t="s">
        <v>2826</v>
      </c>
    </row>
    <row r="327" spans="1:21" x14ac:dyDescent="0.3">
      <c r="A327">
        <v>326</v>
      </c>
      <c r="B327" t="s">
        <v>2198</v>
      </c>
      <c r="C327" t="s">
        <v>38</v>
      </c>
      <c r="D327">
        <v>0</v>
      </c>
      <c r="E327" t="s">
        <v>38</v>
      </c>
      <c r="F327">
        <v>0</v>
      </c>
      <c r="G327" t="s">
        <v>38</v>
      </c>
      <c r="H327" t="s">
        <v>38</v>
      </c>
      <c r="I327">
        <v>0</v>
      </c>
      <c r="J327" t="s">
        <v>38</v>
      </c>
      <c r="K327">
        <v>0</v>
      </c>
      <c r="L327">
        <v>0</v>
      </c>
      <c r="M327" t="s">
        <v>106</v>
      </c>
      <c r="N327" t="s">
        <v>2204</v>
      </c>
      <c r="O327" t="s">
        <v>2838</v>
      </c>
      <c r="P327">
        <v>722.67600000000004</v>
      </c>
      <c r="Q327">
        <v>721.83159999999998</v>
      </c>
      <c r="R327">
        <v>0.99883156490598801</v>
      </c>
      <c r="S327">
        <v>2.6559093169092598E-3</v>
      </c>
      <c r="T327">
        <v>0</v>
      </c>
      <c r="U327" t="s">
        <v>2860</v>
      </c>
    </row>
    <row r="328" spans="1:21" x14ac:dyDescent="0.3">
      <c r="A328">
        <v>327</v>
      </c>
      <c r="B328" t="s">
        <v>1880</v>
      </c>
      <c r="C328" t="s">
        <v>38</v>
      </c>
      <c r="D328">
        <v>0</v>
      </c>
      <c r="E328" t="s">
        <v>38</v>
      </c>
      <c r="F328">
        <v>0</v>
      </c>
      <c r="G328" t="s">
        <v>38</v>
      </c>
      <c r="H328" t="s">
        <v>38</v>
      </c>
      <c r="I328">
        <v>0</v>
      </c>
      <c r="J328" t="s">
        <v>38</v>
      </c>
      <c r="K328">
        <v>0</v>
      </c>
      <c r="L328" t="s">
        <v>2840</v>
      </c>
      <c r="M328" t="s">
        <v>38</v>
      </c>
      <c r="O328" t="s">
        <v>2848</v>
      </c>
      <c r="P328">
        <v>365.56319999999999</v>
      </c>
      <c r="Q328">
        <v>365.21559999999999</v>
      </c>
      <c r="R328">
        <v>0.99904913842531196</v>
      </c>
      <c r="S328">
        <v>1.72747563335755E-3</v>
      </c>
      <c r="T328">
        <v>0</v>
      </c>
      <c r="U328" t="s">
        <v>2826</v>
      </c>
    </row>
    <row r="329" spans="1:21" x14ac:dyDescent="0.3">
      <c r="A329">
        <v>328</v>
      </c>
      <c r="B329" t="s">
        <v>511</v>
      </c>
      <c r="C329" t="s">
        <v>38</v>
      </c>
      <c r="D329">
        <v>17</v>
      </c>
      <c r="E329" t="s">
        <v>38</v>
      </c>
      <c r="F329">
        <v>2</v>
      </c>
      <c r="G329" t="s">
        <v>38</v>
      </c>
      <c r="H329" t="s">
        <v>38</v>
      </c>
      <c r="I329">
        <v>0</v>
      </c>
      <c r="J329" t="s">
        <v>38</v>
      </c>
      <c r="K329">
        <v>0</v>
      </c>
      <c r="L329">
        <v>0</v>
      </c>
      <c r="M329" t="s">
        <v>38</v>
      </c>
      <c r="O329" t="s">
        <v>2838</v>
      </c>
      <c r="P329">
        <v>241.7792</v>
      </c>
      <c r="Q329">
        <v>200.304</v>
      </c>
      <c r="R329">
        <v>0.82845836200963496</v>
      </c>
      <c r="S329">
        <v>3.32659617345126E-2</v>
      </c>
      <c r="T329">
        <v>2</v>
      </c>
      <c r="U329" t="s">
        <v>2826</v>
      </c>
    </row>
    <row r="330" spans="1:21" x14ac:dyDescent="0.3">
      <c r="A330">
        <v>329</v>
      </c>
      <c r="B330" t="s">
        <v>263</v>
      </c>
      <c r="C330" t="s">
        <v>38</v>
      </c>
      <c r="D330">
        <v>0</v>
      </c>
      <c r="E330" t="s">
        <v>38</v>
      </c>
      <c r="F330">
        <v>0</v>
      </c>
      <c r="G330" t="s">
        <v>38</v>
      </c>
      <c r="H330" t="s">
        <v>38</v>
      </c>
      <c r="I330">
        <v>0</v>
      </c>
      <c r="J330" t="s">
        <v>38</v>
      </c>
      <c r="K330">
        <v>0</v>
      </c>
      <c r="L330" t="s">
        <v>2840</v>
      </c>
      <c r="M330" t="s">
        <v>38</v>
      </c>
      <c r="O330" t="s">
        <v>2848</v>
      </c>
      <c r="P330">
        <v>432.84480000000002</v>
      </c>
      <c r="Q330">
        <v>432.33519999999999</v>
      </c>
      <c r="R330">
        <v>0.99882267269931402</v>
      </c>
      <c r="S330">
        <v>1.9908194617425001E-3</v>
      </c>
      <c r="T330">
        <v>0</v>
      </c>
      <c r="U330" t="s">
        <v>2826</v>
      </c>
    </row>
    <row r="331" spans="1:21" x14ac:dyDescent="0.3">
      <c r="A331">
        <v>330</v>
      </c>
      <c r="B331" t="s">
        <v>549</v>
      </c>
      <c r="C331" t="s">
        <v>38</v>
      </c>
      <c r="D331">
        <v>0</v>
      </c>
      <c r="E331" t="s">
        <v>38</v>
      </c>
      <c r="F331">
        <v>0</v>
      </c>
      <c r="G331" t="s">
        <v>38</v>
      </c>
      <c r="H331" t="s">
        <v>38</v>
      </c>
      <c r="I331">
        <v>0</v>
      </c>
      <c r="J331" t="s">
        <v>38</v>
      </c>
      <c r="K331">
        <v>0</v>
      </c>
      <c r="L331" t="s">
        <v>2840</v>
      </c>
      <c r="M331" t="s">
        <v>38</v>
      </c>
      <c r="O331" t="s">
        <v>2848</v>
      </c>
      <c r="P331">
        <v>260.74560000000002</v>
      </c>
      <c r="Q331">
        <v>259.666</v>
      </c>
      <c r="R331">
        <v>0.99585956579900103</v>
      </c>
      <c r="S331">
        <v>9.7369217161091606E-3</v>
      </c>
      <c r="T331">
        <v>0</v>
      </c>
      <c r="U331" t="s">
        <v>2826</v>
      </c>
    </row>
    <row r="332" spans="1:21" x14ac:dyDescent="0.3">
      <c r="A332">
        <v>331</v>
      </c>
      <c r="B332" t="s">
        <v>964</v>
      </c>
      <c r="C332" t="s">
        <v>38</v>
      </c>
      <c r="D332">
        <v>1</v>
      </c>
      <c r="E332" t="s">
        <v>38</v>
      </c>
      <c r="F332">
        <v>1</v>
      </c>
      <c r="G332" t="s">
        <v>38</v>
      </c>
      <c r="H332" t="s">
        <v>38</v>
      </c>
      <c r="I332">
        <v>0</v>
      </c>
      <c r="J332" t="s">
        <v>38</v>
      </c>
      <c r="K332">
        <v>0</v>
      </c>
      <c r="L332">
        <v>0</v>
      </c>
      <c r="M332" t="s">
        <v>38</v>
      </c>
      <c r="O332" t="s">
        <v>2838</v>
      </c>
      <c r="P332">
        <v>817.7808</v>
      </c>
      <c r="Q332">
        <v>812.36199999999997</v>
      </c>
      <c r="R332">
        <v>0.99337377448822495</v>
      </c>
      <c r="S332">
        <v>1.3413693948991799E-2</v>
      </c>
      <c r="T332">
        <v>1</v>
      </c>
      <c r="U332" t="s">
        <v>2826</v>
      </c>
    </row>
    <row r="333" spans="1:21" x14ac:dyDescent="0.3">
      <c r="A333">
        <v>332</v>
      </c>
      <c r="B333" t="s">
        <v>1222</v>
      </c>
      <c r="C333" t="s">
        <v>38</v>
      </c>
      <c r="D333">
        <v>1</v>
      </c>
      <c r="E333" t="s">
        <v>38</v>
      </c>
      <c r="F333">
        <v>1</v>
      </c>
      <c r="G333" t="s">
        <v>38</v>
      </c>
      <c r="H333" t="s">
        <v>38</v>
      </c>
      <c r="I333">
        <v>0</v>
      </c>
      <c r="J333" t="s">
        <v>38</v>
      </c>
      <c r="K333">
        <v>0</v>
      </c>
      <c r="L333">
        <v>0</v>
      </c>
      <c r="M333" t="s">
        <v>38</v>
      </c>
      <c r="O333" t="s">
        <v>2838</v>
      </c>
      <c r="P333">
        <v>371.96319999999997</v>
      </c>
      <c r="Q333">
        <v>367.71440000000001</v>
      </c>
      <c r="R333">
        <v>0.98857736464252399</v>
      </c>
      <c r="S333">
        <v>2.6940352428608101E-2</v>
      </c>
      <c r="T333">
        <v>1</v>
      </c>
      <c r="U333" t="s">
        <v>2826</v>
      </c>
    </row>
    <row r="334" spans="1:21" x14ac:dyDescent="0.3">
      <c r="A334">
        <v>333</v>
      </c>
      <c r="B334" t="s">
        <v>2205</v>
      </c>
      <c r="C334" t="s">
        <v>38</v>
      </c>
      <c r="D334">
        <v>0</v>
      </c>
      <c r="E334" t="s">
        <v>38</v>
      </c>
      <c r="F334">
        <v>0</v>
      </c>
      <c r="G334" t="s">
        <v>38</v>
      </c>
      <c r="H334" t="s">
        <v>38</v>
      </c>
      <c r="I334">
        <v>0</v>
      </c>
      <c r="J334" t="s">
        <v>38</v>
      </c>
      <c r="K334">
        <v>0</v>
      </c>
      <c r="L334">
        <v>0</v>
      </c>
      <c r="M334" t="s">
        <v>106</v>
      </c>
      <c r="N334" t="s">
        <v>2204</v>
      </c>
      <c r="O334" t="s">
        <v>2838</v>
      </c>
      <c r="P334">
        <v>192.11359999999999</v>
      </c>
      <c r="Q334">
        <v>191.3312</v>
      </c>
      <c r="R334">
        <v>0.99592740961597703</v>
      </c>
      <c r="S334">
        <v>6.8057792278229598E-3</v>
      </c>
      <c r="T334">
        <v>0</v>
      </c>
      <c r="U334" t="s">
        <v>2860</v>
      </c>
    </row>
    <row r="335" spans="1:21" x14ac:dyDescent="0.3">
      <c r="A335">
        <v>334</v>
      </c>
      <c r="B335" t="s">
        <v>1143</v>
      </c>
      <c r="C335" t="s">
        <v>38</v>
      </c>
      <c r="D335">
        <v>0</v>
      </c>
      <c r="E335" t="s">
        <v>38</v>
      </c>
      <c r="F335">
        <v>0</v>
      </c>
      <c r="G335" t="s">
        <v>38</v>
      </c>
      <c r="H335" t="s">
        <v>38</v>
      </c>
      <c r="I335">
        <v>0</v>
      </c>
      <c r="J335" t="s">
        <v>38</v>
      </c>
      <c r="K335">
        <v>0</v>
      </c>
      <c r="L335" t="s">
        <v>2840</v>
      </c>
      <c r="M335" t="s">
        <v>38</v>
      </c>
      <c r="O335" t="s">
        <v>2848</v>
      </c>
      <c r="P335">
        <v>170.77440000000001</v>
      </c>
      <c r="Q335">
        <v>170.73759999999999</v>
      </c>
      <c r="R335">
        <v>0.99978451102741395</v>
      </c>
      <c r="S335">
        <v>6.7340303933193305E-4</v>
      </c>
      <c r="T335">
        <v>0</v>
      </c>
      <c r="U335" t="s">
        <v>2826</v>
      </c>
    </row>
    <row r="336" spans="1:21" x14ac:dyDescent="0.3">
      <c r="A336">
        <v>335</v>
      </c>
      <c r="B336" t="s">
        <v>1114</v>
      </c>
      <c r="C336" t="s">
        <v>38</v>
      </c>
      <c r="D336">
        <v>1</v>
      </c>
      <c r="E336" t="s">
        <v>38</v>
      </c>
      <c r="F336">
        <v>0</v>
      </c>
      <c r="G336" t="s">
        <v>38</v>
      </c>
      <c r="H336" t="s">
        <v>38</v>
      </c>
      <c r="I336">
        <v>0</v>
      </c>
      <c r="J336" t="s">
        <v>38</v>
      </c>
      <c r="K336">
        <v>0</v>
      </c>
      <c r="L336">
        <v>0</v>
      </c>
      <c r="M336" t="s">
        <v>38</v>
      </c>
      <c r="O336" t="s">
        <v>2838</v>
      </c>
      <c r="P336">
        <v>836.22479999999996</v>
      </c>
      <c r="Q336">
        <v>827.16120000000001</v>
      </c>
      <c r="R336">
        <v>0.989161287730285</v>
      </c>
      <c r="S336">
        <v>5.3630703591384396E-3</v>
      </c>
      <c r="T336">
        <v>0</v>
      </c>
      <c r="U336" t="s">
        <v>2826</v>
      </c>
    </row>
    <row r="337" spans="1:21" x14ac:dyDescent="0.3">
      <c r="A337">
        <v>336</v>
      </c>
      <c r="B337" t="s">
        <v>2211</v>
      </c>
      <c r="C337" t="s">
        <v>38</v>
      </c>
      <c r="D337">
        <v>0</v>
      </c>
      <c r="E337" t="s">
        <v>38</v>
      </c>
      <c r="F337">
        <v>0</v>
      </c>
      <c r="G337" t="s">
        <v>38</v>
      </c>
      <c r="H337" t="s">
        <v>38</v>
      </c>
      <c r="I337">
        <v>0</v>
      </c>
      <c r="J337" t="s">
        <v>38</v>
      </c>
      <c r="K337">
        <v>0</v>
      </c>
      <c r="L337" t="s">
        <v>2840</v>
      </c>
      <c r="M337" t="s">
        <v>38</v>
      </c>
      <c r="O337" t="s">
        <v>2848</v>
      </c>
      <c r="P337">
        <v>18.365200000000002</v>
      </c>
      <c r="Q337">
        <v>18.365200000000002</v>
      </c>
      <c r="R337">
        <v>1</v>
      </c>
      <c r="S337">
        <v>0</v>
      </c>
      <c r="T337">
        <v>0</v>
      </c>
      <c r="U337" t="s">
        <v>2826</v>
      </c>
    </row>
    <row r="338" spans="1:21" x14ac:dyDescent="0.3">
      <c r="A338">
        <v>337</v>
      </c>
      <c r="B338" t="s">
        <v>2217</v>
      </c>
      <c r="C338" t="s">
        <v>38</v>
      </c>
      <c r="D338">
        <v>0</v>
      </c>
      <c r="E338" t="s">
        <v>38</v>
      </c>
      <c r="F338">
        <v>0</v>
      </c>
      <c r="G338" t="s">
        <v>38</v>
      </c>
      <c r="H338" t="s">
        <v>38</v>
      </c>
      <c r="I338">
        <v>0</v>
      </c>
      <c r="J338" t="s">
        <v>38</v>
      </c>
      <c r="K338">
        <v>0</v>
      </c>
      <c r="L338" t="s">
        <v>2840</v>
      </c>
      <c r="M338" t="s">
        <v>38</v>
      </c>
      <c r="O338" t="s">
        <v>2848</v>
      </c>
      <c r="P338">
        <v>65.872799999999998</v>
      </c>
      <c r="Q338">
        <v>65.8232</v>
      </c>
      <c r="R338">
        <v>0.99924703367702605</v>
      </c>
      <c r="S338">
        <v>2.1444273733684399E-3</v>
      </c>
      <c r="T338">
        <v>0</v>
      </c>
      <c r="U338" t="s">
        <v>2826</v>
      </c>
    </row>
    <row r="339" spans="1:21" x14ac:dyDescent="0.3">
      <c r="A339">
        <v>338</v>
      </c>
      <c r="B339" t="s">
        <v>2223</v>
      </c>
      <c r="C339" t="s">
        <v>38</v>
      </c>
      <c r="D339">
        <v>0</v>
      </c>
      <c r="E339" t="s">
        <v>38</v>
      </c>
      <c r="F339">
        <v>0</v>
      </c>
      <c r="G339" t="s">
        <v>38</v>
      </c>
      <c r="H339" t="s">
        <v>38</v>
      </c>
      <c r="I339">
        <v>0</v>
      </c>
      <c r="J339" t="s">
        <v>38</v>
      </c>
      <c r="K339">
        <v>0</v>
      </c>
      <c r="L339" t="s">
        <v>2840</v>
      </c>
      <c r="M339" t="s">
        <v>51</v>
      </c>
      <c r="N339" t="s">
        <v>2204</v>
      </c>
      <c r="O339" t="s">
        <v>2848</v>
      </c>
      <c r="P339">
        <v>327.14960000000002</v>
      </c>
      <c r="Q339">
        <v>326.55439999999999</v>
      </c>
      <c r="R339">
        <v>0.99818064885300195</v>
      </c>
      <c r="S339">
        <v>5.5405362444308102E-3</v>
      </c>
      <c r="T339">
        <v>0</v>
      </c>
      <c r="U339" t="s">
        <v>2860</v>
      </c>
    </row>
    <row r="340" spans="1:21" x14ac:dyDescent="0.3">
      <c r="A340">
        <v>339</v>
      </c>
      <c r="B340" t="s">
        <v>1999</v>
      </c>
      <c r="C340" t="s">
        <v>38</v>
      </c>
      <c r="D340">
        <v>0</v>
      </c>
      <c r="E340" t="s">
        <v>38</v>
      </c>
      <c r="F340">
        <v>0</v>
      </c>
      <c r="G340" t="s">
        <v>38</v>
      </c>
      <c r="H340" t="s">
        <v>38</v>
      </c>
      <c r="I340">
        <v>0</v>
      </c>
      <c r="J340" t="s">
        <v>38</v>
      </c>
      <c r="K340">
        <v>0</v>
      </c>
      <c r="L340" t="s">
        <v>2840</v>
      </c>
      <c r="M340" t="s">
        <v>38</v>
      </c>
      <c r="O340" t="s">
        <v>2848</v>
      </c>
      <c r="P340">
        <v>50.557600000000001</v>
      </c>
      <c r="Q340">
        <v>50.510399999999997</v>
      </c>
      <c r="R340">
        <v>0.99906641138028696</v>
      </c>
      <c r="S340">
        <v>2.91746443660323E-3</v>
      </c>
      <c r="T340">
        <v>0</v>
      </c>
      <c r="U340" t="s">
        <v>2826</v>
      </c>
    </row>
    <row r="341" spans="1:21" x14ac:dyDescent="0.3">
      <c r="A341">
        <v>340</v>
      </c>
      <c r="B341" t="s">
        <v>1235</v>
      </c>
      <c r="C341" t="s">
        <v>38</v>
      </c>
      <c r="D341">
        <v>0</v>
      </c>
      <c r="E341" t="s">
        <v>38</v>
      </c>
      <c r="F341">
        <v>0</v>
      </c>
      <c r="G341" t="s">
        <v>38</v>
      </c>
      <c r="H341" t="s">
        <v>38</v>
      </c>
      <c r="I341">
        <v>0</v>
      </c>
      <c r="J341" t="s">
        <v>38</v>
      </c>
      <c r="K341">
        <v>0</v>
      </c>
      <c r="L341" t="s">
        <v>2840</v>
      </c>
      <c r="M341" t="s">
        <v>38</v>
      </c>
      <c r="O341" t="s">
        <v>2848</v>
      </c>
      <c r="P341">
        <v>3.2652000000000001</v>
      </c>
      <c r="Q341">
        <v>3.2652000000000001</v>
      </c>
      <c r="R341">
        <v>1</v>
      </c>
      <c r="S341">
        <v>0</v>
      </c>
      <c r="T341">
        <v>0</v>
      </c>
      <c r="U341" t="s">
        <v>2826</v>
      </c>
    </row>
    <row r="342" spans="1:21" x14ac:dyDescent="0.3">
      <c r="A342">
        <v>341</v>
      </c>
      <c r="B342" t="s">
        <v>2064</v>
      </c>
      <c r="C342" t="s">
        <v>38</v>
      </c>
      <c r="D342">
        <v>39</v>
      </c>
      <c r="E342" t="s">
        <v>38</v>
      </c>
      <c r="F342">
        <v>18</v>
      </c>
      <c r="G342" t="s">
        <v>106</v>
      </c>
      <c r="H342" t="s">
        <v>51</v>
      </c>
      <c r="I342">
        <v>0.4</v>
      </c>
      <c r="J342" t="s">
        <v>38</v>
      </c>
      <c r="K342">
        <v>0</v>
      </c>
      <c r="L342" t="s">
        <v>2840</v>
      </c>
      <c r="M342" t="s">
        <v>106</v>
      </c>
      <c r="N342" t="s">
        <v>53</v>
      </c>
      <c r="O342" t="s">
        <v>2841</v>
      </c>
      <c r="P342">
        <v>508.02120000000002</v>
      </c>
      <c r="Q342">
        <v>311.00760000000002</v>
      </c>
      <c r="R342">
        <v>0.61219413678011902</v>
      </c>
      <c r="S342">
        <v>0.36643179495912798</v>
      </c>
      <c r="T342">
        <v>18</v>
      </c>
      <c r="U342" t="s">
        <v>2826</v>
      </c>
    </row>
    <row r="343" spans="1:21" x14ac:dyDescent="0.3">
      <c r="A343">
        <v>342</v>
      </c>
      <c r="B343" t="s">
        <v>2229</v>
      </c>
      <c r="C343" t="s">
        <v>38</v>
      </c>
      <c r="D343">
        <v>2</v>
      </c>
      <c r="E343" t="s">
        <v>38</v>
      </c>
      <c r="F343">
        <v>0</v>
      </c>
      <c r="G343" t="s">
        <v>38</v>
      </c>
      <c r="H343" t="s">
        <v>38</v>
      </c>
      <c r="I343">
        <v>0</v>
      </c>
      <c r="J343" t="s">
        <v>38</v>
      </c>
      <c r="K343">
        <v>0</v>
      </c>
      <c r="L343" t="s">
        <v>2840</v>
      </c>
      <c r="M343" t="s">
        <v>38</v>
      </c>
      <c r="O343" t="s">
        <v>2848</v>
      </c>
      <c r="P343">
        <v>136.4288</v>
      </c>
      <c r="Q343">
        <v>133.9984</v>
      </c>
      <c r="R343">
        <v>0.98218557958436903</v>
      </c>
      <c r="S343">
        <v>9.2728866375190993E-3</v>
      </c>
      <c r="T343">
        <v>0</v>
      </c>
      <c r="U343" t="s">
        <v>2826</v>
      </c>
    </row>
    <row r="344" spans="1:21" x14ac:dyDescent="0.3">
      <c r="A344">
        <v>343</v>
      </c>
      <c r="B344" t="s">
        <v>858</v>
      </c>
      <c r="C344" t="s">
        <v>38</v>
      </c>
      <c r="D344">
        <v>0</v>
      </c>
      <c r="E344" t="s">
        <v>38</v>
      </c>
      <c r="F344">
        <v>0</v>
      </c>
      <c r="G344" t="s">
        <v>38</v>
      </c>
      <c r="H344" t="s">
        <v>38</v>
      </c>
      <c r="I344">
        <v>0</v>
      </c>
      <c r="J344" t="s">
        <v>38</v>
      </c>
      <c r="K344">
        <v>0</v>
      </c>
      <c r="L344" t="s">
        <v>2840</v>
      </c>
      <c r="M344" t="s">
        <v>38</v>
      </c>
      <c r="O344" t="s">
        <v>2848</v>
      </c>
      <c r="P344">
        <v>286.97919999999999</v>
      </c>
      <c r="Q344">
        <v>286.68520000000001</v>
      </c>
      <c r="R344">
        <v>0.99897553550919405</v>
      </c>
      <c r="S344">
        <v>2.92294642757559E-3</v>
      </c>
      <c r="T344">
        <v>0</v>
      </c>
      <c r="U344" t="s">
        <v>2826</v>
      </c>
    </row>
    <row r="345" spans="1:21" x14ac:dyDescent="0.3">
      <c r="A345">
        <v>344</v>
      </c>
      <c r="B345" t="s">
        <v>530</v>
      </c>
      <c r="C345" t="s">
        <v>38</v>
      </c>
      <c r="D345">
        <v>5</v>
      </c>
      <c r="E345" t="s">
        <v>38</v>
      </c>
      <c r="F345">
        <v>2</v>
      </c>
      <c r="G345" t="s">
        <v>38</v>
      </c>
      <c r="H345" t="s">
        <v>38</v>
      </c>
      <c r="I345">
        <v>0</v>
      </c>
      <c r="J345" t="s">
        <v>38</v>
      </c>
      <c r="K345">
        <v>0</v>
      </c>
      <c r="L345">
        <v>2.11558258799974E-4</v>
      </c>
      <c r="M345" t="s">
        <v>38</v>
      </c>
      <c r="O345" t="s">
        <v>2836</v>
      </c>
      <c r="P345">
        <v>469.92880000000002</v>
      </c>
      <c r="Q345">
        <v>423.524</v>
      </c>
      <c r="R345">
        <v>0.90125142361991895</v>
      </c>
      <c r="S345">
        <v>3.2368921349070601E-2</v>
      </c>
      <c r="T345">
        <v>2</v>
      </c>
      <c r="U345" t="s">
        <v>2826</v>
      </c>
    </row>
    <row r="346" spans="1:21" x14ac:dyDescent="0.3">
      <c r="A346">
        <v>345</v>
      </c>
      <c r="B346" t="s">
        <v>2235</v>
      </c>
      <c r="C346" t="s">
        <v>38</v>
      </c>
      <c r="D346">
        <v>44</v>
      </c>
      <c r="E346" t="s">
        <v>38</v>
      </c>
      <c r="F346">
        <v>27</v>
      </c>
      <c r="G346" t="s">
        <v>106</v>
      </c>
      <c r="H346" t="s">
        <v>51</v>
      </c>
      <c r="I346">
        <v>0.5</v>
      </c>
      <c r="J346" t="s">
        <v>38</v>
      </c>
      <c r="K346">
        <v>0</v>
      </c>
      <c r="L346">
        <v>1.6876435495622798E-2</v>
      </c>
      <c r="M346" t="s">
        <v>106</v>
      </c>
      <c r="N346" t="s">
        <v>53</v>
      </c>
      <c r="O346" t="s">
        <v>2842</v>
      </c>
      <c r="P346">
        <v>201.12960000000001</v>
      </c>
      <c r="Q346">
        <v>108.1508</v>
      </c>
      <c r="R346">
        <v>0.53771697452786704</v>
      </c>
      <c r="S346">
        <v>0.54427090492029595</v>
      </c>
      <c r="T346">
        <v>27</v>
      </c>
      <c r="U346" t="s">
        <v>2826</v>
      </c>
    </row>
    <row r="347" spans="1:21" x14ac:dyDescent="0.3">
      <c r="A347">
        <v>346</v>
      </c>
      <c r="B347" t="s">
        <v>2705</v>
      </c>
      <c r="C347" t="s">
        <v>38</v>
      </c>
      <c r="D347">
        <v>23</v>
      </c>
      <c r="E347" t="s">
        <v>38</v>
      </c>
      <c r="F347">
        <v>5</v>
      </c>
      <c r="G347" t="s">
        <v>38</v>
      </c>
      <c r="H347" t="s">
        <v>38</v>
      </c>
      <c r="I347">
        <v>0.1</v>
      </c>
      <c r="J347" t="s">
        <v>38</v>
      </c>
      <c r="K347">
        <v>0</v>
      </c>
      <c r="L347">
        <v>3.9812774372746998E-4</v>
      </c>
      <c r="M347" t="s">
        <v>38</v>
      </c>
      <c r="O347" t="s">
        <v>2838</v>
      </c>
      <c r="P347">
        <v>838.94560000000001</v>
      </c>
      <c r="Q347">
        <v>644.01440000000002</v>
      </c>
      <c r="R347">
        <v>0.76764738977115998</v>
      </c>
      <c r="S347">
        <v>9.6191672852069504E-2</v>
      </c>
      <c r="T347">
        <v>5</v>
      </c>
      <c r="U347" t="s">
        <v>2826</v>
      </c>
    </row>
    <row r="348" spans="1:21" x14ac:dyDescent="0.3">
      <c r="A348">
        <v>347</v>
      </c>
      <c r="B348" t="s">
        <v>1010</v>
      </c>
      <c r="C348" t="s">
        <v>38</v>
      </c>
      <c r="D348">
        <v>2</v>
      </c>
      <c r="E348" t="s">
        <v>38</v>
      </c>
      <c r="F348">
        <v>1</v>
      </c>
      <c r="G348" t="s">
        <v>38</v>
      </c>
      <c r="H348" t="s">
        <v>38</v>
      </c>
      <c r="I348">
        <v>0</v>
      </c>
      <c r="J348" t="s">
        <v>38</v>
      </c>
      <c r="K348">
        <v>0</v>
      </c>
      <c r="L348">
        <v>0</v>
      </c>
      <c r="M348" t="s">
        <v>38</v>
      </c>
      <c r="O348" t="s">
        <v>2838</v>
      </c>
      <c r="P348">
        <v>536.10040000000004</v>
      </c>
      <c r="Q348">
        <v>524.90279999999996</v>
      </c>
      <c r="R348">
        <v>0.97911286766434003</v>
      </c>
      <c r="S348">
        <v>2.3943408482678199E-2</v>
      </c>
      <c r="T348">
        <v>1</v>
      </c>
      <c r="U348" t="s">
        <v>2826</v>
      </c>
    </row>
    <row r="349" spans="1:21" x14ac:dyDescent="0.3">
      <c r="A349">
        <v>348</v>
      </c>
      <c r="B349" t="s">
        <v>1619</v>
      </c>
      <c r="C349" t="s">
        <v>38</v>
      </c>
      <c r="D349">
        <v>9</v>
      </c>
      <c r="E349" t="s">
        <v>38</v>
      </c>
      <c r="F349">
        <v>3</v>
      </c>
      <c r="G349" t="s">
        <v>38</v>
      </c>
      <c r="H349" t="s">
        <v>38</v>
      </c>
      <c r="I349">
        <v>0.1</v>
      </c>
      <c r="J349" t="s">
        <v>38</v>
      </c>
      <c r="K349">
        <v>0</v>
      </c>
      <c r="L349" t="s">
        <v>2840</v>
      </c>
      <c r="M349" t="s">
        <v>38</v>
      </c>
      <c r="O349" t="s">
        <v>2848</v>
      </c>
      <c r="P349">
        <v>331.4</v>
      </c>
      <c r="Q349">
        <v>302.72000000000003</v>
      </c>
      <c r="R349">
        <v>0.91345805672902802</v>
      </c>
      <c r="S349">
        <v>6.52976385307735E-2</v>
      </c>
      <c r="T349">
        <v>3</v>
      </c>
      <c r="U349" t="s">
        <v>2826</v>
      </c>
    </row>
    <row r="350" spans="1:21" x14ac:dyDescent="0.3">
      <c r="A350">
        <v>349</v>
      </c>
      <c r="B350" t="s">
        <v>78</v>
      </c>
      <c r="C350" t="s">
        <v>38</v>
      </c>
      <c r="D350">
        <v>2</v>
      </c>
      <c r="E350" t="s">
        <v>38</v>
      </c>
      <c r="F350">
        <v>1</v>
      </c>
      <c r="G350" t="s">
        <v>38</v>
      </c>
      <c r="H350" t="s">
        <v>38</v>
      </c>
      <c r="I350">
        <v>0</v>
      </c>
      <c r="J350" t="s">
        <v>38</v>
      </c>
      <c r="K350">
        <v>0</v>
      </c>
      <c r="L350">
        <v>0</v>
      </c>
      <c r="M350" t="s">
        <v>38</v>
      </c>
      <c r="O350" t="s">
        <v>2838</v>
      </c>
      <c r="P350">
        <v>449.04399999999998</v>
      </c>
      <c r="Q350">
        <v>441.44080000000002</v>
      </c>
      <c r="R350">
        <v>0.983068028968208</v>
      </c>
      <c r="S350">
        <v>1.63096092273964E-2</v>
      </c>
      <c r="T350">
        <v>1</v>
      </c>
      <c r="U350" t="s">
        <v>2826</v>
      </c>
    </row>
    <row r="351" spans="1:21" x14ac:dyDescent="0.3">
      <c r="A351">
        <v>350</v>
      </c>
      <c r="B351" t="s">
        <v>1987</v>
      </c>
      <c r="C351" t="s">
        <v>38</v>
      </c>
      <c r="D351">
        <v>0</v>
      </c>
      <c r="E351" t="s">
        <v>38</v>
      </c>
      <c r="F351">
        <v>0</v>
      </c>
      <c r="G351" t="s">
        <v>38</v>
      </c>
      <c r="H351" t="s">
        <v>38</v>
      </c>
      <c r="I351">
        <v>0</v>
      </c>
      <c r="J351" t="s">
        <v>38</v>
      </c>
      <c r="K351">
        <v>0</v>
      </c>
      <c r="L351">
        <v>0</v>
      </c>
      <c r="M351" t="s">
        <v>38</v>
      </c>
      <c r="O351" t="s">
        <v>2838</v>
      </c>
      <c r="P351">
        <v>566.1096</v>
      </c>
      <c r="Q351">
        <v>565.69079999999997</v>
      </c>
      <c r="R351">
        <v>0.99926021392324005</v>
      </c>
      <c r="S351">
        <v>1.9080045028905699E-3</v>
      </c>
      <c r="T351">
        <v>0</v>
      </c>
      <c r="U351" t="s">
        <v>2826</v>
      </c>
    </row>
    <row r="352" spans="1:21" x14ac:dyDescent="0.3">
      <c r="A352">
        <v>351</v>
      </c>
      <c r="B352" t="s">
        <v>1673</v>
      </c>
      <c r="C352" t="s">
        <v>38</v>
      </c>
      <c r="D352">
        <v>0</v>
      </c>
      <c r="E352" t="s">
        <v>38</v>
      </c>
      <c r="F352">
        <v>0</v>
      </c>
      <c r="G352" t="s">
        <v>38</v>
      </c>
      <c r="H352" t="s">
        <v>38</v>
      </c>
      <c r="I352">
        <v>0</v>
      </c>
      <c r="J352" t="s">
        <v>38</v>
      </c>
      <c r="K352">
        <v>0</v>
      </c>
      <c r="L352" t="s">
        <v>2840</v>
      </c>
      <c r="M352" t="s">
        <v>38</v>
      </c>
      <c r="O352" t="s">
        <v>2848</v>
      </c>
      <c r="P352">
        <v>123.30200000000001</v>
      </c>
      <c r="Q352">
        <v>122.7916</v>
      </c>
      <c r="R352">
        <v>0.99586056998264405</v>
      </c>
      <c r="S352">
        <v>9.8939289634166292E-3</v>
      </c>
      <c r="T352">
        <v>0</v>
      </c>
      <c r="U352" t="s">
        <v>2826</v>
      </c>
    </row>
    <row r="353" spans="1:21" x14ac:dyDescent="0.3">
      <c r="A353">
        <v>352</v>
      </c>
      <c r="B353" t="s">
        <v>1303</v>
      </c>
      <c r="C353" t="s">
        <v>38</v>
      </c>
      <c r="D353">
        <v>19</v>
      </c>
      <c r="E353" t="s">
        <v>38</v>
      </c>
      <c r="F353">
        <v>4</v>
      </c>
      <c r="G353" t="s">
        <v>38</v>
      </c>
      <c r="H353" t="s">
        <v>38</v>
      </c>
      <c r="I353">
        <v>0.1</v>
      </c>
      <c r="J353" t="s">
        <v>38</v>
      </c>
      <c r="K353">
        <v>0</v>
      </c>
      <c r="L353">
        <v>3.0582542313199301E-4</v>
      </c>
      <c r="M353" t="s">
        <v>38</v>
      </c>
      <c r="O353" t="s">
        <v>2838</v>
      </c>
      <c r="P353">
        <v>3151.7932000000001</v>
      </c>
      <c r="Q353">
        <v>2540.0111999999999</v>
      </c>
      <c r="R353">
        <v>0.80589399076056101</v>
      </c>
      <c r="S353">
        <v>8.7911603535809693E-2</v>
      </c>
      <c r="T353">
        <v>4</v>
      </c>
      <c r="U353" t="s">
        <v>2826</v>
      </c>
    </row>
    <row r="354" spans="1:21" x14ac:dyDescent="0.3">
      <c r="A354">
        <v>353</v>
      </c>
      <c r="B354" t="s">
        <v>1911</v>
      </c>
      <c r="C354" t="s">
        <v>38</v>
      </c>
      <c r="D354">
        <v>16</v>
      </c>
      <c r="E354" t="s">
        <v>38</v>
      </c>
      <c r="F354">
        <v>6</v>
      </c>
      <c r="G354" t="s">
        <v>38</v>
      </c>
      <c r="H354" t="s">
        <v>38</v>
      </c>
      <c r="I354">
        <v>0.1</v>
      </c>
      <c r="J354" t="s">
        <v>38</v>
      </c>
      <c r="K354">
        <v>0</v>
      </c>
      <c r="L354">
        <v>0</v>
      </c>
      <c r="M354" t="s">
        <v>38</v>
      </c>
      <c r="O354" t="s">
        <v>2838</v>
      </c>
      <c r="P354">
        <v>868.03120000000001</v>
      </c>
      <c r="Q354">
        <v>727.28800000000001</v>
      </c>
      <c r="R354">
        <v>0.83785928432065604</v>
      </c>
      <c r="S354">
        <v>0.12545743263360801</v>
      </c>
      <c r="T354">
        <v>6</v>
      </c>
      <c r="U354" t="s">
        <v>2826</v>
      </c>
    </row>
    <row r="355" spans="1:21" x14ac:dyDescent="0.3">
      <c r="A355">
        <v>354</v>
      </c>
      <c r="B355" t="s">
        <v>2241</v>
      </c>
      <c r="C355" t="s">
        <v>38</v>
      </c>
      <c r="D355">
        <v>4</v>
      </c>
      <c r="E355" t="s">
        <v>38</v>
      </c>
      <c r="F355">
        <v>4</v>
      </c>
      <c r="G355" t="s">
        <v>38</v>
      </c>
      <c r="H355" t="s">
        <v>38</v>
      </c>
      <c r="I355">
        <v>0.1</v>
      </c>
      <c r="J355" t="s">
        <v>38</v>
      </c>
      <c r="K355">
        <v>0</v>
      </c>
      <c r="L355">
        <v>1.87625064538501E-4</v>
      </c>
      <c r="M355" t="s">
        <v>38</v>
      </c>
      <c r="O355" t="s">
        <v>2838</v>
      </c>
      <c r="P355">
        <v>917.39239999999995</v>
      </c>
      <c r="Q355">
        <v>884.7432</v>
      </c>
      <c r="R355">
        <v>0.96441086714910695</v>
      </c>
      <c r="S355">
        <v>7.1620967955683901E-2</v>
      </c>
      <c r="T355">
        <v>4</v>
      </c>
      <c r="U355" t="s">
        <v>2826</v>
      </c>
    </row>
    <row r="356" spans="1:21" x14ac:dyDescent="0.3">
      <c r="A356">
        <v>355</v>
      </c>
      <c r="B356" t="s">
        <v>366</v>
      </c>
      <c r="C356" t="s">
        <v>38</v>
      </c>
      <c r="D356">
        <v>0</v>
      </c>
      <c r="E356" t="s">
        <v>38</v>
      </c>
      <c r="F356">
        <v>1</v>
      </c>
      <c r="G356" t="s">
        <v>38</v>
      </c>
      <c r="H356" t="s">
        <v>38</v>
      </c>
      <c r="I356">
        <v>0</v>
      </c>
      <c r="J356" t="s">
        <v>38</v>
      </c>
      <c r="K356">
        <v>0</v>
      </c>
      <c r="L356">
        <v>6.5529506041741496E-4</v>
      </c>
      <c r="M356" t="s">
        <v>38</v>
      </c>
      <c r="O356" t="s">
        <v>2838</v>
      </c>
      <c r="P356">
        <v>101.7792</v>
      </c>
      <c r="Q356">
        <v>101.3284</v>
      </c>
      <c r="R356">
        <v>0.99557080425077005</v>
      </c>
      <c r="S356">
        <v>1.34621507210604E-2</v>
      </c>
      <c r="T356">
        <v>1</v>
      </c>
      <c r="U356" t="s">
        <v>2826</v>
      </c>
    </row>
    <row r="357" spans="1:21" x14ac:dyDescent="0.3">
      <c r="A357">
        <v>356</v>
      </c>
      <c r="B357" t="s">
        <v>1706</v>
      </c>
      <c r="C357" t="s">
        <v>38</v>
      </c>
      <c r="D357">
        <v>4</v>
      </c>
      <c r="E357" t="s">
        <v>38</v>
      </c>
      <c r="F357">
        <v>1</v>
      </c>
      <c r="G357" t="s">
        <v>38</v>
      </c>
      <c r="H357" t="s">
        <v>38</v>
      </c>
      <c r="I357">
        <v>0</v>
      </c>
      <c r="J357" t="s">
        <v>38</v>
      </c>
      <c r="K357">
        <v>0</v>
      </c>
      <c r="L357">
        <v>2.4724953759676302E-3</v>
      </c>
      <c r="M357" t="s">
        <v>38</v>
      </c>
      <c r="O357" t="s">
        <v>2838</v>
      </c>
      <c r="P357">
        <v>7632.5540000000001</v>
      </c>
      <c r="Q357">
        <v>7313.0976000000001</v>
      </c>
      <c r="R357">
        <v>0.958145543418363</v>
      </c>
      <c r="S357">
        <v>1.94902638061384E-2</v>
      </c>
      <c r="T357">
        <v>1</v>
      </c>
      <c r="U357" t="s">
        <v>2826</v>
      </c>
    </row>
    <row r="358" spans="1:21" x14ac:dyDescent="0.3">
      <c r="A358">
        <v>357</v>
      </c>
      <c r="B358" t="s">
        <v>1414</v>
      </c>
      <c r="C358" t="s">
        <v>38</v>
      </c>
      <c r="D358">
        <v>3</v>
      </c>
      <c r="E358" t="s">
        <v>38</v>
      </c>
      <c r="F358">
        <v>1</v>
      </c>
      <c r="G358" t="s">
        <v>38</v>
      </c>
      <c r="H358" t="s">
        <v>38</v>
      </c>
      <c r="I358">
        <v>0</v>
      </c>
      <c r="J358" t="s">
        <v>38</v>
      </c>
      <c r="K358">
        <v>0</v>
      </c>
      <c r="L358">
        <v>1.3220704349069499E-3</v>
      </c>
      <c r="M358" t="s">
        <v>38</v>
      </c>
      <c r="O358" t="s">
        <v>2838</v>
      </c>
      <c r="P358">
        <v>5357.9960000000001</v>
      </c>
      <c r="Q358">
        <v>5222.7172</v>
      </c>
      <c r="R358">
        <v>0.97475197816497094</v>
      </c>
      <c r="S358">
        <v>1.81048458605307E-2</v>
      </c>
      <c r="T358">
        <v>1</v>
      </c>
      <c r="U358" t="s">
        <v>2826</v>
      </c>
    </row>
    <row r="359" spans="1:21" x14ac:dyDescent="0.3">
      <c r="A359">
        <v>358</v>
      </c>
      <c r="B359" t="s">
        <v>1631</v>
      </c>
      <c r="C359" t="s">
        <v>38</v>
      </c>
      <c r="D359">
        <v>17</v>
      </c>
      <c r="E359" t="s">
        <v>38</v>
      </c>
      <c r="F359">
        <v>7</v>
      </c>
      <c r="G359" t="s">
        <v>38</v>
      </c>
      <c r="H359" t="s">
        <v>38</v>
      </c>
      <c r="I359">
        <v>0.1</v>
      </c>
      <c r="J359" t="s">
        <v>38</v>
      </c>
      <c r="K359">
        <v>0</v>
      </c>
      <c r="L359">
        <v>5.44217808556765E-3</v>
      </c>
      <c r="M359" t="s">
        <v>38</v>
      </c>
      <c r="O359" t="s">
        <v>2838</v>
      </c>
      <c r="P359">
        <v>540.74</v>
      </c>
      <c r="Q359">
        <v>447.98239999999998</v>
      </c>
      <c r="R359">
        <v>0.82846173761881903</v>
      </c>
      <c r="S359">
        <v>0.14921491454059699</v>
      </c>
      <c r="T359">
        <v>7</v>
      </c>
      <c r="U359" t="s">
        <v>2826</v>
      </c>
    </row>
    <row r="360" spans="1:21" x14ac:dyDescent="0.3">
      <c r="A360">
        <v>359</v>
      </c>
      <c r="B360" t="s">
        <v>1432</v>
      </c>
      <c r="C360" t="s">
        <v>38</v>
      </c>
      <c r="D360">
        <v>6</v>
      </c>
      <c r="E360" t="s">
        <v>38</v>
      </c>
      <c r="F360">
        <v>3</v>
      </c>
      <c r="G360" t="s">
        <v>38</v>
      </c>
      <c r="H360" t="s">
        <v>38</v>
      </c>
      <c r="I360">
        <v>0.1</v>
      </c>
      <c r="J360" t="s">
        <v>38</v>
      </c>
      <c r="K360">
        <v>19</v>
      </c>
      <c r="L360">
        <v>2.36889743734797E-4</v>
      </c>
      <c r="M360" t="s">
        <v>38</v>
      </c>
      <c r="O360" t="s">
        <v>2829</v>
      </c>
      <c r="P360">
        <v>240.126</v>
      </c>
      <c r="Q360">
        <v>226.26560000000001</v>
      </c>
      <c r="R360">
        <v>0.94227863704888304</v>
      </c>
      <c r="S360">
        <v>6.1857007695546702E-2</v>
      </c>
      <c r="T360">
        <v>3</v>
      </c>
      <c r="U360" t="s">
        <v>2826</v>
      </c>
    </row>
    <row r="361" spans="1:21" x14ac:dyDescent="0.3">
      <c r="A361">
        <v>360</v>
      </c>
      <c r="B361" t="s">
        <v>2458</v>
      </c>
      <c r="C361" t="s">
        <v>38</v>
      </c>
      <c r="D361">
        <v>12</v>
      </c>
      <c r="E361" t="s">
        <v>38</v>
      </c>
      <c r="F361">
        <v>5</v>
      </c>
      <c r="G361" t="s">
        <v>38</v>
      </c>
      <c r="H361" t="s">
        <v>38</v>
      </c>
      <c r="I361">
        <v>0.1</v>
      </c>
      <c r="J361" t="s">
        <v>38</v>
      </c>
      <c r="K361">
        <v>24</v>
      </c>
      <c r="L361">
        <v>1.1373346986413601E-3</v>
      </c>
      <c r="M361" t="s">
        <v>51</v>
      </c>
      <c r="N361" t="s">
        <v>2464</v>
      </c>
      <c r="O361" t="s">
        <v>2829</v>
      </c>
      <c r="P361">
        <v>1578.5704000000001</v>
      </c>
      <c r="Q361">
        <v>1369.1659999999999</v>
      </c>
      <c r="R361">
        <v>0.86734554252379203</v>
      </c>
      <c r="S361">
        <v>9.9349519377231202E-2</v>
      </c>
      <c r="T361">
        <v>5</v>
      </c>
      <c r="U361" t="s">
        <v>2860</v>
      </c>
    </row>
    <row r="362" spans="1:21" x14ac:dyDescent="0.3">
      <c r="A362">
        <v>361</v>
      </c>
      <c r="B362" t="s">
        <v>203</v>
      </c>
      <c r="C362" t="s">
        <v>38</v>
      </c>
      <c r="D362">
        <v>2</v>
      </c>
      <c r="E362" t="s">
        <v>38</v>
      </c>
      <c r="F362">
        <v>1</v>
      </c>
      <c r="G362" t="s">
        <v>38</v>
      </c>
      <c r="H362" t="s">
        <v>38</v>
      </c>
      <c r="I362">
        <v>0</v>
      </c>
      <c r="J362" t="s">
        <v>38</v>
      </c>
      <c r="K362">
        <v>0</v>
      </c>
      <c r="L362">
        <v>6.8035869987207495E-4</v>
      </c>
      <c r="M362" t="s">
        <v>38</v>
      </c>
      <c r="O362" t="s">
        <v>2825</v>
      </c>
      <c r="P362">
        <v>2555.2608</v>
      </c>
      <c r="Q362">
        <v>2513.9679999999998</v>
      </c>
      <c r="R362">
        <v>0.983840083955422</v>
      </c>
      <c r="S362">
        <v>1.57438705763604E-2</v>
      </c>
      <c r="T362">
        <v>1</v>
      </c>
      <c r="U362" t="s">
        <v>2826</v>
      </c>
    </row>
    <row r="363" spans="1:21" x14ac:dyDescent="0.3">
      <c r="A363">
        <v>362</v>
      </c>
      <c r="B363" t="s">
        <v>687</v>
      </c>
      <c r="C363" t="s">
        <v>38</v>
      </c>
      <c r="D363">
        <v>3</v>
      </c>
      <c r="E363" t="s">
        <v>38</v>
      </c>
      <c r="F363">
        <v>1</v>
      </c>
      <c r="G363" t="s">
        <v>38</v>
      </c>
      <c r="H363" t="s">
        <v>38</v>
      </c>
      <c r="I363">
        <v>0</v>
      </c>
      <c r="J363" t="s">
        <v>38</v>
      </c>
      <c r="K363">
        <v>0</v>
      </c>
      <c r="L363">
        <v>6.2086867535536105E-4</v>
      </c>
      <c r="M363" t="s">
        <v>38</v>
      </c>
      <c r="O363" t="s">
        <v>2825</v>
      </c>
      <c r="P363">
        <v>793.30560000000003</v>
      </c>
      <c r="Q363">
        <v>769.24480000000005</v>
      </c>
      <c r="R363">
        <v>0.96967020023557104</v>
      </c>
      <c r="S363">
        <v>2.8019359333700901E-2</v>
      </c>
      <c r="T363">
        <v>1</v>
      </c>
      <c r="U363" t="s">
        <v>2826</v>
      </c>
    </row>
    <row r="364" spans="1:21" x14ac:dyDescent="0.3">
      <c r="A364">
        <v>363</v>
      </c>
      <c r="B364" t="s">
        <v>290</v>
      </c>
      <c r="C364" t="s">
        <v>38</v>
      </c>
      <c r="D364">
        <v>0</v>
      </c>
      <c r="E364" t="s">
        <v>38</v>
      </c>
      <c r="F364">
        <v>1</v>
      </c>
      <c r="G364" t="s">
        <v>38</v>
      </c>
      <c r="H364" t="s">
        <v>38</v>
      </c>
      <c r="I364">
        <v>0</v>
      </c>
      <c r="J364" t="s">
        <v>38</v>
      </c>
      <c r="K364">
        <v>0</v>
      </c>
      <c r="L364">
        <v>5.3917257471058097E-4</v>
      </c>
      <c r="M364" t="s">
        <v>38</v>
      </c>
      <c r="O364" t="s">
        <v>2838</v>
      </c>
      <c r="P364">
        <v>559.38639999999998</v>
      </c>
      <c r="Q364">
        <v>557.15</v>
      </c>
      <c r="R364">
        <v>0.99600204795826297</v>
      </c>
      <c r="S364">
        <v>1.00590536671313E-2</v>
      </c>
      <c r="T364">
        <v>1</v>
      </c>
      <c r="U364" t="s">
        <v>2826</v>
      </c>
    </row>
    <row r="365" spans="1:21" x14ac:dyDescent="0.3">
      <c r="A365">
        <v>364</v>
      </c>
      <c r="B365" t="s">
        <v>2058</v>
      </c>
      <c r="C365" t="s">
        <v>38</v>
      </c>
      <c r="D365">
        <v>3</v>
      </c>
      <c r="E365" t="s">
        <v>38</v>
      </c>
      <c r="F365">
        <v>1</v>
      </c>
      <c r="G365" t="s">
        <v>38</v>
      </c>
      <c r="H365" t="s">
        <v>38</v>
      </c>
      <c r="I365">
        <v>0</v>
      </c>
      <c r="J365" t="s">
        <v>38</v>
      </c>
      <c r="K365">
        <v>0</v>
      </c>
      <c r="L365">
        <v>7.8450446427780402E-4</v>
      </c>
      <c r="M365" t="s">
        <v>38</v>
      </c>
      <c r="O365" t="s">
        <v>2838</v>
      </c>
      <c r="P365">
        <v>928.57240000000002</v>
      </c>
      <c r="Q365">
        <v>902.99040000000002</v>
      </c>
      <c r="R365">
        <v>0.97245018266750105</v>
      </c>
      <c r="S365">
        <v>1.4979231590906E-2</v>
      </c>
      <c r="T365">
        <v>1</v>
      </c>
      <c r="U365" t="s">
        <v>2826</v>
      </c>
    </row>
    <row r="366" spans="1:21" x14ac:dyDescent="0.3">
      <c r="A366">
        <v>365</v>
      </c>
      <c r="B366" t="s">
        <v>1353</v>
      </c>
      <c r="C366" t="s">
        <v>38</v>
      </c>
      <c r="D366">
        <v>0</v>
      </c>
      <c r="E366" t="s">
        <v>38</v>
      </c>
      <c r="F366">
        <v>0</v>
      </c>
      <c r="G366" t="s">
        <v>38</v>
      </c>
      <c r="H366" t="s">
        <v>38</v>
      </c>
      <c r="I366">
        <v>0</v>
      </c>
      <c r="J366" t="s">
        <v>38</v>
      </c>
      <c r="K366">
        <v>0</v>
      </c>
      <c r="L366">
        <v>0</v>
      </c>
      <c r="M366" t="s">
        <v>38</v>
      </c>
      <c r="O366" t="s">
        <v>2838</v>
      </c>
      <c r="P366">
        <v>1318.3684000000001</v>
      </c>
      <c r="Q366">
        <v>1313.5804000000001</v>
      </c>
      <c r="R366">
        <v>0.99636823819502995</v>
      </c>
      <c r="S366">
        <v>3.2330352818926E-3</v>
      </c>
      <c r="T366">
        <v>0</v>
      </c>
      <c r="U366" t="s">
        <v>2826</v>
      </c>
    </row>
    <row r="367" spans="1:21" x14ac:dyDescent="0.3">
      <c r="A367">
        <v>366</v>
      </c>
      <c r="B367" t="s">
        <v>1359</v>
      </c>
      <c r="C367" t="s">
        <v>38</v>
      </c>
      <c r="D367">
        <v>1</v>
      </c>
      <c r="E367" t="s">
        <v>38</v>
      </c>
      <c r="F367">
        <v>0</v>
      </c>
      <c r="G367" t="s">
        <v>38</v>
      </c>
      <c r="H367" t="s">
        <v>38</v>
      </c>
      <c r="I367">
        <v>0</v>
      </c>
      <c r="J367" t="s">
        <v>38</v>
      </c>
      <c r="K367">
        <v>0</v>
      </c>
      <c r="L367">
        <v>1.8466103659638101E-3</v>
      </c>
      <c r="M367" t="s">
        <v>38</v>
      </c>
      <c r="O367" t="s">
        <v>2838</v>
      </c>
      <c r="P367">
        <v>6988.3064000000004</v>
      </c>
      <c r="Q367">
        <v>6923.8212000000003</v>
      </c>
      <c r="R367">
        <v>0.99077241375678704</v>
      </c>
      <c r="S367">
        <v>9.6612191980605198E-3</v>
      </c>
      <c r="T367">
        <v>0</v>
      </c>
      <c r="U367" t="s">
        <v>2826</v>
      </c>
    </row>
    <row r="368" spans="1:21" x14ac:dyDescent="0.3">
      <c r="A368">
        <v>367</v>
      </c>
      <c r="B368" t="s">
        <v>2465</v>
      </c>
      <c r="C368" t="s">
        <v>38</v>
      </c>
      <c r="D368">
        <v>1</v>
      </c>
      <c r="E368" t="s">
        <v>38</v>
      </c>
      <c r="F368">
        <v>1</v>
      </c>
      <c r="G368" t="s">
        <v>38</v>
      </c>
      <c r="H368" t="s">
        <v>38</v>
      </c>
      <c r="I368">
        <v>0</v>
      </c>
      <c r="J368" t="s">
        <v>38</v>
      </c>
      <c r="K368">
        <v>0</v>
      </c>
      <c r="L368" s="18">
        <v>7.7777643727566705E-5</v>
      </c>
      <c r="M368" t="s">
        <v>38</v>
      </c>
      <c r="O368" t="s">
        <v>2838</v>
      </c>
      <c r="P368">
        <v>4714.4892</v>
      </c>
      <c r="Q368">
        <v>4674.8652000000002</v>
      </c>
      <c r="R368">
        <v>0.991595271869538</v>
      </c>
      <c r="S368">
        <v>1.0226612261188799E-2</v>
      </c>
      <c r="T368">
        <v>1</v>
      </c>
      <c r="U368" t="s">
        <v>2826</v>
      </c>
    </row>
    <row r="369" spans="1:21" x14ac:dyDescent="0.3">
      <c r="A369">
        <v>368</v>
      </c>
      <c r="B369" t="s">
        <v>1090</v>
      </c>
      <c r="C369" t="s">
        <v>38</v>
      </c>
      <c r="D369">
        <v>21</v>
      </c>
      <c r="E369" t="s">
        <v>38</v>
      </c>
      <c r="F369">
        <v>10</v>
      </c>
      <c r="G369" t="s">
        <v>38</v>
      </c>
      <c r="H369" t="s">
        <v>38</v>
      </c>
      <c r="I369">
        <v>0.2</v>
      </c>
      <c r="J369" t="s">
        <v>38</v>
      </c>
      <c r="K369">
        <v>0</v>
      </c>
      <c r="L369">
        <v>2.8018023101166298E-3</v>
      </c>
      <c r="M369" t="s">
        <v>38</v>
      </c>
      <c r="O369" t="s">
        <v>2836</v>
      </c>
      <c r="P369">
        <v>653.35519999999997</v>
      </c>
      <c r="Q369">
        <v>496.25200000000001</v>
      </c>
      <c r="R369">
        <v>0.75954396628357701</v>
      </c>
      <c r="S369">
        <v>0.201955221337419</v>
      </c>
      <c r="T369">
        <v>10</v>
      </c>
      <c r="U369" t="s">
        <v>2826</v>
      </c>
    </row>
    <row r="370" spans="1:21" x14ac:dyDescent="0.3">
      <c r="A370">
        <v>369</v>
      </c>
      <c r="B370" t="s">
        <v>473</v>
      </c>
      <c r="C370" t="s">
        <v>38</v>
      </c>
      <c r="D370">
        <v>4</v>
      </c>
      <c r="E370" t="s">
        <v>38</v>
      </c>
      <c r="F370">
        <v>2</v>
      </c>
      <c r="G370" t="s">
        <v>38</v>
      </c>
      <c r="H370" t="s">
        <v>38</v>
      </c>
      <c r="I370">
        <v>0</v>
      </c>
      <c r="J370" t="s">
        <v>38</v>
      </c>
      <c r="K370">
        <v>0</v>
      </c>
      <c r="L370">
        <v>1.16598209346128E-3</v>
      </c>
      <c r="M370" t="s">
        <v>38</v>
      </c>
      <c r="O370" t="s">
        <v>2836</v>
      </c>
      <c r="P370">
        <v>4109.0248000000001</v>
      </c>
      <c r="Q370">
        <v>3931.7928000000002</v>
      </c>
      <c r="R370">
        <v>0.95686762464904096</v>
      </c>
      <c r="S370">
        <v>3.3465190414863698E-2</v>
      </c>
      <c r="T370">
        <v>2</v>
      </c>
      <c r="U370" t="s">
        <v>2826</v>
      </c>
    </row>
    <row r="371" spans="1:21" x14ac:dyDescent="0.3">
      <c r="A371">
        <v>370</v>
      </c>
      <c r="B371" t="s">
        <v>1868</v>
      </c>
      <c r="C371" t="s">
        <v>38</v>
      </c>
      <c r="D371">
        <v>23</v>
      </c>
      <c r="E371" t="s">
        <v>38</v>
      </c>
      <c r="F371">
        <v>9</v>
      </c>
      <c r="G371" t="s">
        <v>38</v>
      </c>
      <c r="H371" t="s">
        <v>38</v>
      </c>
      <c r="I371">
        <v>0.2</v>
      </c>
      <c r="J371" t="s">
        <v>38</v>
      </c>
      <c r="K371">
        <v>0</v>
      </c>
      <c r="L371" s="18">
        <v>4.6977035589332401E-7</v>
      </c>
      <c r="M371" t="s">
        <v>38</v>
      </c>
      <c r="O371" t="s">
        <v>2838</v>
      </c>
      <c r="P371">
        <v>6645.4948000000004</v>
      </c>
      <c r="Q371">
        <v>5108.8792000000003</v>
      </c>
      <c r="R371">
        <v>0.76877333498176803</v>
      </c>
      <c r="S371">
        <v>0.18118212821032501</v>
      </c>
      <c r="T371">
        <v>9</v>
      </c>
      <c r="U371" t="s">
        <v>2826</v>
      </c>
    </row>
    <row r="372" spans="1:21" x14ac:dyDescent="0.3">
      <c r="A372">
        <v>371</v>
      </c>
      <c r="B372" t="s">
        <v>399</v>
      </c>
      <c r="C372" t="s">
        <v>38</v>
      </c>
      <c r="D372">
        <v>36</v>
      </c>
      <c r="E372" t="s">
        <v>38</v>
      </c>
      <c r="F372">
        <v>20</v>
      </c>
      <c r="G372" t="s">
        <v>51</v>
      </c>
      <c r="H372" t="s">
        <v>38</v>
      </c>
      <c r="I372">
        <v>0.4</v>
      </c>
      <c r="J372" t="s">
        <v>38</v>
      </c>
      <c r="K372">
        <v>0</v>
      </c>
      <c r="L372">
        <v>2.8162048889201999E-2</v>
      </c>
      <c r="M372" t="s">
        <v>51</v>
      </c>
      <c r="N372" t="s">
        <v>53</v>
      </c>
      <c r="O372" t="s">
        <v>2868</v>
      </c>
      <c r="P372">
        <v>1442.1487999999999</v>
      </c>
      <c r="Q372">
        <v>919.66319999999996</v>
      </c>
      <c r="R372">
        <v>0.63770340480815801</v>
      </c>
      <c r="S372">
        <v>0.39620372308041701</v>
      </c>
      <c r="T372">
        <v>20</v>
      </c>
      <c r="U372" t="s">
        <v>2826</v>
      </c>
    </row>
    <row r="373" spans="1:21" x14ac:dyDescent="0.3">
      <c r="A373">
        <v>372</v>
      </c>
      <c r="B373" t="s">
        <v>2247</v>
      </c>
      <c r="C373" t="s">
        <v>38</v>
      </c>
      <c r="D373">
        <v>24</v>
      </c>
      <c r="E373" t="s">
        <v>38</v>
      </c>
      <c r="F373">
        <v>9</v>
      </c>
      <c r="G373" t="s">
        <v>38</v>
      </c>
      <c r="H373" t="s">
        <v>38</v>
      </c>
      <c r="I373">
        <v>0.2</v>
      </c>
      <c r="J373" t="s">
        <v>38</v>
      </c>
      <c r="K373">
        <v>0</v>
      </c>
      <c r="L373">
        <v>8.1543485768668707E-3</v>
      </c>
      <c r="M373" t="s">
        <v>38</v>
      </c>
      <c r="O373" t="s">
        <v>2838</v>
      </c>
      <c r="P373">
        <v>3285.6363999999999</v>
      </c>
      <c r="Q373">
        <v>2493.6388000000002</v>
      </c>
      <c r="R373">
        <v>0.75895153827733397</v>
      </c>
      <c r="S373">
        <v>0.184642520729905</v>
      </c>
      <c r="T373">
        <v>9</v>
      </c>
      <c r="U373" t="s">
        <v>2826</v>
      </c>
    </row>
    <row r="374" spans="1:21" x14ac:dyDescent="0.3">
      <c r="A374">
        <v>373</v>
      </c>
      <c r="B374" t="s">
        <v>2070</v>
      </c>
      <c r="C374" t="s">
        <v>38</v>
      </c>
      <c r="D374">
        <v>38</v>
      </c>
      <c r="E374" t="s">
        <v>38</v>
      </c>
      <c r="F374">
        <v>16</v>
      </c>
      <c r="G374" t="s">
        <v>38</v>
      </c>
      <c r="H374" t="s">
        <v>38</v>
      </c>
      <c r="I374">
        <v>0.3</v>
      </c>
      <c r="J374" t="s">
        <v>38</v>
      </c>
      <c r="K374">
        <v>0</v>
      </c>
      <c r="L374">
        <v>4.9638379668722997E-3</v>
      </c>
      <c r="M374" t="s">
        <v>38</v>
      </c>
      <c r="O374" t="s">
        <v>2838</v>
      </c>
      <c r="P374">
        <v>17384.092000000001</v>
      </c>
      <c r="Q374">
        <v>10862.8848</v>
      </c>
      <c r="R374">
        <v>0.62487501791868105</v>
      </c>
      <c r="S374">
        <v>0.31205365269454699</v>
      </c>
      <c r="T374">
        <v>16</v>
      </c>
      <c r="U374" t="s">
        <v>2826</v>
      </c>
    </row>
    <row r="375" spans="1:21" x14ac:dyDescent="0.3">
      <c r="A375">
        <v>374</v>
      </c>
      <c r="B375" t="s">
        <v>1215</v>
      </c>
      <c r="C375" t="s">
        <v>38</v>
      </c>
      <c r="D375">
        <v>7</v>
      </c>
      <c r="E375" t="s">
        <v>38</v>
      </c>
      <c r="F375">
        <v>3</v>
      </c>
      <c r="G375" t="s">
        <v>38</v>
      </c>
      <c r="H375" t="s">
        <v>38</v>
      </c>
      <c r="I375">
        <v>0.1</v>
      </c>
      <c r="J375" t="s">
        <v>38</v>
      </c>
      <c r="K375">
        <v>0</v>
      </c>
      <c r="L375">
        <v>8.3462314487400702E-3</v>
      </c>
      <c r="M375" t="s">
        <v>38</v>
      </c>
      <c r="O375" t="s">
        <v>2838</v>
      </c>
      <c r="P375">
        <v>2066.3027999999999</v>
      </c>
      <c r="Q375">
        <v>1920.4356</v>
      </c>
      <c r="R375">
        <v>0.92940666779331704</v>
      </c>
      <c r="S375">
        <v>5.5794450375759398E-2</v>
      </c>
      <c r="T375">
        <v>3</v>
      </c>
      <c r="U375" t="s">
        <v>2826</v>
      </c>
    </row>
    <row r="376" spans="1:21" x14ac:dyDescent="0.3">
      <c r="A376">
        <v>375</v>
      </c>
      <c r="B376" t="s">
        <v>2252</v>
      </c>
      <c r="C376" t="s">
        <v>38</v>
      </c>
      <c r="D376">
        <v>42</v>
      </c>
      <c r="E376" t="s">
        <v>38</v>
      </c>
      <c r="F376">
        <v>7</v>
      </c>
      <c r="G376" t="s">
        <v>38</v>
      </c>
      <c r="H376" t="s">
        <v>38</v>
      </c>
      <c r="I376">
        <v>0.1</v>
      </c>
      <c r="J376" t="s">
        <v>38</v>
      </c>
      <c r="K376">
        <v>0</v>
      </c>
      <c r="L376">
        <v>1.6263729887912601E-3</v>
      </c>
      <c r="M376" t="s">
        <v>38</v>
      </c>
      <c r="O376" t="s">
        <v>2838</v>
      </c>
      <c r="P376">
        <v>759.89200000000005</v>
      </c>
      <c r="Q376">
        <v>441.22719999999998</v>
      </c>
      <c r="R376">
        <v>0.58064461791938804</v>
      </c>
      <c r="S376">
        <v>0.13971516671530901</v>
      </c>
      <c r="T376">
        <v>7</v>
      </c>
      <c r="U376" t="s">
        <v>2826</v>
      </c>
    </row>
    <row r="377" spans="1:21" x14ac:dyDescent="0.3">
      <c r="A377">
        <v>376</v>
      </c>
      <c r="B377" t="s">
        <v>1197</v>
      </c>
      <c r="C377" t="s">
        <v>76</v>
      </c>
      <c r="D377">
        <v>60</v>
      </c>
      <c r="E377" t="s">
        <v>38</v>
      </c>
      <c r="F377">
        <v>22</v>
      </c>
      <c r="G377" t="s">
        <v>51</v>
      </c>
      <c r="H377" t="s">
        <v>38</v>
      </c>
      <c r="I377">
        <v>0.4</v>
      </c>
      <c r="J377" t="s">
        <v>38</v>
      </c>
      <c r="K377">
        <v>0</v>
      </c>
      <c r="L377">
        <v>8.6950664425470897E-4</v>
      </c>
      <c r="M377" t="s">
        <v>51</v>
      </c>
      <c r="N377" t="s">
        <v>53</v>
      </c>
      <c r="O377" t="s">
        <v>2868</v>
      </c>
      <c r="P377">
        <v>7198.2151999999996</v>
      </c>
      <c r="Q377">
        <v>2856.3323999999998</v>
      </c>
      <c r="R377">
        <v>0.39681119842040802</v>
      </c>
      <c r="S377">
        <v>0.44248625029842298</v>
      </c>
      <c r="T377">
        <v>22</v>
      </c>
      <c r="U377" t="s">
        <v>2826</v>
      </c>
    </row>
    <row r="378" spans="1:21" x14ac:dyDescent="0.3">
      <c r="A378">
        <v>377</v>
      </c>
      <c r="B378" t="s">
        <v>448</v>
      </c>
      <c r="C378" t="s">
        <v>38</v>
      </c>
      <c r="D378">
        <v>18</v>
      </c>
      <c r="E378" t="s">
        <v>38</v>
      </c>
      <c r="F378">
        <v>5</v>
      </c>
      <c r="G378" t="s">
        <v>38</v>
      </c>
      <c r="H378" t="s">
        <v>38</v>
      </c>
      <c r="I378">
        <v>0.1</v>
      </c>
      <c r="J378" t="s">
        <v>38</v>
      </c>
      <c r="K378">
        <v>0</v>
      </c>
      <c r="L378">
        <v>2.6754899134151701E-4</v>
      </c>
      <c r="M378" t="s">
        <v>38</v>
      </c>
      <c r="O378" t="s">
        <v>2838</v>
      </c>
      <c r="P378">
        <v>12074.1312</v>
      </c>
      <c r="Q378">
        <v>9880.8071999999993</v>
      </c>
      <c r="R378">
        <v>0.81834519074962497</v>
      </c>
      <c r="S378">
        <v>0.102873232750816</v>
      </c>
      <c r="T378">
        <v>5</v>
      </c>
      <c r="U378" t="s">
        <v>2826</v>
      </c>
    </row>
    <row r="379" spans="1:21" x14ac:dyDescent="0.3">
      <c r="A379">
        <v>378</v>
      </c>
      <c r="B379" t="s">
        <v>1905</v>
      </c>
      <c r="C379" t="s">
        <v>38</v>
      </c>
      <c r="D379">
        <v>8</v>
      </c>
      <c r="E379" t="s">
        <v>38</v>
      </c>
      <c r="F379">
        <v>2</v>
      </c>
      <c r="G379" t="s">
        <v>38</v>
      </c>
      <c r="H379" t="s">
        <v>38</v>
      </c>
      <c r="I379">
        <v>0</v>
      </c>
      <c r="J379" t="s">
        <v>38</v>
      </c>
      <c r="K379">
        <v>0</v>
      </c>
      <c r="L379">
        <v>3.6646740468183302E-3</v>
      </c>
      <c r="M379" t="s">
        <v>38</v>
      </c>
      <c r="O379" t="s">
        <v>2838</v>
      </c>
      <c r="P379">
        <v>8901.2312000000002</v>
      </c>
      <c r="Q379">
        <v>8214.6460000000006</v>
      </c>
      <c r="R379">
        <v>0.92286626596105004</v>
      </c>
      <c r="S379">
        <v>4.6383095644521997E-2</v>
      </c>
      <c r="T379">
        <v>2</v>
      </c>
      <c r="U379" t="s">
        <v>2826</v>
      </c>
    </row>
    <row r="380" spans="1:21" x14ac:dyDescent="0.3">
      <c r="A380">
        <v>379</v>
      </c>
      <c r="B380" t="s">
        <v>2258</v>
      </c>
      <c r="C380" t="s">
        <v>38</v>
      </c>
      <c r="D380">
        <v>21</v>
      </c>
      <c r="E380" t="s">
        <v>38</v>
      </c>
      <c r="F380">
        <v>8</v>
      </c>
      <c r="G380" t="s">
        <v>38</v>
      </c>
      <c r="H380" t="s">
        <v>38</v>
      </c>
      <c r="I380">
        <v>0.2</v>
      </c>
      <c r="J380" t="s">
        <v>38</v>
      </c>
      <c r="K380">
        <v>0</v>
      </c>
      <c r="L380">
        <v>7.3079768515658299E-4</v>
      </c>
      <c r="M380" t="s">
        <v>38</v>
      </c>
      <c r="O380" t="s">
        <v>2838</v>
      </c>
      <c r="P380">
        <v>6496.36</v>
      </c>
      <c r="Q380">
        <v>5101.8224</v>
      </c>
      <c r="R380">
        <v>0.78533554174953402</v>
      </c>
      <c r="S380">
        <v>0.16625764776271901</v>
      </c>
      <c r="T380">
        <v>8</v>
      </c>
      <c r="U380" t="s">
        <v>2826</v>
      </c>
    </row>
    <row r="381" spans="1:21" x14ac:dyDescent="0.3">
      <c r="A381">
        <v>380</v>
      </c>
      <c r="B381" t="s">
        <v>210</v>
      </c>
      <c r="C381" t="s">
        <v>38</v>
      </c>
      <c r="D381">
        <v>11</v>
      </c>
      <c r="E381" t="s">
        <v>38</v>
      </c>
      <c r="F381">
        <v>7</v>
      </c>
      <c r="G381" t="s">
        <v>38</v>
      </c>
      <c r="H381" t="s">
        <v>38</v>
      </c>
      <c r="I381">
        <v>0.1</v>
      </c>
      <c r="J381" t="s">
        <v>38</v>
      </c>
      <c r="K381">
        <v>0</v>
      </c>
      <c r="L381">
        <v>0</v>
      </c>
      <c r="M381" t="s">
        <v>38</v>
      </c>
      <c r="O381" t="s">
        <v>2838</v>
      </c>
      <c r="P381">
        <v>12012.496800000001</v>
      </c>
      <c r="Q381">
        <v>10665.7168</v>
      </c>
      <c r="R381">
        <v>0.88788508980081504</v>
      </c>
      <c r="S381">
        <v>0.14139945428189299</v>
      </c>
      <c r="T381">
        <v>7</v>
      </c>
      <c r="U381" t="s">
        <v>2826</v>
      </c>
    </row>
    <row r="382" spans="1:21" x14ac:dyDescent="0.3">
      <c r="A382">
        <v>381</v>
      </c>
      <c r="B382" t="s">
        <v>1389</v>
      </c>
      <c r="C382" t="s">
        <v>38</v>
      </c>
      <c r="D382">
        <v>3</v>
      </c>
      <c r="E382" t="s">
        <v>38</v>
      </c>
      <c r="F382">
        <v>1</v>
      </c>
      <c r="G382" t="s">
        <v>38</v>
      </c>
      <c r="H382" t="s">
        <v>38</v>
      </c>
      <c r="I382">
        <v>0</v>
      </c>
      <c r="J382" t="s">
        <v>38</v>
      </c>
      <c r="K382">
        <v>0</v>
      </c>
      <c r="L382" s="18">
        <v>4.53592133671371E-5</v>
      </c>
      <c r="M382" t="s">
        <v>38</v>
      </c>
      <c r="O382" t="s">
        <v>2838</v>
      </c>
      <c r="P382">
        <v>1107.4924000000001</v>
      </c>
      <c r="Q382">
        <v>1075.8563999999999</v>
      </c>
      <c r="R382">
        <v>0.97143456695504204</v>
      </c>
      <c r="S382">
        <v>2.6643661276112798E-2</v>
      </c>
      <c r="T382">
        <v>1</v>
      </c>
      <c r="U382" t="s">
        <v>2826</v>
      </c>
    </row>
    <row r="383" spans="1:21" x14ac:dyDescent="0.3">
      <c r="A383">
        <v>382</v>
      </c>
      <c r="B383" t="s">
        <v>882</v>
      </c>
      <c r="C383" t="s">
        <v>38</v>
      </c>
      <c r="D383">
        <v>38</v>
      </c>
      <c r="E383" t="s">
        <v>38</v>
      </c>
      <c r="F383">
        <v>18</v>
      </c>
      <c r="G383" t="s">
        <v>51</v>
      </c>
      <c r="H383" t="s">
        <v>38</v>
      </c>
      <c r="I383">
        <v>0.4</v>
      </c>
      <c r="J383" t="s">
        <v>38</v>
      </c>
      <c r="K383">
        <v>0</v>
      </c>
      <c r="L383">
        <v>6.1160517933762301E-3</v>
      </c>
      <c r="M383" t="s">
        <v>51</v>
      </c>
      <c r="N383" t="s">
        <v>53</v>
      </c>
      <c r="O383" t="s">
        <v>2868</v>
      </c>
      <c r="P383">
        <v>10110.8896</v>
      </c>
      <c r="Q383">
        <v>6219.6988000000001</v>
      </c>
      <c r="R383">
        <v>0.61514852263840403</v>
      </c>
      <c r="S383">
        <v>0.36084855872048799</v>
      </c>
      <c r="T383">
        <v>18</v>
      </c>
      <c r="U383" t="s">
        <v>2826</v>
      </c>
    </row>
    <row r="384" spans="1:21" x14ac:dyDescent="0.3">
      <c r="A384">
        <v>383</v>
      </c>
      <c r="B384" t="s">
        <v>442</v>
      </c>
      <c r="C384" t="s">
        <v>38</v>
      </c>
      <c r="D384">
        <v>27</v>
      </c>
      <c r="E384" t="s">
        <v>38</v>
      </c>
      <c r="F384">
        <v>10</v>
      </c>
      <c r="G384" t="s">
        <v>38</v>
      </c>
      <c r="H384" t="s">
        <v>38</v>
      </c>
      <c r="I384">
        <v>0.2</v>
      </c>
      <c r="J384" t="s">
        <v>38</v>
      </c>
      <c r="K384">
        <v>0</v>
      </c>
      <c r="L384">
        <v>4.26379552294378E-2</v>
      </c>
      <c r="M384" t="s">
        <v>38</v>
      </c>
      <c r="O384" t="s">
        <v>2838</v>
      </c>
      <c r="P384">
        <v>4147.7392</v>
      </c>
      <c r="Q384">
        <v>3045.6619999999998</v>
      </c>
      <c r="R384">
        <v>0.73429448023154398</v>
      </c>
      <c r="S384">
        <v>0.20711789322010499</v>
      </c>
      <c r="T384">
        <v>10</v>
      </c>
      <c r="U384" t="s">
        <v>2826</v>
      </c>
    </row>
    <row r="385" spans="1:21" x14ac:dyDescent="0.3">
      <c r="A385">
        <v>384</v>
      </c>
      <c r="B385" t="s">
        <v>1936</v>
      </c>
      <c r="C385" t="s">
        <v>38</v>
      </c>
      <c r="D385">
        <v>12</v>
      </c>
      <c r="E385" t="s">
        <v>38</v>
      </c>
      <c r="F385">
        <v>13</v>
      </c>
      <c r="G385" t="s">
        <v>38</v>
      </c>
      <c r="H385" t="s">
        <v>38</v>
      </c>
      <c r="I385">
        <v>0.3</v>
      </c>
      <c r="J385" t="s">
        <v>38</v>
      </c>
      <c r="K385">
        <v>0</v>
      </c>
      <c r="L385">
        <v>0.112866817155756</v>
      </c>
      <c r="M385" t="s">
        <v>38</v>
      </c>
      <c r="O385" t="s">
        <v>2838</v>
      </c>
      <c r="P385">
        <v>0.60199999999999998</v>
      </c>
      <c r="Q385">
        <v>0.53159999999999996</v>
      </c>
      <c r="R385">
        <v>0.88305647840531598</v>
      </c>
      <c r="S385">
        <v>0.25483759502418801</v>
      </c>
      <c r="T385">
        <v>13</v>
      </c>
      <c r="U385" t="s">
        <v>2826</v>
      </c>
    </row>
    <row r="386" spans="1:21" x14ac:dyDescent="0.3">
      <c r="A386">
        <v>385</v>
      </c>
      <c r="B386" t="s">
        <v>41</v>
      </c>
      <c r="C386" t="s">
        <v>38</v>
      </c>
      <c r="D386">
        <v>43</v>
      </c>
      <c r="E386" t="s">
        <v>38</v>
      </c>
      <c r="F386">
        <v>20</v>
      </c>
      <c r="G386" t="s">
        <v>51</v>
      </c>
      <c r="H386" t="s">
        <v>38</v>
      </c>
      <c r="I386">
        <v>0.4</v>
      </c>
      <c r="J386" t="s">
        <v>38</v>
      </c>
      <c r="K386">
        <v>0</v>
      </c>
      <c r="L386">
        <v>5.95989495951101E-3</v>
      </c>
      <c r="M386" t="s">
        <v>51</v>
      </c>
      <c r="N386" t="s">
        <v>53</v>
      </c>
      <c r="O386" t="s">
        <v>2868</v>
      </c>
      <c r="P386">
        <v>4445.3284000000003</v>
      </c>
      <c r="Q386">
        <v>2519.1048000000001</v>
      </c>
      <c r="R386">
        <v>0.56668587184694796</v>
      </c>
      <c r="S386">
        <v>0.40232294546236302</v>
      </c>
      <c r="T386">
        <v>20</v>
      </c>
      <c r="U386" t="s">
        <v>2826</v>
      </c>
    </row>
    <row r="387" spans="1:21" x14ac:dyDescent="0.3">
      <c r="A387">
        <v>386</v>
      </c>
      <c r="B387" t="s">
        <v>2264</v>
      </c>
      <c r="C387" t="s">
        <v>38</v>
      </c>
      <c r="D387">
        <v>11</v>
      </c>
      <c r="E387" t="s">
        <v>38</v>
      </c>
      <c r="F387">
        <v>3</v>
      </c>
      <c r="G387" t="s">
        <v>38</v>
      </c>
      <c r="H387" t="s">
        <v>38</v>
      </c>
      <c r="I387">
        <v>0.1</v>
      </c>
      <c r="J387" t="s">
        <v>38</v>
      </c>
      <c r="K387">
        <v>0</v>
      </c>
      <c r="L387">
        <v>1.78288930360265E-2</v>
      </c>
      <c r="M387" t="s">
        <v>38</v>
      </c>
      <c r="O387" t="s">
        <v>2838</v>
      </c>
      <c r="P387">
        <v>666.91</v>
      </c>
      <c r="Q387">
        <v>596.71680000000003</v>
      </c>
      <c r="R387">
        <v>0.89474861675488504</v>
      </c>
      <c r="S387">
        <v>5.3612652783706999E-2</v>
      </c>
      <c r="T387">
        <v>3</v>
      </c>
      <c r="U387" t="s">
        <v>2826</v>
      </c>
    </row>
    <row r="388" spans="1:21" x14ac:dyDescent="0.3">
      <c r="A388">
        <v>387</v>
      </c>
      <c r="B388" t="s">
        <v>1371</v>
      </c>
      <c r="C388" t="s">
        <v>38</v>
      </c>
      <c r="D388">
        <v>8</v>
      </c>
      <c r="E388" t="s">
        <v>38</v>
      </c>
      <c r="F388">
        <v>4</v>
      </c>
      <c r="G388" t="s">
        <v>38</v>
      </c>
      <c r="H388" t="s">
        <v>38</v>
      </c>
      <c r="I388">
        <v>0.1</v>
      </c>
      <c r="J388" t="s">
        <v>38</v>
      </c>
      <c r="K388">
        <v>0</v>
      </c>
      <c r="L388">
        <v>5.7360810469027504E-3</v>
      </c>
      <c r="M388" t="s">
        <v>38</v>
      </c>
      <c r="O388" t="s">
        <v>2838</v>
      </c>
      <c r="P388">
        <v>891.32399999999996</v>
      </c>
      <c r="Q388">
        <v>823.97720000000004</v>
      </c>
      <c r="R388">
        <v>0.92444184157500497</v>
      </c>
      <c r="S388">
        <v>7.1217367502489401E-2</v>
      </c>
      <c r="T388">
        <v>4</v>
      </c>
      <c r="U388" t="s">
        <v>2826</v>
      </c>
    </row>
    <row r="389" spans="1:21" x14ac:dyDescent="0.3">
      <c r="A389">
        <v>388</v>
      </c>
      <c r="B389" t="s">
        <v>1544</v>
      </c>
      <c r="C389" t="s">
        <v>38</v>
      </c>
      <c r="D389">
        <v>13</v>
      </c>
      <c r="E389" t="s">
        <v>38</v>
      </c>
      <c r="F389">
        <v>6</v>
      </c>
      <c r="G389" t="s">
        <v>38</v>
      </c>
      <c r="H389" t="s">
        <v>38</v>
      </c>
      <c r="I389">
        <v>0.1</v>
      </c>
      <c r="J389" t="s">
        <v>38</v>
      </c>
      <c r="K389">
        <v>0</v>
      </c>
      <c r="L389">
        <v>1.77908456556032E-2</v>
      </c>
      <c r="M389" t="s">
        <v>38</v>
      </c>
      <c r="O389" t="s">
        <v>2838</v>
      </c>
      <c r="P389">
        <v>2000.0168000000001</v>
      </c>
      <c r="Q389">
        <v>1747.8652</v>
      </c>
      <c r="R389">
        <v>0.87392525902782403</v>
      </c>
      <c r="S389">
        <v>0.112005171552885</v>
      </c>
      <c r="T389">
        <v>6</v>
      </c>
      <c r="U389" t="s">
        <v>2826</v>
      </c>
    </row>
    <row r="390" spans="1:21" x14ac:dyDescent="0.3">
      <c r="A390">
        <v>389</v>
      </c>
      <c r="B390" t="s">
        <v>628</v>
      </c>
      <c r="C390" t="s">
        <v>76</v>
      </c>
      <c r="D390">
        <v>52</v>
      </c>
      <c r="E390" t="s">
        <v>76</v>
      </c>
      <c r="F390">
        <v>39</v>
      </c>
      <c r="G390" t="s">
        <v>51</v>
      </c>
      <c r="H390" t="s">
        <v>76</v>
      </c>
      <c r="I390">
        <v>0.8</v>
      </c>
      <c r="J390" t="s">
        <v>38</v>
      </c>
      <c r="K390">
        <v>0</v>
      </c>
      <c r="L390">
        <v>1.32021710530665E-3</v>
      </c>
      <c r="M390" t="s">
        <v>51</v>
      </c>
      <c r="N390" t="s">
        <v>53</v>
      </c>
      <c r="O390" t="s">
        <v>2846</v>
      </c>
      <c r="P390">
        <v>2522.8339999999998</v>
      </c>
      <c r="Q390">
        <v>1210.104</v>
      </c>
      <c r="R390">
        <v>0.47966057219777403</v>
      </c>
      <c r="S390">
        <v>0.78276786824745603</v>
      </c>
      <c r="T390">
        <v>39</v>
      </c>
      <c r="U390" t="s">
        <v>2826</v>
      </c>
    </row>
    <row r="391" spans="1:21" x14ac:dyDescent="0.3">
      <c r="A391">
        <v>390</v>
      </c>
      <c r="B391" t="s">
        <v>648</v>
      </c>
      <c r="C391" t="s">
        <v>38</v>
      </c>
      <c r="D391">
        <v>22</v>
      </c>
      <c r="E391" t="s">
        <v>38</v>
      </c>
      <c r="F391">
        <v>13</v>
      </c>
      <c r="G391" t="s">
        <v>38</v>
      </c>
      <c r="H391" t="s">
        <v>38</v>
      </c>
      <c r="I391">
        <v>0.3</v>
      </c>
      <c r="J391" t="s">
        <v>38</v>
      </c>
      <c r="K391">
        <v>0</v>
      </c>
      <c r="L391">
        <v>7.3694228184240903E-3</v>
      </c>
      <c r="M391" t="s">
        <v>38</v>
      </c>
      <c r="O391" t="s">
        <v>2838</v>
      </c>
      <c r="P391">
        <v>2316.1448</v>
      </c>
      <c r="Q391">
        <v>1809.8568</v>
      </c>
      <c r="R391">
        <v>0.78140917614477301</v>
      </c>
      <c r="S391">
        <v>0.256419408633836</v>
      </c>
      <c r="T391">
        <v>13</v>
      </c>
      <c r="U391" t="s">
        <v>2826</v>
      </c>
    </row>
    <row r="392" spans="1:21" x14ac:dyDescent="0.3">
      <c r="A392">
        <v>391</v>
      </c>
      <c r="B392" t="s">
        <v>2780</v>
      </c>
      <c r="C392" t="s">
        <v>38</v>
      </c>
      <c r="D392">
        <v>4</v>
      </c>
      <c r="E392" t="s">
        <v>38</v>
      </c>
      <c r="F392">
        <v>1</v>
      </c>
      <c r="G392" t="s">
        <v>38</v>
      </c>
      <c r="H392" t="s">
        <v>38</v>
      </c>
      <c r="I392">
        <v>0</v>
      </c>
      <c r="J392" t="s">
        <v>38</v>
      </c>
      <c r="K392">
        <v>0</v>
      </c>
      <c r="L392">
        <v>0</v>
      </c>
      <c r="M392" t="s">
        <v>38</v>
      </c>
      <c r="O392" t="s">
        <v>2838</v>
      </c>
      <c r="P392">
        <v>388.17680000000001</v>
      </c>
      <c r="Q392">
        <v>373.66079999999999</v>
      </c>
      <c r="R392">
        <v>0.96260466880040196</v>
      </c>
      <c r="S392">
        <v>2.2342803909961E-2</v>
      </c>
      <c r="T392">
        <v>1</v>
      </c>
      <c r="U392" t="s">
        <v>2826</v>
      </c>
    </row>
    <row r="393" spans="1:21" x14ac:dyDescent="0.3">
      <c r="A393">
        <v>392</v>
      </c>
      <c r="B393" t="s">
        <v>423</v>
      </c>
      <c r="C393" t="s">
        <v>38</v>
      </c>
      <c r="D393">
        <v>33</v>
      </c>
      <c r="E393" t="s">
        <v>38</v>
      </c>
      <c r="F393">
        <v>10</v>
      </c>
      <c r="G393" t="s">
        <v>38</v>
      </c>
      <c r="H393" t="s">
        <v>38</v>
      </c>
      <c r="I393">
        <v>0.2</v>
      </c>
      <c r="J393" t="s">
        <v>38</v>
      </c>
      <c r="K393">
        <v>0</v>
      </c>
      <c r="L393">
        <v>9.9097782564024194E-3</v>
      </c>
      <c r="M393" t="s">
        <v>38</v>
      </c>
      <c r="O393" t="s">
        <v>2838</v>
      </c>
      <c r="P393">
        <v>1331.3268</v>
      </c>
      <c r="Q393">
        <v>889.58600000000001</v>
      </c>
      <c r="R393">
        <v>0.66819506675596096</v>
      </c>
      <c r="S393">
        <v>0.194641333211901</v>
      </c>
      <c r="T393">
        <v>10</v>
      </c>
      <c r="U393" t="s">
        <v>2826</v>
      </c>
    </row>
    <row r="394" spans="1:21" x14ac:dyDescent="0.3">
      <c r="A394">
        <v>393</v>
      </c>
      <c r="B394" t="s">
        <v>334</v>
      </c>
      <c r="C394" t="s">
        <v>38</v>
      </c>
      <c r="D394">
        <v>11</v>
      </c>
      <c r="E394" t="s">
        <v>38</v>
      </c>
      <c r="F394">
        <v>4</v>
      </c>
      <c r="G394" t="s">
        <v>38</v>
      </c>
      <c r="H394" t="s">
        <v>38</v>
      </c>
      <c r="I394">
        <v>0.1</v>
      </c>
      <c r="J394" t="s">
        <v>38</v>
      </c>
      <c r="K394">
        <v>0</v>
      </c>
      <c r="L394">
        <v>3.9482542206012898E-3</v>
      </c>
      <c r="M394" t="s">
        <v>38</v>
      </c>
      <c r="O394" t="s">
        <v>2838</v>
      </c>
      <c r="P394">
        <v>4119.6271999999999</v>
      </c>
      <c r="Q394">
        <v>3661.8715999999999</v>
      </c>
      <c r="R394">
        <v>0.88888421748453394</v>
      </c>
      <c r="S394">
        <v>7.0395829720844003E-2</v>
      </c>
      <c r="T394">
        <v>4</v>
      </c>
      <c r="U394" t="s">
        <v>2826</v>
      </c>
    </row>
    <row r="395" spans="1:21" x14ac:dyDescent="0.3">
      <c r="A395">
        <v>394</v>
      </c>
      <c r="B395" t="s">
        <v>492</v>
      </c>
      <c r="C395" t="s">
        <v>38</v>
      </c>
      <c r="D395">
        <v>2</v>
      </c>
      <c r="E395" t="s">
        <v>38</v>
      </c>
      <c r="F395">
        <v>0</v>
      </c>
      <c r="G395" t="s">
        <v>38</v>
      </c>
      <c r="H395" t="s">
        <v>38</v>
      </c>
      <c r="I395">
        <v>0</v>
      </c>
      <c r="J395" t="s">
        <v>38</v>
      </c>
      <c r="K395">
        <v>0</v>
      </c>
      <c r="L395">
        <v>0</v>
      </c>
      <c r="M395" t="s">
        <v>38</v>
      </c>
      <c r="O395" t="s">
        <v>2838</v>
      </c>
      <c r="P395">
        <v>367.10359999999997</v>
      </c>
      <c r="Q395">
        <v>359.8116</v>
      </c>
      <c r="R395">
        <v>0.98013639746382197</v>
      </c>
      <c r="S395">
        <v>9.4278088913173092E-3</v>
      </c>
      <c r="T395">
        <v>0</v>
      </c>
      <c r="U395" t="s">
        <v>2826</v>
      </c>
    </row>
    <row r="396" spans="1:21" x14ac:dyDescent="0.3">
      <c r="A396">
        <v>395</v>
      </c>
      <c r="B396" t="s">
        <v>2108</v>
      </c>
      <c r="C396" t="s">
        <v>76</v>
      </c>
      <c r="D396">
        <v>69</v>
      </c>
      <c r="E396" t="s">
        <v>76</v>
      </c>
      <c r="F396">
        <v>43</v>
      </c>
      <c r="G396" t="s">
        <v>51</v>
      </c>
      <c r="H396" t="s">
        <v>76</v>
      </c>
      <c r="I396">
        <v>0.9</v>
      </c>
      <c r="J396" t="s">
        <v>38</v>
      </c>
      <c r="K396">
        <v>0</v>
      </c>
      <c r="L396">
        <v>1.6818537515042701E-2</v>
      </c>
      <c r="M396" t="s">
        <v>51</v>
      </c>
      <c r="N396" t="s">
        <v>53</v>
      </c>
      <c r="O396" t="s">
        <v>2846</v>
      </c>
      <c r="P396">
        <v>2285.098</v>
      </c>
      <c r="Q396">
        <v>708.9796</v>
      </c>
      <c r="R396">
        <v>0.31026222945361598</v>
      </c>
      <c r="S396">
        <v>0.858589565491364</v>
      </c>
      <c r="T396">
        <v>43</v>
      </c>
      <c r="U396" t="s">
        <v>2826</v>
      </c>
    </row>
    <row r="397" spans="1:21" x14ac:dyDescent="0.3">
      <c r="A397">
        <v>396</v>
      </c>
      <c r="B397" t="s">
        <v>159</v>
      </c>
      <c r="C397" t="s">
        <v>38</v>
      </c>
      <c r="D397">
        <v>27</v>
      </c>
      <c r="E397" t="s">
        <v>38</v>
      </c>
      <c r="F397">
        <v>20</v>
      </c>
      <c r="G397" t="s">
        <v>51</v>
      </c>
      <c r="H397" t="s">
        <v>76</v>
      </c>
      <c r="I397">
        <v>0.4</v>
      </c>
      <c r="J397" t="s">
        <v>38</v>
      </c>
      <c r="K397">
        <v>0</v>
      </c>
      <c r="L397">
        <v>2.57098751408779E-3</v>
      </c>
      <c r="M397" t="s">
        <v>51</v>
      </c>
      <c r="N397" t="s">
        <v>53</v>
      </c>
      <c r="O397" t="s">
        <v>2846</v>
      </c>
      <c r="P397">
        <v>491.32839999999999</v>
      </c>
      <c r="Q397">
        <v>360.95080000000002</v>
      </c>
      <c r="R397">
        <v>0.734642654485269</v>
      </c>
      <c r="S397">
        <v>0.40636285764968799</v>
      </c>
      <c r="T397">
        <v>20</v>
      </c>
      <c r="U397" t="s">
        <v>2826</v>
      </c>
    </row>
    <row r="398" spans="1:21" x14ac:dyDescent="0.3">
      <c r="A398">
        <v>397</v>
      </c>
      <c r="B398" t="s">
        <v>2270</v>
      </c>
      <c r="C398" t="s">
        <v>76</v>
      </c>
      <c r="D398">
        <v>54</v>
      </c>
      <c r="E398" t="s">
        <v>38</v>
      </c>
      <c r="F398">
        <v>28</v>
      </c>
      <c r="G398" t="s">
        <v>51</v>
      </c>
      <c r="H398" t="s">
        <v>38</v>
      </c>
      <c r="I398">
        <v>0.6</v>
      </c>
      <c r="J398" t="s">
        <v>38</v>
      </c>
      <c r="K398">
        <v>0</v>
      </c>
      <c r="L398">
        <v>1.4642822417894099E-2</v>
      </c>
      <c r="M398" t="s">
        <v>51</v>
      </c>
      <c r="N398" t="s">
        <v>53</v>
      </c>
      <c r="O398" t="s">
        <v>2868</v>
      </c>
      <c r="P398">
        <v>1833.3936000000001</v>
      </c>
      <c r="Q398">
        <v>843.36199999999997</v>
      </c>
      <c r="R398">
        <v>0.46000051489216498</v>
      </c>
      <c r="S398">
        <v>0.56093875259762005</v>
      </c>
      <c r="T398">
        <v>28</v>
      </c>
      <c r="U398" t="s">
        <v>2826</v>
      </c>
    </row>
    <row r="399" spans="1:21" x14ac:dyDescent="0.3">
      <c r="A399">
        <v>398</v>
      </c>
      <c r="B399" t="s">
        <v>2102</v>
      </c>
      <c r="C399" t="s">
        <v>38</v>
      </c>
      <c r="D399">
        <v>16</v>
      </c>
      <c r="E399" t="s">
        <v>38</v>
      </c>
      <c r="F399">
        <v>7</v>
      </c>
      <c r="G399" t="s">
        <v>38</v>
      </c>
      <c r="H399" t="s">
        <v>38</v>
      </c>
      <c r="I399">
        <v>0.1</v>
      </c>
      <c r="J399" t="s">
        <v>38</v>
      </c>
      <c r="K399">
        <v>0</v>
      </c>
      <c r="L399">
        <v>2.22596664389779E-2</v>
      </c>
      <c r="M399" t="s">
        <v>38</v>
      </c>
      <c r="O399" t="s">
        <v>2838</v>
      </c>
      <c r="P399">
        <v>3103.5983999999999</v>
      </c>
      <c r="Q399">
        <v>2593.0128</v>
      </c>
      <c r="R399">
        <v>0.83548593142721095</v>
      </c>
      <c r="S399">
        <v>0.13155972314473699</v>
      </c>
      <c r="T399">
        <v>7</v>
      </c>
      <c r="U399" t="s">
        <v>2826</v>
      </c>
    </row>
    <row r="400" spans="1:21" x14ac:dyDescent="0.3">
      <c r="A400">
        <v>399</v>
      </c>
      <c r="B400" t="s">
        <v>2744</v>
      </c>
      <c r="C400" t="s">
        <v>38</v>
      </c>
      <c r="D400">
        <v>22</v>
      </c>
      <c r="E400" t="s">
        <v>38</v>
      </c>
      <c r="F400">
        <v>4</v>
      </c>
      <c r="G400" t="s">
        <v>38</v>
      </c>
      <c r="H400" t="s">
        <v>38</v>
      </c>
      <c r="I400">
        <v>0.1</v>
      </c>
      <c r="J400" t="s">
        <v>38</v>
      </c>
      <c r="K400">
        <v>0</v>
      </c>
      <c r="L400" s="18">
        <v>1.53974712219763E-5</v>
      </c>
      <c r="M400" t="s">
        <v>38</v>
      </c>
      <c r="O400" t="s">
        <v>2838</v>
      </c>
      <c r="P400">
        <v>15427.0416</v>
      </c>
      <c r="Q400">
        <v>12001.970799999999</v>
      </c>
      <c r="R400">
        <v>0.777982656117295</v>
      </c>
      <c r="S400">
        <v>7.1949201474223803E-2</v>
      </c>
      <c r="T400">
        <v>4</v>
      </c>
      <c r="U400" t="s">
        <v>2826</v>
      </c>
    </row>
    <row r="401" spans="1:21" x14ac:dyDescent="0.3">
      <c r="A401">
        <v>400</v>
      </c>
      <c r="B401" t="s">
        <v>1556</v>
      </c>
      <c r="C401" t="s">
        <v>38</v>
      </c>
      <c r="D401">
        <v>5</v>
      </c>
      <c r="E401" t="s">
        <v>38</v>
      </c>
      <c r="F401">
        <v>2</v>
      </c>
      <c r="G401" t="s">
        <v>38</v>
      </c>
      <c r="H401" t="s">
        <v>38</v>
      </c>
      <c r="I401">
        <v>0</v>
      </c>
      <c r="J401" t="s">
        <v>38</v>
      </c>
      <c r="K401">
        <v>0</v>
      </c>
      <c r="L401">
        <v>3.1561364759335401E-4</v>
      </c>
      <c r="M401" t="s">
        <v>38</v>
      </c>
      <c r="O401" t="s">
        <v>2838</v>
      </c>
      <c r="P401">
        <v>5838.9755999999998</v>
      </c>
      <c r="Q401">
        <v>5539.6844000000001</v>
      </c>
      <c r="R401">
        <v>0.94874251572484702</v>
      </c>
      <c r="S401">
        <v>3.7043761807144603E-2</v>
      </c>
      <c r="T401">
        <v>2</v>
      </c>
      <c r="U401" t="s">
        <v>2826</v>
      </c>
    </row>
    <row r="402" spans="1:21" x14ac:dyDescent="0.3">
      <c r="A402">
        <v>401</v>
      </c>
      <c r="B402" t="s">
        <v>1993</v>
      </c>
      <c r="C402" t="s">
        <v>38</v>
      </c>
      <c r="D402">
        <v>2</v>
      </c>
      <c r="E402" t="s">
        <v>38</v>
      </c>
      <c r="F402">
        <v>0</v>
      </c>
      <c r="G402" t="s">
        <v>38</v>
      </c>
      <c r="H402" t="s">
        <v>38</v>
      </c>
      <c r="I402">
        <v>0</v>
      </c>
      <c r="J402" t="s">
        <v>38</v>
      </c>
      <c r="K402">
        <v>0</v>
      </c>
      <c r="L402">
        <v>4.1868136830038602E-4</v>
      </c>
      <c r="M402" t="s">
        <v>38</v>
      </c>
      <c r="O402" t="s">
        <v>2838</v>
      </c>
      <c r="P402">
        <v>13886.185600000001</v>
      </c>
      <c r="Q402">
        <v>13624.6808</v>
      </c>
      <c r="R402">
        <v>0.98116798899764102</v>
      </c>
      <c r="S402">
        <v>8.7588897177307105E-3</v>
      </c>
      <c r="T402">
        <v>0</v>
      </c>
      <c r="U402" t="s">
        <v>2826</v>
      </c>
    </row>
    <row r="403" spans="1:21" x14ac:dyDescent="0.3">
      <c r="A403">
        <v>402</v>
      </c>
      <c r="B403" t="s">
        <v>1496</v>
      </c>
      <c r="C403" t="s">
        <v>38</v>
      </c>
      <c r="D403">
        <v>3</v>
      </c>
      <c r="E403" t="s">
        <v>38</v>
      </c>
      <c r="F403">
        <v>2</v>
      </c>
      <c r="G403" t="s">
        <v>38</v>
      </c>
      <c r="H403" t="s">
        <v>38</v>
      </c>
      <c r="I403">
        <v>0</v>
      </c>
      <c r="J403" t="s">
        <v>38</v>
      </c>
      <c r="K403">
        <v>0</v>
      </c>
      <c r="L403">
        <v>1.7902328074777201E-4</v>
      </c>
      <c r="M403" t="s">
        <v>38</v>
      </c>
      <c r="O403" t="s">
        <v>2838</v>
      </c>
      <c r="P403">
        <v>7452.5748000000003</v>
      </c>
      <c r="Q403">
        <v>7252.6880000000001</v>
      </c>
      <c r="R403">
        <v>0.97317882673247402</v>
      </c>
      <c r="S403">
        <v>3.9513622363852599E-2</v>
      </c>
      <c r="T403">
        <v>2</v>
      </c>
      <c r="U403" t="s">
        <v>2826</v>
      </c>
    </row>
    <row r="404" spans="1:21" x14ac:dyDescent="0.3">
      <c r="A404">
        <v>403</v>
      </c>
      <c r="B404" t="s">
        <v>2276</v>
      </c>
      <c r="C404" t="s">
        <v>38</v>
      </c>
      <c r="D404">
        <v>1</v>
      </c>
      <c r="E404" t="s">
        <v>38</v>
      </c>
      <c r="F404">
        <v>1</v>
      </c>
      <c r="G404" t="s">
        <v>38</v>
      </c>
      <c r="H404" t="s">
        <v>38</v>
      </c>
      <c r="I404">
        <v>0</v>
      </c>
      <c r="J404" t="s">
        <v>38</v>
      </c>
      <c r="K404">
        <v>0</v>
      </c>
      <c r="L404">
        <v>5.1587921841163798E-3</v>
      </c>
      <c r="M404" t="s">
        <v>38</v>
      </c>
      <c r="O404" t="s">
        <v>2838</v>
      </c>
      <c r="P404">
        <v>8517.6947999999993</v>
      </c>
      <c r="Q404">
        <v>8409.2551999999996</v>
      </c>
      <c r="R404">
        <v>0.98726890284916102</v>
      </c>
      <c r="S404">
        <v>1.8282417172672E-2</v>
      </c>
      <c r="T404">
        <v>1</v>
      </c>
      <c r="U404" t="s">
        <v>2826</v>
      </c>
    </row>
    <row r="405" spans="1:21" x14ac:dyDescent="0.3">
      <c r="A405">
        <v>404</v>
      </c>
      <c r="B405" t="s">
        <v>2120</v>
      </c>
      <c r="C405" t="s">
        <v>38</v>
      </c>
      <c r="D405">
        <v>5</v>
      </c>
      <c r="E405" t="s">
        <v>38</v>
      </c>
      <c r="F405">
        <v>3</v>
      </c>
      <c r="G405" t="s">
        <v>38</v>
      </c>
      <c r="H405" t="s">
        <v>38</v>
      </c>
      <c r="I405">
        <v>0.1</v>
      </c>
      <c r="J405" t="s">
        <v>38</v>
      </c>
      <c r="K405">
        <v>0</v>
      </c>
      <c r="L405">
        <v>2.17523986674272E-4</v>
      </c>
      <c r="M405" t="s">
        <v>38</v>
      </c>
      <c r="O405" t="s">
        <v>2838</v>
      </c>
      <c r="P405">
        <v>929.22400000000005</v>
      </c>
      <c r="Q405">
        <v>880.82240000000002</v>
      </c>
      <c r="R405">
        <v>0.94791180598004399</v>
      </c>
      <c r="S405">
        <v>6.3032924458493206E-2</v>
      </c>
      <c r="T405">
        <v>3</v>
      </c>
      <c r="U405" t="s">
        <v>2826</v>
      </c>
    </row>
    <row r="406" spans="1:21" x14ac:dyDescent="0.3">
      <c r="A406">
        <v>405</v>
      </c>
      <c r="B406" t="s">
        <v>561</v>
      </c>
      <c r="C406" t="s">
        <v>38</v>
      </c>
      <c r="D406">
        <v>0</v>
      </c>
      <c r="E406" t="s">
        <v>38</v>
      </c>
      <c r="F406">
        <v>0</v>
      </c>
      <c r="G406" t="s">
        <v>38</v>
      </c>
      <c r="H406" t="s">
        <v>38</v>
      </c>
      <c r="I406">
        <v>0</v>
      </c>
      <c r="J406" t="s">
        <v>38</v>
      </c>
      <c r="K406">
        <v>0</v>
      </c>
      <c r="L406">
        <v>5.8025687125791805E-4</v>
      </c>
      <c r="M406" t="s">
        <v>38</v>
      </c>
      <c r="O406" t="s">
        <v>2838</v>
      </c>
      <c r="P406">
        <v>1620.8448000000001</v>
      </c>
      <c r="Q406">
        <v>1617.2148</v>
      </c>
      <c r="R406">
        <v>0.997760427155024</v>
      </c>
      <c r="S406">
        <v>2.6936692594261699E-3</v>
      </c>
      <c r="T406">
        <v>0</v>
      </c>
      <c r="U406" t="s">
        <v>2826</v>
      </c>
    </row>
    <row r="407" spans="1:21" x14ac:dyDescent="0.3">
      <c r="A407">
        <v>406</v>
      </c>
      <c r="B407" t="s">
        <v>2282</v>
      </c>
      <c r="C407" t="s">
        <v>38</v>
      </c>
      <c r="D407">
        <v>0</v>
      </c>
      <c r="E407" t="s">
        <v>38</v>
      </c>
      <c r="F407">
        <v>0</v>
      </c>
      <c r="G407" t="s">
        <v>38</v>
      </c>
      <c r="H407" t="s">
        <v>38</v>
      </c>
      <c r="I407">
        <v>0</v>
      </c>
      <c r="J407" t="s">
        <v>38</v>
      </c>
      <c r="K407">
        <v>0</v>
      </c>
      <c r="L407">
        <v>7.7730616133148004E-4</v>
      </c>
      <c r="M407" t="s">
        <v>38</v>
      </c>
      <c r="O407" t="s">
        <v>2838</v>
      </c>
      <c r="P407">
        <v>7918.5928000000004</v>
      </c>
      <c r="Q407">
        <v>7905.7651999999998</v>
      </c>
      <c r="R407">
        <v>0.99838006571066495</v>
      </c>
      <c r="S407">
        <v>2.8271786763022699E-3</v>
      </c>
      <c r="T407">
        <v>0</v>
      </c>
      <c r="U407" t="s">
        <v>2826</v>
      </c>
    </row>
    <row r="408" spans="1:21" x14ac:dyDescent="0.3">
      <c r="A408">
        <v>407</v>
      </c>
      <c r="B408" t="s">
        <v>2782</v>
      </c>
      <c r="C408" t="s">
        <v>38</v>
      </c>
      <c r="D408">
        <v>48</v>
      </c>
      <c r="E408" t="s">
        <v>38</v>
      </c>
      <c r="F408">
        <v>12</v>
      </c>
      <c r="G408" t="s">
        <v>38</v>
      </c>
      <c r="H408" t="s">
        <v>38</v>
      </c>
      <c r="I408">
        <v>0.2</v>
      </c>
      <c r="J408" t="s">
        <v>38</v>
      </c>
      <c r="K408">
        <v>0</v>
      </c>
      <c r="L408">
        <v>1.52842595050821E-3</v>
      </c>
      <c r="M408" t="s">
        <v>38</v>
      </c>
      <c r="O408" t="s">
        <v>2838</v>
      </c>
      <c r="P408">
        <v>7197.9931999999999</v>
      </c>
      <c r="Q408">
        <v>3751.5720000000001</v>
      </c>
      <c r="R408">
        <v>0.52119693583483795</v>
      </c>
      <c r="S408">
        <v>0.23027538008798801</v>
      </c>
      <c r="T408">
        <v>12</v>
      </c>
      <c r="U408" t="s">
        <v>2826</v>
      </c>
    </row>
    <row r="409" spans="1:21" x14ac:dyDescent="0.3">
      <c r="A409">
        <v>408</v>
      </c>
      <c r="B409" t="s">
        <v>2784</v>
      </c>
      <c r="C409" t="s">
        <v>38</v>
      </c>
      <c r="D409">
        <v>5</v>
      </c>
      <c r="E409" t="s">
        <v>38</v>
      </c>
      <c r="F409">
        <v>2</v>
      </c>
      <c r="G409" t="s">
        <v>38</v>
      </c>
      <c r="H409" t="s">
        <v>38</v>
      </c>
      <c r="I409">
        <v>0</v>
      </c>
      <c r="J409" t="s">
        <v>38</v>
      </c>
      <c r="K409">
        <v>0</v>
      </c>
      <c r="L409" t="s">
        <v>2840</v>
      </c>
      <c r="M409" t="s">
        <v>38</v>
      </c>
      <c r="O409" t="s">
        <v>2848</v>
      </c>
      <c r="P409">
        <v>999.60360000000003</v>
      </c>
      <c r="Q409">
        <v>953.04920000000004</v>
      </c>
      <c r="R409">
        <v>0.95342713851770799</v>
      </c>
      <c r="S409">
        <v>4.7724051837224203E-2</v>
      </c>
      <c r="T409">
        <v>2</v>
      </c>
      <c r="U409" t="s">
        <v>2826</v>
      </c>
    </row>
    <row r="410" spans="1:21" x14ac:dyDescent="0.3">
      <c r="A410">
        <v>409</v>
      </c>
      <c r="B410" t="s">
        <v>2288</v>
      </c>
      <c r="C410" t="s">
        <v>38</v>
      </c>
      <c r="D410">
        <v>23</v>
      </c>
      <c r="E410" t="s">
        <v>38</v>
      </c>
      <c r="F410">
        <v>6</v>
      </c>
      <c r="G410" t="s">
        <v>38</v>
      </c>
      <c r="H410" t="s">
        <v>38</v>
      </c>
      <c r="I410">
        <v>0.1</v>
      </c>
      <c r="J410" t="s">
        <v>38</v>
      </c>
      <c r="K410">
        <v>0</v>
      </c>
      <c r="L410">
        <v>1.20889041360065E-3</v>
      </c>
      <c r="M410" t="s">
        <v>38</v>
      </c>
      <c r="O410" t="s">
        <v>2838</v>
      </c>
      <c r="P410">
        <v>4206.5528000000004</v>
      </c>
      <c r="Q410">
        <v>3227.4223999999999</v>
      </c>
      <c r="R410">
        <v>0.76723686910574396</v>
      </c>
      <c r="S410">
        <v>0.113772732826021</v>
      </c>
      <c r="T410">
        <v>6</v>
      </c>
      <c r="U410" t="s">
        <v>2826</v>
      </c>
    </row>
    <row r="411" spans="1:21" x14ac:dyDescent="0.3">
      <c r="A411">
        <v>410</v>
      </c>
      <c r="B411" t="s">
        <v>2293</v>
      </c>
      <c r="C411" t="s">
        <v>76</v>
      </c>
      <c r="D411">
        <v>58</v>
      </c>
      <c r="E411" t="s">
        <v>38</v>
      </c>
      <c r="F411">
        <v>14</v>
      </c>
      <c r="G411" t="s">
        <v>38</v>
      </c>
      <c r="H411" t="s">
        <v>38</v>
      </c>
      <c r="I411">
        <v>0.3</v>
      </c>
      <c r="J411" t="s">
        <v>38</v>
      </c>
      <c r="K411">
        <v>0</v>
      </c>
      <c r="L411">
        <v>0</v>
      </c>
      <c r="M411" t="s">
        <v>76</v>
      </c>
      <c r="N411" t="s">
        <v>262</v>
      </c>
      <c r="O411" t="s">
        <v>2838</v>
      </c>
      <c r="P411">
        <v>1366.9323999999999</v>
      </c>
      <c r="Q411">
        <v>576.26319999999998</v>
      </c>
      <c r="R411">
        <v>0.42157402955698497</v>
      </c>
      <c r="S411">
        <v>0.27914202436458901</v>
      </c>
      <c r="T411">
        <v>14</v>
      </c>
      <c r="U411" t="s">
        <v>2826</v>
      </c>
    </row>
    <row r="412" spans="1:21" x14ac:dyDescent="0.3">
      <c r="A412">
        <v>411</v>
      </c>
      <c r="B412" t="s">
        <v>2299</v>
      </c>
      <c r="C412" t="s">
        <v>38</v>
      </c>
      <c r="D412">
        <v>25</v>
      </c>
      <c r="E412" t="s">
        <v>38</v>
      </c>
      <c r="F412">
        <v>8</v>
      </c>
      <c r="G412" t="s">
        <v>38</v>
      </c>
      <c r="H412" t="s">
        <v>38</v>
      </c>
      <c r="I412">
        <v>0.2</v>
      </c>
      <c r="J412" t="s">
        <v>38</v>
      </c>
      <c r="K412">
        <v>0</v>
      </c>
      <c r="L412">
        <v>7.7791488622653605E-4</v>
      </c>
      <c r="M412" t="s">
        <v>38</v>
      </c>
      <c r="O412" t="s">
        <v>2838</v>
      </c>
      <c r="P412">
        <v>16649.767199999998</v>
      </c>
      <c r="Q412">
        <v>12455.3472</v>
      </c>
      <c r="R412">
        <v>0.74807936053304103</v>
      </c>
      <c r="S412">
        <v>0.154346693112934</v>
      </c>
      <c r="T412">
        <v>8</v>
      </c>
      <c r="U412" t="s">
        <v>2826</v>
      </c>
    </row>
    <row r="413" spans="1:21" x14ac:dyDescent="0.3">
      <c r="A413">
        <v>412</v>
      </c>
      <c r="B413" t="s">
        <v>2017</v>
      </c>
      <c r="C413" t="s">
        <v>38</v>
      </c>
      <c r="D413">
        <v>3</v>
      </c>
      <c r="E413" t="s">
        <v>38</v>
      </c>
      <c r="F413">
        <v>2</v>
      </c>
      <c r="G413" t="s">
        <v>38</v>
      </c>
      <c r="H413" t="s">
        <v>38</v>
      </c>
      <c r="I413">
        <v>0</v>
      </c>
      <c r="J413" t="s">
        <v>38</v>
      </c>
      <c r="K413">
        <v>0</v>
      </c>
      <c r="L413">
        <v>1.7654421191622699E-4</v>
      </c>
      <c r="M413" t="s">
        <v>38</v>
      </c>
      <c r="O413" t="s">
        <v>2838</v>
      </c>
      <c r="P413">
        <v>1457.8835999999999</v>
      </c>
      <c r="Q413">
        <v>1418.3416</v>
      </c>
      <c r="R413">
        <v>0.97287712132847903</v>
      </c>
      <c r="S413">
        <v>3.05806842756675E-2</v>
      </c>
      <c r="T413">
        <v>2</v>
      </c>
      <c r="U413" t="s">
        <v>2826</v>
      </c>
    </row>
    <row r="414" spans="1:21" x14ac:dyDescent="0.3">
      <c r="A414">
        <v>413</v>
      </c>
      <c r="B414" t="s">
        <v>2306</v>
      </c>
      <c r="C414" t="s">
        <v>38</v>
      </c>
      <c r="D414">
        <v>21</v>
      </c>
      <c r="E414" t="s">
        <v>38</v>
      </c>
      <c r="F414">
        <v>6</v>
      </c>
      <c r="G414" t="s">
        <v>38</v>
      </c>
      <c r="H414" t="s">
        <v>38</v>
      </c>
      <c r="I414">
        <v>0.1</v>
      </c>
      <c r="J414" t="s">
        <v>38</v>
      </c>
      <c r="K414">
        <v>0</v>
      </c>
      <c r="L414">
        <v>1.79130823126036E-3</v>
      </c>
      <c r="M414" t="s">
        <v>38</v>
      </c>
      <c r="O414" t="s">
        <v>2838</v>
      </c>
      <c r="P414">
        <v>5313.8536000000004</v>
      </c>
      <c r="Q414">
        <v>4220.3792000000003</v>
      </c>
      <c r="R414">
        <v>0.79422195598313095</v>
      </c>
      <c r="S414">
        <v>0.126887203524368</v>
      </c>
      <c r="T414">
        <v>6</v>
      </c>
      <c r="U414" t="s">
        <v>2826</v>
      </c>
    </row>
    <row r="415" spans="1:21" x14ac:dyDescent="0.3">
      <c r="A415">
        <v>414</v>
      </c>
      <c r="B415" t="s">
        <v>2311</v>
      </c>
      <c r="C415" t="s">
        <v>38</v>
      </c>
      <c r="D415">
        <v>2</v>
      </c>
      <c r="E415" t="s">
        <v>38</v>
      </c>
      <c r="F415">
        <v>1</v>
      </c>
      <c r="G415" t="s">
        <v>38</v>
      </c>
      <c r="H415" t="s">
        <v>38</v>
      </c>
      <c r="I415">
        <v>0</v>
      </c>
      <c r="J415" t="s">
        <v>38</v>
      </c>
      <c r="K415">
        <v>0</v>
      </c>
      <c r="L415">
        <v>3.6377128416632202E-4</v>
      </c>
      <c r="M415" t="s">
        <v>38</v>
      </c>
      <c r="O415" t="s">
        <v>2838</v>
      </c>
      <c r="P415">
        <v>13360.5836</v>
      </c>
      <c r="Q415">
        <v>13112.6348</v>
      </c>
      <c r="R415">
        <v>0.98144176875626898</v>
      </c>
      <c r="S415">
        <v>2.0781349499690099E-2</v>
      </c>
      <c r="T415">
        <v>1</v>
      </c>
      <c r="U415" t="s">
        <v>2826</v>
      </c>
    </row>
    <row r="416" spans="1:21" x14ac:dyDescent="0.3">
      <c r="A416">
        <v>415</v>
      </c>
      <c r="B416" t="s">
        <v>1667</v>
      </c>
      <c r="C416" t="s">
        <v>38</v>
      </c>
      <c r="D416">
        <v>4</v>
      </c>
      <c r="E416" t="s">
        <v>38</v>
      </c>
      <c r="F416">
        <v>1</v>
      </c>
      <c r="G416" t="s">
        <v>38</v>
      </c>
      <c r="H416" t="s">
        <v>38</v>
      </c>
      <c r="I416">
        <v>0</v>
      </c>
      <c r="J416" t="s">
        <v>38</v>
      </c>
      <c r="K416">
        <v>0</v>
      </c>
      <c r="L416" s="18">
        <v>3.3376615799056001E-6</v>
      </c>
      <c r="M416" t="s">
        <v>38</v>
      </c>
      <c r="O416" t="s">
        <v>2838</v>
      </c>
      <c r="P416">
        <v>3363.5079999999998</v>
      </c>
      <c r="Q416">
        <v>3235.7984000000001</v>
      </c>
      <c r="R416">
        <v>0.96203083209553797</v>
      </c>
      <c r="S416">
        <v>2.68012801068695E-2</v>
      </c>
      <c r="T416">
        <v>1</v>
      </c>
      <c r="U416" t="s">
        <v>2826</v>
      </c>
    </row>
    <row r="417" spans="1:21" x14ac:dyDescent="0.3">
      <c r="A417">
        <v>416</v>
      </c>
      <c r="B417" t="s">
        <v>1833</v>
      </c>
      <c r="C417" t="s">
        <v>38</v>
      </c>
      <c r="D417">
        <v>5</v>
      </c>
      <c r="E417" t="s">
        <v>38</v>
      </c>
      <c r="F417">
        <v>3</v>
      </c>
      <c r="G417" t="s">
        <v>38</v>
      </c>
      <c r="H417" t="s">
        <v>38</v>
      </c>
      <c r="I417">
        <v>0.1</v>
      </c>
      <c r="J417" t="s">
        <v>38</v>
      </c>
      <c r="K417">
        <v>0</v>
      </c>
      <c r="L417">
        <v>1.7782623811245799E-4</v>
      </c>
      <c r="M417" t="s">
        <v>38</v>
      </c>
      <c r="O417" t="s">
        <v>2838</v>
      </c>
      <c r="P417">
        <v>5779.5995999999996</v>
      </c>
      <c r="Q417">
        <v>5504.2496000000001</v>
      </c>
      <c r="R417">
        <v>0.95235829139444195</v>
      </c>
      <c r="S417">
        <v>6.6656202982318905E-2</v>
      </c>
      <c r="T417">
        <v>3</v>
      </c>
      <c r="U417" t="s">
        <v>2826</v>
      </c>
    </row>
    <row r="418" spans="1:21" x14ac:dyDescent="0.3">
      <c r="A418">
        <v>417</v>
      </c>
      <c r="B418" t="s">
        <v>1018</v>
      </c>
      <c r="C418" t="s">
        <v>38</v>
      </c>
      <c r="D418">
        <v>0</v>
      </c>
      <c r="E418" t="s">
        <v>38</v>
      </c>
      <c r="F418">
        <v>0</v>
      </c>
      <c r="G418" t="s">
        <v>38</v>
      </c>
      <c r="H418" t="s">
        <v>38</v>
      </c>
      <c r="I418">
        <v>0</v>
      </c>
      <c r="J418" t="s">
        <v>38</v>
      </c>
      <c r="K418">
        <v>0</v>
      </c>
      <c r="L418">
        <v>1.1381575230203899E-3</v>
      </c>
      <c r="M418" t="s">
        <v>38</v>
      </c>
      <c r="O418" t="s">
        <v>2838</v>
      </c>
      <c r="P418">
        <v>37063.725599999998</v>
      </c>
      <c r="Q418">
        <v>37004.719599999997</v>
      </c>
      <c r="R418">
        <v>0.99840798519186102</v>
      </c>
      <c r="S418">
        <v>2.9820074720822501E-3</v>
      </c>
      <c r="T418">
        <v>0</v>
      </c>
      <c r="U418" t="s">
        <v>2826</v>
      </c>
    </row>
    <row r="419" spans="1:21" x14ac:dyDescent="0.3">
      <c r="A419">
        <v>418</v>
      </c>
      <c r="B419" t="s">
        <v>2317</v>
      </c>
      <c r="C419" t="s">
        <v>38</v>
      </c>
      <c r="D419">
        <v>0</v>
      </c>
      <c r="E419" t="s">
        <v>38</v>
      </c>
      <c r="F419">
        <v>0</v>
      </c>
      <c r="G419" t="s">
        <v>38</v>
      </c>
      <c r="H419" t="s">
        <v>38</v>
      </c>
      <c r="I419">
        <v>0</v>
      </c>
      <c r="J419" t="s">
        <v>38</v>
      </c>
      <c r="K419">
        <v>0</v>
      </c>
      <c r="L419">
        <v>0</v>
      </c>
      <c r="M419" t="s">
        <v>38</v>
      </c>
      <c r="O419" t="s">
        <v>2838</v>
      </c>
      <c r="P419">
        <v>2242.3667999999998</v>
      </c>
      <c r="Q419">
        <v>2239.5115999999998</v>
      </c>
      <c r="R419">
        <v>0.99872670251807105</v>
      </c>
      <c r="S419">
        <v>3.6054394401245399E-3</v>
      </c>
      <c r="T419">
        <v>0</v>
      </c>
      <c r="U419" t="s">
        <v>2826</v>
      </c>
    </row>
    <row r="420" spans="1:21" x14ac:dyDescent="0.3">
      <c r="A420">
        <v>419</v>
      </c>
      <c r="B420" t="s">
        <v>2323</v>
      </c>
      <c r="C420" t="s">
        <v>38</v>
      </c>
      <c r="D420">
        <v>0</v>
      </c>
      <c r="E420" t="s">
        <v>38</v>
      </c>
      <c r="F420">
        <v>0</v>
      </c>
      <c r="G420" t="s">
        <v>38</v>
      </c>
      <c r="H420" t="s">
        <v>38</v>
      </c>
      <c r="I420">
        <v>0</v>
      </c>
      <c r="J420" t="s">
        <v>38</v>
      </c>
      <c r="K420">
        <v>0</v>
      </c>
      <c r="L420">
        <v>0</v>
      </c>
      <c r="M420" t="s">
        <v>38</v>
      </c>
      <c r="O420" t="s">
        <v>2838</v>
      </c>
      <c r="P420">
        <v>2898.1244000000002</v>
      </c>
      <c r="Q420">
        <v>2897.9319999999998</v>
      </c>
      <c r="R420">
        <v>0.99999792969549495</v>
      </c>
      <c r="S420">
        <v>0</v>
      </c>
      <c r="T420">
        <v>0</v>
      </c>
      <c r="U420" t="s">
        <v>2826</v>
      </c>
    </row>
    <row r="421" spans="1:21" x14ac:dyDescent="0.3">
      <c r="A421">
        <v>420</v>
      </c>
      <c r="B421" t="s">
        <v>679</v>
      </c>
      <c r="C421" t="s">
        <v>38</v>
      </c>
      <c r="D421">
        <v>0</v>
      </c>
      <c r="E421" t="s">
        <v>38</v>
      </c>
      <c r="F421">
        <v>0</v>
      </c>
      <c r="G421" t="s">
        <v>38</v>
      </c>
      <c r="H421" t="s">
        <v>38</v>
      </c>
      <c r="I421">
        <v>0</v>
      </c>
      <c r="J421" t="s">
        <v>38</v>
      </c>
      <c r="K421">
        <v>0</v>
      </c>
      <c r="L421" t="s">
        <v>2840</v>
      </c>
      <c r="M421" t="s">
        <v>38</v>
      </c>
      <c r="O421" t="s">
        <v>2848</v>
      </c>
      <c r="P421">
        <v>762.44280000000003</v>
      </c>
      <c r="Q421">
        <v>762.25440000000003</v>
      </c>
      <c r="R421">
        <v>0.99975289949619806</v>
      </c>
      <c r="S421">
        <v>3.3941673054924099E-4</v>
      </c>
      <c r="T421">
        <v>0</v>
      </c>
      <c r="U421" t="s">
        <v>2826</v>
      </c>
    </row>
    <row r="422" spans="1:21" x14ac:dyDescent="0.3">
      <c r="A422">
        <v>421</v>
      </c>
      <c r="B422" t="s">
        <v>1964</v>
      </c>
      <c r="C422" t="s">
        <v>38</v>
      </c>
      <c r="D422">
        <v>24</v>
      </c>
      <c r="E422" t="s">
        <v>38</v>
      </c>
      <c r="F422">
        <v>11</v>
      </c>
      <c r="G422" t="s">
        <v>38</v>
      </c>
      <c r="H422" t="s">
        <v>38</v>
      </c>
      <c r="I422">
        <v>0.2</v>
      </c>
      <c r="J422" t="s">
        <v>38</v>
      </c>
      <c r="K422">
        <v>0</v>
      </c>
      <c r="L422">
        <v>1.52002875271425E-2</v>
      </c>
      <c r="M422" t="s">
        <v>38</v>
      </c>
      <c r="O422" t="s">
        <v>2838</v>
      </c>
      <c r="P422">
        <v>2090.6907999999999</v>
      </c>
      <c r="Q422">
        <v>1579.2596000000001</v>
      </c>
      <c r="R422">
        <v>0.75537693091680502</v>
      </c>
      <c r="S422">
        <v>0.228002285812232</v>
      </c>
      <c r="T422">
        <v>11</v>
      </c>
      <c r="U422" t="s">
        <v>2826</v>
      </c>
    </row>
    <row r="423" spans="1:21" x14ac:dyDescent="0.3">
      <c r="A423">
        <v>422</v>
      </c>
      <c r="B423" t="s">
        <v>328</v>
      </c>
      <c r="C423" t="s">
        <v>38</v>
      </c>
      <c r="D423">
        <v>25</v>
      </c>
      <c r="E423" t="s">
        <v>38</v>
      </c>
      <c r="F423">
        <v>13</v>
      </c>
      <c r="G423" t="s">
        <v>38</v>
      </c>
      <c r="H423" t="s">
        <v>38</v>
      </c>
      <c r="I423">
        <v>0.3</v>
      </c>
      <c r="J423" t="s">
        <v>38</v>
      </c>
      <c r="K423">
        <v>0</v>
      </c>
      <c r="L423">
        <v>6.8700011898639203E-3</v>
      </c>
      <c r="M423" t="s">
        <v>38</v>
      </c>
      <c r="O423" t="s">
        <v>2869</v>
      </c>
      <c r="P423">
        <v>942.78359999999998</v>
      </c>
      <c r="Q423">
        <v>615.19640000000004</v>
      </c>
      <c r="R423">
        <v>0.65253192779339797</v>
      </c>
      <c r="S423">
        <v>0.26507971525886798</v>
      </c>
      <c r="T423">
        <v>13</v>
      </c>
      <c r="U423" t="s">
        <v>2826</v>
      </c>
    </row>
    <row r="424" spans="1:21" x14ac:dyDescent="0.3">
      <c r="A424">
        <v>423</v>
      </c>
      <c r="B424" t="s">
        <v>640</v>
      </c>
      <c r="C424" t="s">
        <v>38</v>
      </c>
      <c r="D424">
        <v>4</v>
      </c>
      <c r="E424" t="s">
        <v>38</v>
      </c>
      <c r="F424">
        <v>4</v>
      </c>
      <c r="G424" t="s">
        <v>38</v>
      </c>
      <c r="H424" t="s">
        <v>38</v>
      </c>
      <c r="I424">
        <v>0.1</v>
      </c>
      <c r="J424" t="s">
        <v>38</v>
      </c>
      <c r="K424">
        <v>0</v>
      </c>
      <c r="L424">
        <v>5.0353074957022205E-4</v>
      </c>
      <c r="M424" t="s">
        <v>38</v>
      </c>
      <c r="O424" t="s">
        <v>2869</v>
      </c>
      <c r="P424">
        <v>630.61519999999996</v>
      </c>
      <c r="Q424">
        <v>596.58720000000005</v>
      </c>
      <c r="R424">
        <v>0.946039993961452</v>
      </c>
      <c r="S424">
        <v>7.7278710457036298E-2</v>
      </c>
      <c r="T424">
        <v>4</v>
      </c>
      <c r="U424" t="s">
        <v>2826</v>
      </c>
    </row>
    <row r="425" spans="1:21" x14ac:dyDescent="0.3">
      <c r="A425">
        <v>424</v>
      </c>
      <c r="B425" t="s">
        <v>852</v>
      </c>
      <c r="C425" t="s">
        <v>38</v>
      </c>
      <c r="D425">
        <v>16</v>
      </c>
      <c r="E425" t="s">
        <v>38</v>
      </c>
      <c r="F425">
        <v>7</v>
      </c>
      <c r="G425" t="s">
        <v>38</v>
      </c>
      <c r="H425" t="s">
        <v>38</v>
      </c>
      <c r="I425">
        <v>0.1</v>
      </c>
      <c r="J425" t="s">
        <v>38</v>
      </c>
      <c r="K425">
        <v>0</v>
      </c>
      <c r="L425">
        <v>3.9611754639703602E-2</v>
      </c>
      <c r="M425" t="s">
        <v>38</v>
      </c>
      <c r="O425" t="s">
        <v>2869</v>
      </c>
      <c r="P425">
        <v>468.39479999999998</v>
      </c>
      <c r="Q425">
        <v>368.38560000000001</v>
      </c>
      <c r="R425">
        <v>0.78648524706081302</v>
      </c>
      <c r="S425">
        <v>0.130314555065346</v>
      </c>
      <c r="T425">
        <v>7</v>
      </c>
      <c r="U425" t="s">
        <v>2826</v>
      </c>
    </row>
    <row r="426" spans="1:21" x14ac:dyDescent="0.3">
      <c r="A426">
        <v>425</v>
      </c>
      <c r="B426" t="s">
        <v>2471</v>
      </c>
      <c r="C426" t="s">
        <v>38</v>
      </c>
      <c r="D426">
        <v>26</v>
      </c>
      <c r="E426" t="s">
        <v>38</v>
      </c>
      <c r="F426">
        <v>8</v>
      </c>
      <c r="G426" t="s">
        <v>38</v>
      </c>
      <c r="H426" t="s">
        <v>38</v>
      </c>
      <c r="I426">
        <v>0.2</v>
      </c>
      <c r="J426" t="s">
        <v>38</v>
      </c>
      <c r="K426">
        <v>0</v>
      </c>
      <c r="L426">
        <v>3.6676179803812201E-2</v>
      </c>
      <c r="M426" t="s">
        <v>38</v>
      </c>
      <c r="O426" t="s">
        <v>2869</v>
      </c>
      <c r="P426">
        <v>109.4832</v>
      </c>
      <c r="Q426">
        <v>72.461200000000005</v>
      </c>
      <c r="R426">
        <v>0.661847662472416</v>
      </c>
      <c r="S426">
        <v>0.152425016540469</v>
      </c>
      <c r="T426">
        <v>8</v>
      </c>
      <c r="U426" t="s">
        <v>2826</v>
      </c>
    </row>
    <row r="427" spans="1:21" x14ac:dyDescent="0.3">
      <c r="A427">
        <v>426</v>
      </c>
      <c r="B427" t="s">
        <v>1649</v>
      </c>
      <c r="C427" t="s">
        <v>38</v>
      </c>
      <c r="D427">
        <v>23</v>
      </c>
      <c r="E427" t="s">
        <v>38</v>
      </c>
      <c r="F427">
        <v>4</v>
      </c>
      <c r="G427" t="s">
        <v>38</v>
      </c>
      <c r="H427" t="s">
        <v>38</v>
      </c>
      <c r="I427">
        <v>0.1</v>
      </c>
      <c r="J427" t="s">
        <v>38</v>
      </c>
      <c r="K427">
        <v>0</v>
      </c>
      <c r="L427">
        <v>6.0489597620455599E-3</v>
      </c>
      <c r="M427" t="s">
        <v>38</v>
      </c>
      <c r="O427" t="s">
        <v>2838</v>
      </c>
      <c r="P427">
        <v>4460.3123999999998</v>
      </c>
      <c r="Q427">
        <v>3420.6212</v>
      </c>
      <c r="R427">
        <v>0.76690170849916295</v>
      </c>
      <c r="S427">
        <v>7.3137190031301397E-2</v>
      </c>
      <c r="T427">
        <v>4</v>
      </c>
      <c r="U427" t="s">
        <v>2826</v>
      </c>
    </row>
    <row r="428" spans="1:21" x14ac:dyDescent="0.3">
      <c r="A428">
        <v>427</v>
      </c>
      <c r="B428" t="s">
        <v>933</v>
      </c>
      <c r="C428" t="s">
        <v>38</v>
      </c>
      <c r="D428">
        <v>0</v>
      </c>
      <c r="E428" t="s">
        <v>38</v>
      </c>
      <c r="F428">
        <v>0</v>
      </c>
      <c r="G428" t="s">
        <v>38</v>
      </c>
      <c r="H428" t="s">
        <v>38</v>
      </c>
      <c r="I428">
        <v>0</v>
      </c>
      <c r="J428" t="s">
        <v>38</v>
      </c>
      <c r="K428">
        <v>0</v>
      </c>
      <c r="L428" t="s">
        <v>2840</v>
      </c>
      <c r="M428" t="s">
        <v>38</v>
      </c>
      <c r="O428" t="s">
        <v>2848</v>
      </c>
      <c r="P428">
        <v>1335.0152</v>
      </c>
      <c r="Q428">
        <v>1334.5932</v>
      </c>
      <c r="R428">
        <v>1.0065323600809899</v>
      </c>
      <c r="S428" s="18">
        <v>9.1785573315770905E-5</v>
      </c>
      <c r="T428">
        <v>0</v>
      </c>
      <c r="U428" t="s">
        <v>2826</v>
      </c>
    </row>
    <row r="429" spans="1:21" x14ac:dyDescent="0.3">
      <c r="A429">
        <v>428</v>
      </c>
      <c r="B429" t="s">
        <v>1395</v>
      </c>
      <c r="C429" t="s">
        <v>38</v>
      </c>
      <c r="D429">
        <v>13</v>
      </c>
      <c r="E429" t="s">
        <v>38</v>
      </c>
      <c r="F429">
        <v>5</v>
      </c>
      <c r="G429" t="s">
        <v>38</v>
      </c>
      <c r="H429" t="s">
        <v>38</v>
      </c>
      <c r="I429">
        <v>0.1</v>
      </c>
      <c r="J429" t="s">
        <v>38</v>
      </c>
      <c r="K429">
        <v>0</v>
      </c>
      <c r="L429">
        <v>2.99179503794475E-2</v>
      </c>
      <c r="M429" t="s">
        <v>38</v>
      </c>
      <c r="O429" t="s">
        <v>2838</v>
      </c>
      <c r="P429">
        <v>2583.6644000000001</v>
      </c>
      <c r="Q429">
        <v>2251.9056</v>
      </c>
      <c r="R429">
        <v>0.87159369459903502</v>
      </c>
      <c r="S429">
        <v>9.1197344126924207E-2</v>
      </c>
      <c r="T429">
        <v>5</v>
      </c>
      <c r="U429" t="s">
        <v>2826</v>
      </c>
    </row>
    <row r="430" spans="1:21" x14ac:dyDescent="0.3">
      <c r="A430">
        <v>429</v>
      </c>
      <c r="B430" t="s">
        <v>1862</v>
      </c>
      <c r="C430" t="s">
        <v>76</v>
      </c>
      <c r="D430">
        <v>68</v>
      </c>
      <c r="E430" t="s">
        <v>76</v>
      </c>
      <c r="F430">
        <v>39</v>
      </c>
      <c r="G430" t="s">
        <v>51</v>
      </c>
      <c r="H430" t="s">
        <v>51</v>
      </c>
      <c r="I430">
        <v>0.8</v>
      </c>
      <c r="J430" t="s">
        <v>38</v>
      </c>
      <c r="K430">
        <v>0</v>
      </c>
      <c r="L430">
        <v>0.10966792021082</v>
      </c>
      <c r="M430" t="s">
        <v>51</v>
      </c>
      <c r="N430" t="s">
        <v>706</v>
      </c>
      <c r="O430" t="s">
        <v>2846</v>
      </c>
      <c r="P430">
        <v>134.51759999999999</v>
      </c>
      <c r="Q430">
        <v>42.6524</v>
      </c>
      <c r="R430">
        <v>0.31707672453270103</v>
      </c>
      <c r="S430">
        <v>0.78079382610959103</v>
      </c>
      <c r="T430">
        <v>39</v>
      </c>
      <c r="U430" t="s">
        <v>2826</v>
      </c>
    </row>
    <row r="431" spans="1:21" x14ac:dyDescent="0.3">
      <c r="A431">
        <v>430</v>
      </c>
      <c r="B431" t="s">
        <v>1120</v>
      </c>
      <c r="C431" t="s">
        <v>38</v>
      </c>
      <c r="D431">
        <v>20</v>
      </c>
      <c r="E431" t="s">
        <v>38</v>
      </c>
      <c r="F431">
        <v>11</v>
      </c>
      <c r="G431" t="s">
        <v>38</v>
      </c>
      <c r="H431" t="s">
        <v>38</v>
      </c>
      <c r="I431">
        <v>0.2</v>
      </c>
      <c r="J431" t="s">
        <v>38</v>
      </c>
      <c r="K431">
        <v>0</v>
      </c>
      <c r="L431">
        <v>2.3782296038950602E-3</v>
      </c>
      <c r="M431" t="s">
        <v>38</v>
      </c>
      <c r="O431" t="s">
        <v>2843</v>
      </c>
      <c r="P431">
        <v>1124.2472</v>
      </c>
      <c r="Q431">
        <v>865.01319999999998</v>
      </c>
      <c r="R431">
        <v>0.76941548086577405</v>
      </c>
      <c r="S431">
        <v>0.226470545975163</v>
      </c>
      <c r="T431">
        <v>11</v>
      </c>
      <c r="U431" t="s">
        <v>2826</v>
      </c>
    </row>
    <row r="432" spans="1:21" x14ac:dyDescent="0.3">
      <c r="A432">
        <v>431</v>
      </c>
      <c r="B432" t="s">
        <v>1066</v>
      </c>
      <c r="C432" t="s">
        <v>38</v>
      </c>
      <c r="D432">
        <v>24</v>
      </c>
      <c r="E432" t="s">
        <v>38</v>
      </c>
      <c r="F432">
        <v>27</v>
      </c>
      <c r="G432" t="s">
        <v>106</v>
      </c>
      <c r="H432" t="s">
        <v>51</v>
      </c>
      <c r="I432">
        <v>0.5</v>
      </c>
      <c r="J432" t="s">
        <v>38</v>
      </c>
      <c r="K432">
        <v>0</v>
      </c>
      <c r="L432">
        <v>2.6740616024561801E-3</v>
      </c>
      <c r="M432" t="s">
        <v>106</v>
      </c>
      <c r="N432" t="s">
        <v>53</v>
      </c>
      <c r="O432" t="s">
        <v>2845</v>
      </c>
      <c r="P432">
        <v>152.94560000000001</v>
      </c>
      <c r="Q432">
        <v>80.775999999999996</v>
      </c>
      <c r="R432">
        <v>0.52813549392725201</v>
      </c>
      <c r="S432">
        <v>0.53464411788851496</v>
      </c>
      <c r="T432">
        <v>27</v>
      </c>
      <c r="U432" t="s">
        <v>2826</v>
      </c>
    </row>
    <row r="433" spans="1:21" x14ac:dyDescent="0.3">
      <c r="A433">
        <v>432</v>
      </c>
      <c r="B433" t="s">
        <v>245</v>
      </c>
      <c r="C433" t="s">
        <v>38</v>
      </c>
      <c r="D433">
        <v>0</v>
      </c>
      <c r="E433" t="s">
        <v>38</v>
      </c>
      <c r="F433">
        <v>0</v>
      </c>
      <c r="G433" t="s">
        <v>38</v>
      </c>
      <c r="H433" t="s">
        <v>38</v>
      </c>
      <c r="I433">
        <v>0</v>
      </c>
      <c r="J433" t="s">
        <v>38</v>
      </c>
      <c r="K433">
        <v>0</v>
      </c>
      <c r="L433" t="s">
        <v>2840</v>
      </c>
      <c r="M433" t="s">
        <v>38</v>
      </c>
      <c r="O433" t="s">
        <v>2848</v>
      </c>
      <c r="P433">
        <v>181.636</v>
      </c>
      <c r="Q433">
        <v>181.6164</v>
      </c>
      <c r="R433">
        <v>1.0120702944350199</v>
      </c>
      <c r="S433">
        <v>0</v>
      </c>
      <c r="T433">
        <v>0</v>
      </c>
      <c r="U433" t="s">
        <v>2826</v>
      </c>
    </row>
    <row r="434" spans="1:21" x14ac:dyDescent="0.3">
      <c r="A434">
        <v>433</v>
      </c>
      <c r="B434" t="s">
        <v>2328</v>
      </c>
      <c r="C434" t="s">
        <v>76</v>
      </c>
      <c r="D434">
        <v>52</v>
      </c>
      <c r="E434" t="s">
        <v>76</v>
      </c>
      <c r="F434">
        <v>41</v>
      </c>
      <c r="G434" t="s">
        <v>51</v>
      </c>
      <c r="H434" t="s">
        <v>76</v>
      </c>
      <c r="I434">
        <v>0.8</v>
      </c>
      <c r="J434" t="s">
        <v>38</v>
      </c>
      <c r="K434">
        <v>0</v>
      </c>
      <c r="L434">
        <v>3.3097766431099802E-2</v>
      </c>
      <c r="M434" t="s">
        <v>51</v>
      </c>
      <c r="N434" t="s">
        <v>53</v>
      </c>
      <c r="O434" t="s">
        <v>2845</v>
      </c>
      <c r="P434">
        <v>1645.0052000000001</v>
      </c>
      <c r="Q434">
        <v>648.64800000000002</v>
      </c>
      <c r="R434">
        <v>0.39431364715442802</v>
      </c>
      <c r="S434">
        <v>0.81368090187539499</v>
      </c>
      <c r="T434">
        <v>41</v>
      </c>
      <c r="U434" t="s">
        <v>2826</v>
      </c>
    </row>
    <row r="435" spans="1:21" x14ac:dyDescent="0.3">
      <c r="A435">
        <v>434</v>
      </c>
      <c r="B435" t="s">
        <v>2334</v>
      </c>
      <c r="C435" t="s">
        <v>38</v>
      </c>
      <c r="D435">
        <v>15</v>
      </c>
      <c r="E435" t="s">
        <v>38</v>
      </c>
      <c r="F435">
        <v>11</v>
      </c>
      <c r="G435" t="s">
        <v>38</v>
      </c>
      <c r="H435" t="s">
        <v>38</v>
      </c>
      <c r="I435">
        <v>0.2</v>
      </c>
      <c r="J435" t="s">
        <v>38</v>
      </c>
      <c r="K435">
        <v>0</v>
      </c>
      <c r="L435">
        <v>2.5947720303175201E-2</v>
      </c>
      <c r="M435" t="s">
        <v>38</v>
      </c>
      <c r="O435" t="s">
        <v>2843</v>
      </c>
      <c r="P435">
        <v>335.05799999999999</v>
      </c>
      <c r="Q435">
        <v>268.57080000000002</v>
      </c>
      <c r="R435">
        <v>0.80156510216141696</v>
      </c>
      <c r="S435">
        <v>0.22959620185215601</v>
      </c>
      <c r="T435">
        <v>11</v>
      </c>
      <c r="U435" t="s">
        <v>2826</v>
      </c>
    </row>
    <row r="436" spans="1:21" x14ac:dyDescent="0.3">
      <c r="A436">
        <v>435</v>
      </c>
      <c r="B436" t="s">
        <v>1508</v>
      </c>
      <c r="C436" t="s">
        <v>38</v>
      </c>
      <c r="D436">
        <v>29</v>
      </c>
      <c r="E436" t="s">
        <v>38</v>
      </c>
      <c r="F436">
        <v>8</v>
      </c>
      <c r="G436" t="s">
        <v>38</v>
      </c>
      <c r="H436" t="s">
        <v>38</v>
      </c>
      <c r="I436">
        <v>0.2</v>
      </c>
      <c r="J436" t="s">
        <v>38</v>
      </c>
      <c r="K436">
        <v>0</v>
      </c>
      <c r="L436">
        <v>3.9562177898230098E-2</v>
      </c>
      <c r="M436" t="s">
        <v>38</v>
      </c>
      <c r="O436" t="s">
        <v>2838</v>
      </c>
      <c r="P436">
        <v>5173.6088</v>
      </c>
      <c r="Q436">
        <v>3681.6779999999999</v>
      </c>
      <c r="R436">
        <v>0.71162666956960496</v>
      </c>
      <c r="S436">
        <v>0.150366108786611</v>
      </c>
      <c r="T436">
        <v>8</v>
      </c>
      <c r="U436" t="s">
        <v>2826</v>
      </c>
    </row>
    <row r="437" spans="1:21" x14ac:dyDescent="0.3">
      <c r="A437">
        <v>436</v>
      </c>
      <c r="B437" t="s">
        <v>1550</v>
      </c>
      <c r="C437" t="s">
        <v>38</v>
      </c>
      <c r="D437">
        <v>33</v>
      </c>
      <c r="E437" t="s">
        <v>38</v>
      </c>
      <c r="F437">
        <v>10</v>
      </c>
      <c r="G437" t="s">
        <v>38</v>
      </c>
      <c r="H437" t="s">
        <v>38</v>
      </c>
      <c r="I437">
        <v>0.2</v>
      </c>
      <c r="J437" t="s">
        <v>38</v>
      </c>
      <c r="K437">
        <v>0</v>
      </c>
      <c r="L437">
        <v>3.0202126101212999E-2</v>
      </c>
      <c r="M437" t="s">
        <v>38</v>
      </c>
      <c r="O437" t="s">
        <v>2838</v>
      </c>
      <c r="P437">
        <v>8564.76</v>
      </c>
      <c r="Q437">
        <v>5704.3004000000001</v>
      </c>
      <c r="R437">
        <v>0.66601987679748198</v>
      </c>
      <c r="S437">
        <v>0.20756326060894301</v>
      </c>
      <c r="T437">
        <v>10</v>
      </c>
      <c r="U437" t="s">
        <v>2826</v>
      </c>
    </row>
    <row r="438" spans="1:21" x14ac:dyDescent="0.3">
      <c r="A438">
        <v>437</v>
      </c>
      <c r="B438" t="s">
        <v>1472</v>
      </c>
      <c r="C438" t="s">
        <v>51</v>
      </c>
      <c r="D438">
        <v>74</v>
      </c>
      <c r="E438" t="s">
        <v>76</v>
      </c>
      <c r="F438">
        <v>35</v>
      </c>
      <c r="G438" t="s">
        <v>106</v>
      </c>
      <c r="H438" t="s">
        <v>51</v>
      </c>
      <c r="I438">
        <v>0.7</v>
      </c>
      <c r="J438" t="s">
        <v>38</v>
      </c>
      <c r="K438">
        <v>0</v>
      </c>
      <c r="L438">
        <v>2.88062321702875E-2</v>
      </c>
      <c r="M438" t="s">
        <v>106</v>
      </c>
      <c r="N438" t="s">
        <v>53</v>
      </c>
      <c r="O438" t="s">
        <v>2846</v>
      </c>
      <c r="P438">
        <v>694.62400000000002</v>
      </c>
      <c r="Q438">
        <v>182.28</v>
      </c>
      <c r="R438">
        <v>0.262415349887133</v>
      </c>
      <c r="S438">
        <v>0.69570490818895803</v>
      </c>
      <c r="T438">
        <v>35</v>
      </c>
      <c r="U438" t="s">
        <v>2826</v>
      </c>
    </row>
    <row r="439" spans="1:21" x14ac:dyDescent="0.3">
      <c r="A439">
        <v>438</v>
      </c>
      <c r="B439" t="s">
        <v>2509</v>
      </c>
      <c r="C439" t="s">
        <v>38</v>
      </c>
      <c r="D439">
        <v>26</v>
      </c>
      <c r="E439" t="s">
        <v>38</v>
      </c>
      <c r="F439">
        <v>14</v>
      </c>
      <c r="G439" t="s">
        <v>38</v>
      </c>
      <c r="H439" t="s">
        <v>38</v>
      </c>
      <c r="I439">
        <v>0.3</v>
      </c>
      <c r="J439" t="s">
        <v>38</v>
      </c>
      <c r="K439">
        <v>0</v>
      </c>
      <c r="L439">
        <v>6.6448341075095702E-2</v>
      </c>
      <c r="M439" t="s">
        <v>38</v>
      </c>
      <c r="O439" t="s">
        <v>2843</v>
      </c>
      <c r="P439">
        <v>660.60680000000002</v>
      </c>
      <c r="Q439">
        <v>472.93279999999999</v>
      </c>
      <c r="R439">
        <v>0.71590664825127404</v>
      </c>
      <c r="S439">
        <v>0.28675072054964601</v>
      </c>
      <c r="T439">
        <v>14</v>
      </c>
      <c r="U439" t="s">
        <v>2826</v>
      </c>
    </row>
    <row r="440" spans="1:21" x14ac:dyDescent="0.3">
      <c r="A440">
        <v>439</v>
      </c>
      <c r="B440" t="s">
        <v>2477</v>
      </c>
      <c r="C440" t="s">
        <v>76</v>
      </c>
      <c r="D440">
        <v>52</v>
      </c>
      <c r="E440" t="s">
        <v>38</v>
      </c>
      <c r="F440">
        <v>24</v>
      </c>
      <c r="G440" t="s">
        <v>106</v>
      </c>
      <c r="H440" t="s">
        <v>76</v>
      </c>
      <c r="I440">
        <v>0.5</v>
      </c>
      <c r="J440" t="s">
        <v>38</v>
      </c>
      <c r="K440">
        <v>0</v>
      </c>
      <c r="L440">
        <v>1.5576944178828401E-2</v>
      </c>
      <c r="M440" t="s">
        <v>106</v>
      </c>
      <c r="N440" t="s">
        <v>53</v>
      </c>
      <c r="O440" t="s">
        <v>2871</v>
      </c>
      <c r="P440">
        <v>703.51319999999998</v>
      </c>
      <c r="Q440">
        <v>510.34399999999999</v>
      </c>
      <c r="R440">
        <v>0.72542206741820903</v>
      </c>
      <c r="S440">
        <v>0.47249323079174799</v>
      </c>
      <c r="T440">
        <v>24</v>
      </c>
      <c r="U440" t="s">
        <v>2826</v>
      </c>
    </row>
    <row r="441" spans="1:21" x14ac:dyDescent="0.3">
      <c r="A441">
        <v>440</v>
      </c>
      <c r="B441" t="s">
        <v>646</v>
      </c>
      <c r="C441" t="s">
        <v>38</v>
      </c>
      <c r="D441">
        <v>14</v>
      </c>
      <c r="E441" t="s">
        <v>38</v>
      </c>
      <c r="F441">
        <v>5</v>
      </c>
      <c r="G441" t="s">
        <v>38</v>
      </c>
      <c r="H441" t="s">
        <v>38</v>
      </c>
      <c r="I441">
        <v>0.1</v>
      </c>
      <c r="J441" t="s">
        <v>38</v>
      </c>
      <c r="K441">
        <v>0</v>
      </c>
      <c r="L441">
        <v>3.7626556172191399E-2</v>
      </c>
      <c r="M441" t="s">
        <v>38</v>
      </c>
      <c r="O441" t="s">
        <v>2869</v>
      </c>
      <c r="P441">
        <v>539.90800000000002</v>
      </c>
      <c r="Q441">
        <v>426.68799999999999</v>
      </c>
      <c r="R441">
        <v>0.79029760625884404</v>
      </c>
      <c r="S441">
        <v>0.10967416661314699</v>
      </c>
      <c r="T441">
        <v>5</v>
      </c>
      <c r="U441" t="s">
        <v>2826</v>
      </c>
    </row>
    <row r="442" spans="1:21" x14ac:dyDescent="0.3">
      <c r="A442">
        <v>441</v>
      </c>
      <c r="B442" t="s">
        <v>1724</v>
      </c>
      <c r="C442" t="s">
        <v>38</v>
      </c>
      <c r="D442">
        <v>25</v>
      </c>
      <c r="E442" t="s">
        <v>38</v>
      </c>
      <c r="F442">
        <v>9</v>
      </c>
      <c r="G442" t="s">
        <v>38</v>
      </c>
      <c r="H442" t="s">
        <v>38</v>
      </c>
      <c r="I442">
        <v>0.2</v>
      </c>
      <c r="J442" t="s">
        <v>38</v>
      </c>
      <c r="K442">
        <v>0</v>
      </c>
      <c r="L442">
        <v>1.2303338095193299E-3</v>
      </c>
      <c r="M442" t="s">
        <v>38</v>
      </c>
      <c r="O442" t="s">
        <v>2838</v>
      </c>
      <c r="P442">
        <v>19839.1584</v>
      </c>
      <c r="Q442">
        <v>14882.14</v>
      </c>
      <c r="R442">
        <v>0.75013968334463199</v>
      </c>
      <c r="S442">
        <v>0.174571946202386</v>
      </c>
      <c r="T442">
        <v>9</v>
      </c>
      <c r="U442" t="s">
        <v>2826</v>
      </c>
    </row>
    <row r="443" spans="1:21" x14ac:dyDescent="0.3">
      <c r="A443">
        <v>442</v>
      </c>
      <c r="B443" t="s">
        <v>2749</v>
      </c>
      <c r="C443" t="s">
        <v>38</v>
      </c>
      <c r="D443">
        <v>28</v>
      </c>
      <c r="E443" t="s">
        <v>38</v>
      </c>
      <c r="F443">
        <v>5</v>
      </c>
      <c r="G443" t="s">
        <v>38</v>
      </c>
      <c r="H443" t="s">
        <v>38</v>
      </c>
      <c r="I443">
        <v>0.1</v>
      </c>
      <c r="J443" t="s">
        <v>38</v>
      </c>
      <c r="K443">
        <v>0</v>
      </c>
      <c r="L443">
        <v>1.4050430333808E-3</v>
      </c>
      <c r="M443" t="s">
        <v>38</v>
      </c>
      <c r="O443" t="s">
        <v>2838</v>
      </c>
      <c r="P443">
        <v>2722.0444000000002</v>
      </c>
      <c r="Q443">
        <v>1968.0536</v>
      </c>
      <c r="R443">
        <v>0.72300569380866797</v>
      </c>
      <c r="S443">
        <v>9.2106228674159504E-2</v>
      </c>
      <c r="T443">
        <v>5</v>
      </c>
      <c r="U443" t="s">
        <v>2826</v>
      </c>
    </row>
    <row r="444" spans="1:21" x14ac:dyDescent="0.3">
      <c r="A444">
        <v>443</v>
      </c>
      <c r="B444" t="s">
        <v>1839</v>
      </c>
      <c r="C444" t="s">
        <v>38</v>
      </c>
      <c r="D444">
        <v>17</v>
      </c>
      <c r="E444" t="s">
        <v>38</v>
      </c>
      <c r="F444">
        <v>6</v>
      </c>
      <c r="G444" t="s">
        <v>38</v>
      </c>
      <c r="H444" t="s">
        <v>38</v>
      </c>
      <c r="I444">
        <v>0.1</v>
      </c>
      <c r="J444" t="s">
        <v>38</v>
      </c>
      <c r="K444">
        <v>0</v>
      </c>
      <c r="L444">
        <v>2.96030489258274E-4</v>
      </c>
      <c r="M444" t="s">
        <v>38</v>
      </c>
      <c r="O444" t="s">
        <v>2838</v>
      </c>
      <c r="P444">
        <v>3568.6239999999998</v>
      </c>
      <c r="Q444">
        <v>2975.3692000000001</v>
      </c>
      <c r="R444">
        <v>0.833758109568282</v>
      </c>
      <c r="S444">
        <v>0.12415637438794</v>
      </c>
      <c r="T444">
        <v>6</v>
      </c>
      <c r="U444" t="s">
        <v>2826</v>
      </c>
    </row>
    <row r="445" spans="1:21" x14ac:dyDescent="0.3">
      <c r="A445">
        <v>444</v>
      </c>
      <c r="B445" t="s">
        <v>1174</v>
      </c>
      <c r="C445" t="s">
        <v>38</v>
      </c>
      <c r="D445">
        <v>0</v>
      </c>
      <c r="E445" t="s">
        <v>38</v>
      </c>
      <c r="F445">
        <v>0</v>
      </c>
      <c r="G445" t="s">
        <v>38</v>
      </c>
      <c r="H445" t="s">
        <v>38</v>
      </c>
      <c r="I445">
        <v>0</v>
      </c>
      <c r="J445" t="s">
        <v>38</v>
      </c>
      <c r="K445">
        <v>0</v>
      </c>
      <c r="L445" t="s">
        <v>2840</v>
      </c>
      <c r="M445" t="s">
        <v>38</v>
      </c>
      <c r="O445" t="s">
        <v>2872</v>
      </c>
      <c r="P445">
        <v>760.24680000000001</v>
      </c>
      <c r="Q445">
        <v>757.70159999999998</v>
      </c>
      <c r="R445">
        <v>0.99665213980512601</v>
      </c>
      <c r="S445">
        <v>4.2175985626424096E-3</v>
      </c>
      <c r="T445">
        <v>0</v>
      </c>
      <c r="U445" t="s">
        <v>2826</v>
      </c>
    </row>
    <row r="446" spans="1:21" x14ac:dyDescent="0.3">
      <c r="A446">
        <v>445</v>
      </c>
      <c r="B446" t="s">
        <v>2754</v>
      </c>
      <c r="C446" t="s">
        <v>38</v>
      </c>
      <c r="D446">
        <v>12</v>
      </c>
      <c r="E446" t="s">
        <v>38</v>
      </c>
      <c r="F446">
        <v>4</v>
      </c>
      <c r="G446" t="s">
        <v>38</v>
      </c>
      <c r="H446" t="s">
        <v>38</v>
      </c>
      <c r="I446">
        <v>0.1</v>
      </c>
      <c r="J446" t="s">
        <v>38</v>
      </c>
      <c r="K446">
        <v>0</v>
      </c>
      <c r="L446">
        <v>1.37198424111816E-2</v>
      </c>
      <c r="M446" t="s">
        <v>38</v>
      </c>
      <c r="O446" t="s">
        <v>2838</v>
      </c>
      <c r="P446">
        <v>323.45359999999999</v>
      </c>
      <c r="Q446">
        <v>286.21319999999997</v>
      </c>
      <c r="R446">
        <v>0.88486633013204996</v>
      </c>
      <c r="S446">
        <v>7.5012173813411798E-2</v>
      </c>
      <c r="T446">
        <v>4</v>
      </c>
      <c r="U446" t="s">
        <v>2826</v>
      </c>
    </row>
    <row r="447" spans="1:21" x14ac:dyDescent="0.3">
      <c r="A447">
        <v>446</v>
      </c>
      <c r="B447" t="s">
        <v>536</v>
      </c>
      <c r="C447" t="s">
        <v>38</v>
      </c>
      <c r="D447">
        <v>49</v>
      </c>
      <c r="E447" t="s">
        <v>38</v>
      </c>
      <c r="F447">
        <v>19</v>
      </c>
      <c r="G447" t="s">
        <v>51</v>
      </c>
      <c r="H447" t="s">
        <v>38</v>
      </c>
      <c r="I447">
        <v>0.4</v>
      </c>
      <c r="J447" t="s">
        <v>38</v>
      </c>
      <c r="K447">
        <v>0</v>
      </c>
      <c r="L447">
        <v>2.14924240812338E-2</v>
      </c>
      <c r="M447" t="s">
        <v>51</v>
      </c>
      <c r="N447" t="s">
        <v>53</v>
      </c>
      <c r="O447" t="s">
        <v>2868</v>
      </c>
      <c r="P447">
        <v>3399.5655999999999</v>
      </c>
      <c r="Q447">
        <v>1748.3556000000001</v>
      </c>
      <c r="R447">
        <v>0.51428794314191195</v>
      </c>
      <c r="S447">
        <v>0.38961758895932302</v>
      </c>
      <c r="T447">
        <v>19</v>
      </c>
      <c r="U447" t="s">
        <v>2826</v>
      </c>
    </row>
    <row r="448" spans="1:21" x14ac:dyDescent="0.3">
      <c r="A448">
        <v>447</v>
      </c>
      <c r="B448" t="s">
        <v>1958</v>
      </c>
      <c r="C448" t="s">
        <v>76</v>
      </c>
      <c r="D448">
        <v>52</v>
      </c>
      <c r="E448" t="s">
        <v>38</v>
      </c>
      <c r="F448">
        <v>26</v>
      </c>
      <c r="G448" t="s">
        <v>51</v>
      </c>
      <c r="H448" t="s">
        <v>38</v>
      </c>
      <c r="I448">
        <v>0.5</v>
      </c>
      <c r="J448" t="s">
        <v>38</v>
      </c>
      <c r="K448">
        <v>0</v>
      </c>
      <c r="L448">
        <v>0.11275230061734599</v>
      </c>
      <c r="M448" t="s">
        <v>51</v>
      </c>
      <c r="N448" t="s">
        <v>53</v>
      </c>
      <c r="O448" t="s">
        <v>2873</v>
      </c>
      <c r="P448">
        <v>3562.4731999999999</v>
      </c>
      <c r="Q448">
        <v>1115.6135999999999</v>
      </c>
      <c r="R448">
        <v>0.31315705055690002</v>
      </c>
      <c r="S448">
        <v>0.518141606485643</v>
      </c>
      <c r="T448">
        <v>26</v>
      </c>
      <c r="U448" t="s">
        <v>2826</v>
      </c>
    </row>
    <row r="449" spans="1:21" x14ac:dyDescent="0.3">
      <c r="A449">
        <v>448</v>
      </c>
      <c r="B449" t="s">
        <v>991</v>
      </c>
      <c r="C449" t="s">
        <v>38</v>
      </c>
      <c r="D449">
        <v>8</v>
      </c>
      <c r="E449" t="s">
        <v>38</v>
      </c>
      <c r="F449">
        <v>5</v>
      </c>
      <c r="G449" t="s">
        <v>38</v>
      </c>
      <c r="H449" t="s">
        <v>38</v>
      </c>
      <c r="I449">
        <v>0.1</v>
      </c>
      <c r="J449" t="s">
        <v>38</v>
      </c>
      <c r="K449">
        <v>0</v>
      </c>
      <c r="L449" s="18">
        <v>3.1624161351094297E-5</v>
      </c>
      <c r="M449" t="s">
        <v>38</v>
      </c>
      <c r="O449" t="s">
        <v>2838</v>
      </c>
      <c r="P449">
        <v>8796.3575999999994</v>
      </c>
      <c r="Q449">
        <v>8133.0219999999999</v>
      </c>
      <c r="R449">
        <v>0.92458974155393603</v>
      </c>
      <c r="S449">
        <v>0.10178249581649999</v>
      </c>
      <c r="T449">
        <v>5</v>
      </c>
      <c r="U449" t="s">
        <v>2826</v>
      </c>
    </row>
    <row r="450" spans="1:21" x14ac:dyDescent="0.3">
      <c r="A450">
        <v>449</v>
      </c>
      <c r="B450" t="s">
        <v>1297</v>
      </c>
      <c r="C450" t="s">
        <v>38</v>
      </c>
      <c r="D450">
        <v>2</v>
      </c>
      <c r="E450" t="s">
        <v>38</v>
      </c>
      <c r="F450">
        <v>1</v>
      </c>
      <c r="G450" t="s">
        <v>38</v>
      </c>
      <c r="H450" t="s">
        <v>38</v>
      </c>
      <c r="I450">
        <v>0</v>
      </c>
      <c r="J450" t="s">
        <v>38</v>
      </c>
      <c r="K450">
        <v>0</v>
      </c>
      <c r="L450" s="18">
        <v>7.2546963490188802E-5</v>
      </c>
      <c r="M450" t="s">
        <v>38</v>
      </c>
      <c r="O450" t="s">
        <v>2838</v>
      </c>
      <c r="P450">
        <v>2779.8908000000001</v>
      </c>
      <c r="Q450">
        <v>2718.2392</v>
      </c>
      <c r="R450">
        <v>0.97782229431458201</v>
      </c>
      <c r="S450">
        <v>2.5985650660043599E-2</v>
      </c>
      <c r="T450">
        <v>1</v>
      </c>
      <c r="U450" t="s">
        <v>2826</v>
      </c>
    </row>
    <row r="451" spans="1:21" x14ac:dyDescent="0.3">
      <c r="A451">
        <v>450</v>
      </c>
      <c r="B451" t="s">
        <v>1729</v>
      </c>
      <c r="C451" t="s">
        <v>38</v>
      </c>
      <c r="D451">
        <v>0</v>
      </c>
      <c r="E451" t="s">
        <v>38</v>
      </c>
      <c r="F451">
        <v>0</v>
      </c>
      <c r="G451" t="s">
        <v>38</v>
      </c>
      <c r="H451" t="s">
        <v>38</v>
      </c>
      <c r="I451">
        <v>0</v>
      </c>
      <c r="J451" t="s">
        <v>38</v>
      </c>
      <c r="K451">
        <v>0</v>
      </c>
      <c r="L451" t="s">
        <v>2840</v>
      </c>
      <c r="M451" t="s">
        <v>38</v>
      </c>
      <c r="O451" t="s">
        <v>2848</v>
      </c>
      <c r="P451">
        <v>277.05919999999998</v>
      </c>
      <c r="Q451">
        <v>276.87799999999999</v>
      </c>
      <c r="R451">
        <v>0.999345988149825</v>
      </c>
      <c r="S451">
        <v>6.8155950926288499E-4</v>
      </c>
      <c r="T451">
        <v>0</v>
      </c>
      <c r="U451" t="s">
        <v>2826</v>
      </c>
    </row>
    <row r="452" spans="1:21" x14ac:dyDescent="0.3">
      <c r="A452">
        <v>451</v>
      </c>
      <c r="B452" t="s">
        <v>1735</v>
      </c>
      <c r="C452" t="s">
        <v>38</v>
      </c>
      <c r="D452">
        <v>0</v>
      </c>
      <c r="E452" t="s">
        <v>38</v>
      </c>
      <c r="F452">
        <v>0</v>
      </c>
      <c r="G452" t="s">
        <v>38</v>
      </c>
      <c r="H452" t="s">
        <v>38</v>
      </c>
      <c r="I452">
        <v>0</v>
      </c>
      <c r="J452" t="s">
        <v>38</v>
      </c>
      <c r="K452">
        <v>0</v>
      </c>
      <c r="L452" t="s">
        <v>2840</v>
      </c>
      <c r="M452" t="s">
        <v>38</v>
      </c>
      <c r="O452" t="s">
        <v>2848</v>
      </c>
      <c r="P452">
        <v>2804.7060000000001</v>
      </c>
      <c r="Q452">
        <v>2800.2143999999998</v>
      </c>
      <c r="R452">
        <v>0.99839854872489298</v>
      </c>
      <c r="S452">
        <v>4.7221389872097701E-4</v>
      </c>
      <c r="T452">
        <v>0</v>
      </c>
      <c r="U452" t="s">
        <v>2826</v>
      </c>
    </row>
    <row r="453" spans="1:21" x14ac:dyDescent="0.3">
      <c r="A453">
        <v>452</v>
      </c>
      <c r="B453" t="s">
        <v>1679</v>
      </c>
      <c r="C453" t="s">
        <v>38</v>
      </c>
      <c r="D453">
        <v>11</v>
      </c>
      <c r="E453" t="s">
        <v>38</v>
      </c>
      <c r="F453">
        <v>4</v>
      </c>
      <c r="G453" t="s">
        <v>38</v>
      </c>
      <c r="H453" t="s">
        <v>38</v>
      </c>
      <c r="I453">
        <v>0.1</v>
      </c>
      <c r="J453" t="s">
        <v>38</v>
      </c>
      <c r="K453">
        <v>0</v>
      </c>
      <c r="L453" t="s">
        <v>2840</v>
      </c>
      <c r="M453" t="s">
        <v>38</v>
      </c>
      <c r="O453" t="s">
        <v>2848</v>
      </c>
      <c r="P453">
        <v>5315.1355999999996</v>
      </c>
      <c r="Q453">
        <v>4722.0828000000001</v>
      </c>
      <c r="R453">
        <v>0.88842188711046299</v>
      </c>
      <c r="S453">
        <v>7.2286623188170598E-2</v>
      </c>
      <c r="T453">
        <v>4</v>
      </c>
      <c r="U453" t="s">
        <v>2826</v>
      </c>
    </row>
    <row r="454" spans="1:21" x14ac:dyDescent="0.3">
      <c r="A454">
        <v>453</v>
      </c>
      <c r="B454" t="s">
        <v>1054</v>
      </c>
      <c r="C454" t="s">
        <v>38</v>
      </c>
      <c r="D454">
        <v>23</v>
      </c>
      <c r="E454" t="s">
        <v>38</v>
      </c>
      <c r="F454">
        <v>8</v>
      </c>
      <c r="G454" t="s">
        <v>38</v>
      </c>
      <c r="H454" t="s">
        <v>38</v>
      </c>
      <c r="I454">
        <v>0.2</v>
      </c>
      <c r="J454" t="s">
        <v>38</v>
      </c>
      <c r="K454">
        <v>0</v>
      </c>
      <c r="L454" t="s">
        <v>2840</v>
      </c>
      <c r="M454" t="s">
        <v>38</v>
      </c>
      <c r="O454" t="s">
        <v>2848</v>
      </c>
      <c r="P454">
        <v>3154.1124</v>
      </c>
      <c r="Q454">
        <v>2431.4684000000002</v>
      </c>
      <c r="R454">
        <v>0.77088831710626404</v>
      </c>
      <c r="S454">
        <v>0.16083524394713999</v>
      </c>
      <c r="T454">
        <v>8</v>
      </c>
      <c r="U454" t="s">
        <v>2826</v>
      </c>
    </row>
    <row r="455" spans="1:21" x14ac:dyDescent="0.3">
      <c r="A455">
        <v>454</v>
      </c>
      <c r="B455" t="s">
        <v>588</v>
      </c>
      <c r="C455" t="s">
        <v>38</v>
      </c>
      <c r="D455">
        <v>9</v>
      </c>
      <c r="E455" t="s">
        <v>38</v>
      </c>
      <c r="F455">
        <v>5</v>
      </c>
      <c r="G455" t="s">
        <v>38</v>
      </c>
      <c r="H455" t="s">
        <v>38</v>
      </c>
      <c r="I455">
        <v>0.1</v>
      </c>
      <c r="J455" t="s">
        <v>38</v>
      </c>
      <c r="K455">
        <v>0</v>
      </c>
      <c r="L455">
        <v>0</v>
      </c>
      <c r="M455" t="s">
        <v>38</v>
      </c>
      <c r="O455" t="s">
        <v>2838</v>
      </c>
      <c r="P455">
        <v>2225.5536000000002</v>
      </c>
      <c r="Q455">
        <v>2027.626</v>
      </c>
      <c r="R455">
        <v>0.91106590288366895</v>
      </c>
      <c r="S455">
        <v>9.9481520281755595E-2</v>
      </c>
      <c r="T455">
        <v>5</v>
      </c>
      <c r="U455" t="s">
        <v>2826</v>
      </c>
    </row>
    <row r="456" spans="1:21" x14ac:dyDescent="0.3">
      <c r="A456">
        <v>455</v>
      </c>
      <c r="B456" t="s">
        <v>951</v>
      </c>
      <c r="C456" t="s">
        <v>38</v>
      </c>
      <c r="D456">
        <v>0</v>
      </c>
      <c r="E456" t="s">
        <v>38</v>
      </c>
      <c r="F456">
        <v>0</v>
      </c>
      <c r="G456" t="s">
        <v>38</v>
      </c>
      <c r="H456" t="s">
        <v>38</v>
      </c>
      <c r="I456">
        <v>0</v>
      </c>
      <c r="J456" t="s">
        <v>38</v>
      </c>
      <c r="K456">
        <v>0</v>
      </c>
      <c r="L456" t="s">
        <v>2840</v>
      </c>
      <c r="M456" t="s">
        <v>38</v>
      </c>
      <c r="O456" t="s">
        <v>2848</v>
      </c>
      <c r="P456">
        <v>310.43799999999999</v>
      </c>
      <c r="Q456">
        <v>310.28359999999998</v>
      </c>
      <c r="R456">
        <v>0.99950263820795104</v>
      </c>
      <c r="S456">
        <v>1.89331439266974E-4</v>
      </c>
      <c r="T456">
        <v>0</v>
      </c>
      <c r="U456" t="s">
        <v>2826</v>
      </c>
    </row>
    <row r="457" spans="1:21" x14ac:dyDescent="0.3">
      <c r="A457">
        <v>456</v>
      </c>
      <c r="B457" t="s">
        <v>144</v>
      </c>
      <c r="C457" t="s">
        <v>38</v>
      </c>
      <c r="D457">
        <v>31</v>
      </c>
      <c r="E457" t="s">
        <v>38</v>
      </c>
      <c r="F457">
        <v>8</v>
      </c>
      <c r="G457" t="s">
        <v>38</v>
      </c>
      <c r="H457" t="s">
        <v>38</v>
      </c>
      <c r="I457">
        <v>0.2</v>
      </c>
      <c r="J457" t="s">
        <v>38</v>
      </c>
      <c r="K457">
        <v>0</v>
      </c>
      <c r="L457">
        <v>3.1100997625088502E-3</v>
      </c>
      <c r="M457" t="s">
        <v>38</v>
      </c>
      <c r="O457" t="s">
        <v>2843</v>
      </c>
      <c r="P457">
        <v>2706.5924</v>
      </c>
      <c r="Q457">
        <v>1972.2840000000001</v>
      </c>
      <c r="R457">
        <v>0.72869634895893498</v>
      </c>
      <c r="S457">
        <v>0.16688050850923</v>
      </c>
      <c r="T457">
        <v>8</v>
      </c>
      <c r="U457" t="s">
        <v>2826</v>
      </c>
    </row>
    <row r="458" spans="1:21" x14ac:dyDescent="0.3">
      <c r="A458">
        <v>457</v>
      </c>
      <c r="B458" t="s">
        <v>1797</v>
      </c>
      <c r="C458" t="s">
        <v>38</v>
      </c>
      <c r="D458">
        <v>27</v>
      </c>
      <c r="E458" t="s">
        <v>38</v>
      </c>
      <c r="F458">
        <v>8</v>
      </c>
      <c r="G458" t="s">
        <v>38</v>
      </c>
      <c r="H458" t="s">
        <v>38</v>
      </c>
      <c r="I458">
        <v>0.2</v>
      </c>
      <c r="J458" t="s">
        <v>38</v>
      </c>
      <c r="K458">
        <v>0</v>
      </c>
      <c r="L458">
        <v>1.23352229201777E-2</v>
      </c>
      <c r="M458" t="s">
        <v>38</v>
      </c>
      <c r="O458" t="s">
        <v>2843</v>
      </c>
      <c r="P458">
        <v>2215.6012000000001</v>
      </c>
      <c r="Q458">
        <v>1631.75</v>
      </c>
      <c r="R458">
        <v>0.736481818117809</v>
      </c>
      <c r="S458">
        <v>0.168464283867203</v>
      </c>
      <c r="T458">
        <v>8</v>
      </c>
      <c r="U458" t="s">
        <v>2826</v>
      </c>
    </row>
    <row r="459" spans="1:21" x14ac:dyDescent="0.3">
      <c r="A459">
        <v>458</v>
      </c>
      <c r="B459" t="s">
        <v>1924</v>
      </c>
      <c r="C459" t="s">
        <v>38</v>
      </c>
      <c r="D459">
        <v>26</v>
      </c>
      <c r="E459" t="s">
        <v>38</v>
      </c>
      <c r="F459">
        <v>13</v>
      </c>
      <c r="G459" t="s">
        <v>38</v>
      </c>
      <c r="H459" t="s">
        <v>38</v>
      </c>
      <c r="I459">
        <v>0.3</v>
      </c>
      <c r="J459" t="s">
        <v>38</v>
      </c>
      <c r="K459">
        <v>0</v>
      </c>
      <c r="L459">
        <v>0.115259056527877</v>
      </c>
      <c r="M459" t="s">
        <v>38</v>
      </c>
      <c r="O459" t="s">
        <v>2843</v>
      </c>
      <c r="P459">
        <v>1533.5047999999999</v>
      </c>
      <c r="Q459">
        <v>1014.296</v>
      </c>
      <c r="R459">
        <v>0.661423426910695</v>
      </c>
      <c r="S459">
        <v>0.26698161591796299</v>
      </c>
      <c r="T459">
        <v>13</v>
      </c>
      <c r="U459" t="s">
        <v>2826</v>
      </c>
    </row>
    <row r="460" spans="1:21" x14ac:dyDescent="0.3">
      <c r="A460">
        <v>459</v>
      </c>
      <c r="B460" t="s">
        <v>68</v>
      </c>
      <c r="C460" t="s">
        <v>76</v>
      </c>
      <c r="D460">
        <v>59</v>
      </c>
      <c r="E460" t="s">
        <v>38</v>
      </c>
      <c r="F460">
        <v>18</v>
      </c>
      <c r="G460" t="s">
        <v>51</v>
      </c>
      <c r="H460" t="s">
        <v>76</v>
      </c>
      <c r="I460">
        <v>0.4</v>
      </c>
      <c r="J460" t="s">
        <v>38</v>
      </c>
      <c r="K460">
        <v>0</v>
      </c>
      <c r="L460">
        <v>7.5621990689317006E-2</v>
      </c>
      <c r="M460" t="s">
        <v>51</v>
      </c>
      <c r="N460" t="s">
        <v>53</v>
      </c>
      <c r="O460" t="s">
        <v>2846</v>
      </c>
      <c r="P460">
        <v>803.10360000000003</v>
      </c>
      <c r="Q460">
        <v>325.90519999999998</v>
      </c>
      <c r="R460">
        <v>0.40580717107979603</v>
      </c>
      <c r="S460">
        <v>0.36934191842557001</v>
      </c>
      <c r="T460">
        <v>18</v>
      </c>
      <c r="U460" t="s">
        <v>2826</v>
      </c>
    </row>
    <row r="461" spans="1:21" x14ac:dyDescent="0.3">
      <c r="A461">
        <v>460</v>
      </c>
      <c r="B461" t="s">
        <v>230</v>
      </c>
      <c r="C461" t="s">
        <v>51</v>
      </c>
      <c r="D461">
        <v>76</v>
      </c>
      <c r="E461" t="s">
        <v>51</v>
      </c>
      <c r="F461">
        <v>52</v>
      </c>
      <c r="G461" t="s">
        <v>51</v>
      </c>
      <c r="H461" t="s">
        <v>38</v>
      </c>
      <c r="I461">
        <v>1</v>
      </c>
      <c r="J461" t="s">
        <v>38</v>
      </c>
      <c r="K461">
        <v>0</v>
      </c>
      <c r="L461">
        <v>0.182556396744185</v>
      </c>
      <c r="M461" t="s">
        <v>51</v>
      </c>
      <c r="N461" t="s">
        <v>236</v>
      </c>
      <c r="O461" t="s">
        <v>2844</v>
      </c>
      <c r="P461">
        <v>1812.6007999999999</v>
      </c>
      <c r="Q461">
        <v>250.33359999999999</v>
      </c>
      <c r="R461">
        <v>0.13810740897830301</v>
      </c>
      <c r="S461">
        <v>1.04191297549587</v>
      </c>
      <c r="T461">
        <v>52</v>
      </c>
      <c r="U461" t="s">
        <v>2826</v>
      </c>
    </row>
    <row r="462" spans="1:21" x14ac:dyDescent="0.3">
      <c r="A462">
        <v>461</v>
      </c>
      <c r="B462" t="s">
        <v>608</v>
      </c>
      <c r="C462" t="s">
        <v>38</v>
      </c>
      <c r="D462">
        <v>31</v>
      </c>
      <c r="E462" t="s">
        <v>38</v>
      </c>
      <c r="F462">
        <v>6</v>
      </c>
      <c r="G462" t="s">
        <v>38</v>
      </c>
      <c r="H462" t="s">
        <v>38</v>
      </c>
      <c r="I462">
        <v>0.1</v>
      </c>
      <c r="J462" t="s">
        <v>38</v>
      </c>
      <c r="K462">
        <v>0</v>
      </c>
      <c r="L462">
        <v>8.3570711481948404E-2</v>
      </c>
      <c r="M462" t="s">
        <v>38</v>
      </c>
      <c r="O462" t="s">
        <v>2838</v>
      </c>
      <c r="P462">
        <v>10185.484399999999</v>
      </c>
      <c r="Q462">
        <v>7037.5756000000001</v>
      </c>
      <c r="R462">
        <v>0.69094166989249906</v>
      </c>
      <c r="S462">
        <v>0.122292242486316</v>
      </c>
      <c r="T462">
        <v>6</v>
      </c>
      <c r="U462" t="s">
        <v>2826</v>
      </c>
    </row>
    <row r="463" spans="1:21" x14ac:dyDescent="0.3">
      <c r="A463">
        <v>462</v>
      </c>
      <c r="B463" t="s">
        <v>1803</v>
      </c>
      <c r="C463" t="s">
        <v>38</v>
      </c>
      <c r="D463">
        <v>38</v>
      </c>
      <c r="E463" t="s">
        <v>38</v>
      </c>
      <c r="F463">
        <v>13</v>
      </c>
      <c r="G463" t="s">
        <v>38</v>
      </c>
      <c r="H463" t="s">
        <v>38</v>
      </c>
      <c r="I463">
        <v>0.3</v>
      </c>
      <c r="J463" t="s">
        <v>38</v>
      </c>
      <c r="K463">
        <v>0</v>
      </c>
      <c r="L463">
        <v>9.71798204237838E-2</v>
      </c>
      <c r="M463" t="s">
        <v>38</v>
      </c>
      <c r="O463" t="s">
        <v>2838</v>
      </c>
      <c r="P463">
        <v>7762.2767999999996</v>
      </c>
      <c r="Q463">
        <v>4782.8159999999998</v>
      </c>
      <c r="R463">
        <v>0.61616148499110501</v>
      </c>
      <c r="S463">
        <v>0.263995621943375</v>
      </c>
      <c r="T463">
        <v>13</v>
      </c>
      <c r="U463" t="s">
        <v>2826</v>
      </c>
    </row>
    <row r="464" spans="1:21" x14ac:dyDescent="0.3">
      <c r="A464">
        <v>463</v>
      </c>
      <c r="B464" t="s">
        <v>2697</v>
      </c>
      <c r="C464" t="s">
        <v>38</v>
      </c>
      <c r="D464">
        <v>44</v>
      </c>
      <c r="E464" t="s">
        <v>38</v>
      </c>
      <c r="F464">
        <v>18</v>
      </c>
      <c r="G464" t="s">
        <v>51</v>
      </c>
      <c r="H464" t="s">
        <v>38</v>
      </c>
      <c r="I464">
        <v>0.4</v>
      </c>
      <c r="J464" t="s">
        <v>38</v>
      </c>
      <c r="K464">
        <v>0</v>
      </c>
      <c r="L464">
        <v>7.8638604971659601E-2</v>
      </c>
      <c r="M464" t="s">
        <v>51</v>
      </c>
      <c r="N464" t="s">
        <v>53</v>
      </c>
      <c r="O464" t="s">
        <v>2839</v>
      </c>
      <c r="P464">
        <v>1527.7652</v>
      </c>
      <c r="Q464">
        <v>848.68240000000003</v>
      </c>
      <c r="R464">
        <v>0.55550578060031697</v>
      </c>
      <c r="S464">
        <v>0.36865104869057103</v>
      </c>
      <c r="T464">
        <v>18</v>
      </c>
      <c r="U464" t="s">
        <v>2826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64"/>
  <sheetViews>
    <sheetView workbookViewId="0">
      <selection sqref="A1:XFD464"/>
    </sheetView>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24</v>
      </c>
      <c r="C2" t="s">
        <v>25</v>
      </c>
      <c r="D2" t="s">
        <v>26</v>
      </c>
      <c r="E2" t="s">
        <v>27</v>
      </c>
      <c r="F2" t="s">
        <v>28</v>
      </c>
      <c r="G2" t="s">
        <v>29</v>
      </c>
      <c r="H2" t="s">
        <v>30</v>
      </c>
      <c r="I2" t="s">
        <v>31</v>
      </c>
      <c r="J2" t="s">
        <v>32</v>
      </c>
      <c r="K2" t="s">
        <v>33</v>
      </c>
      <c r="L2" t="s">
        <v>34</v>
      </c>
      <c r="M2" t="s">
        <v>35</v>
      </c>
      <c r="N2" t="s">
        <v>36</v>
      </c>
      <c r="O2">
        <v>13392.40856081142</v>
      </c>
      <c r="P2">
        <v>12392.94</v>
      </c>
      <c r="Q2">
        <v>12357.0376</v>
      </c>
      <c r="R2" t="s">
        <v>37</v>
      </c>
      <c r="S2" t="s">
        <v>38</v>
      </c>
      <c r="T2" t="s">
        <v>38</v>
      </c>
      <c r="U2" t="s">
        <v>39</v>
      </c>
      <c r="W2" t="s">
        <v>40</v>
      </c>
    </row>
    <row r="3" spans="1:23" x14ac:dyDescent="0.3">
      <c r="A3" t="s">
        <v>23</v>
      </c>
      <c r="B3" t="s">
        <v>41</v>
      </c>
      <c r="C3" t="s">
        <v>42</v>
      </c>
      <c r="D3" t="s">
        <v>43</v>
      </c>
      <c r="E3" t="s">
        <v>44</v>
      </c>
      <c r="F3" t="s">
        <v>28</v>
      </c>
      <c r="G3" t="s">
        <v>45</v>
      </c>
      <c r="H3" t="s">
        <v>46</v>
      </c>
      <c r="I3" t="s">
        <v>47</v>
      </c>
      <c r="J3" t="s">
        <v>32</v>
      </c>
      <c r="K3" t="s">
        <v>33</v>
      </c>
      <c r="L3" t="s">
        <v>48</v>
      </c>
      <c r="M3" t="s">
        <v>49</v>
      </c>
      <c r="N3" t="s">
        <v>50</v>
      </c>
      <c r="O3">
        <v>4445.3263116387052</v>
      </c>
      <c r="P3">
        <v>2565.96</v>
      </c>
      <c r="Q3">
        <v>2519.2303999999999</v>
      </c>
      <c r="R3" t="s">
        <v>37</v>
      </c>
      <c r="S3" t="s">
        <v>38</v>
      </c>
      <c r="T3" t="s">
        <v>51</v>
      </c>
      <c r="U3" t="s">
        <v>52</v>
      </c>
      <c r="V3" t="s">
        <v>53</v>
      </c>
      <c r="W3" t="s">
        <v>54</v>
      </c>
    </row>
    <row r="4" spans="1:23" x14ac:dyDescent="0.3">
      <c r="A4" t="s">
        <v>23</v>
      </c>
      <c r="B4" t="s">
        <v>55</v>
      </c>
      <c r="C4" t="s">
        <v>56</v>
      </c>
      <c r="D4" t="s">
        <v>57</v>
      </c>
      <c r="E4" t="s">
        <v>58</v>
      </c>
      <c r="F4" t="s">
        <v>59</v>
      </c>
      <c r="G4" t="s">
        <v>60</v>
      </c>
      <c r="H4" t="s">
        <v>61</v>
      </c>
      <c r="I4" t="s">
        <v>62</v>
      </c>
      <c r="J4" t="s">
        <v>63</v>
      </c>
      <c r="K4" t="s">
        <v>33</v>
      </c>
      <c r="L4" t="s">
        <v>64</v>
      </c>
      <c r="M4" t="s">
        <v>65</v>
      </c>
      <c r="N4" t="s">
        <v>66</v>
      </c>
      <c r="O4">
        <v>335.92545499307892</v>
      </c>
      <c r="P4">
        <v>333.06</v>
      </c>
      <c r="Q4">
        <v>332.9092</v>
      </c>
      <c r="R4" t="s">
        <v>67</v>
      </c>
      <c r="S4" t="s">
        <v>38</v>
      </c>
      <c r="T4" t="s">
        <v>38</v>
      </c>
      <c r="U4" t="s">
        <v>39</v>
      </c>
      <c r="W4" t="s">
        <v>40</v>
      </c>
    </row>
    <row r="5" spans="1:23" x14ac:dyDescent="0.3">
      <c r="A5" t="s">
        <v>23</v>
      </c>
      <c r="B5" t="s">
        <v>68</v>
      </c>
      <c r="C5" t="s">
        <v>69</v>
      </c>
      <c r="D5" t="s">
        <v>70</v>
      </c>
      <c r="E5" t="s">
        <v>44</v>
      </c>
      <c r="F5" t="s">
        <v>28</v>
      </c>
      <c r="G5" t="s">
        <v>45</v>
      </c>
      <c r="H5" t="s">
        <v>71</v>
      </c>
      <c r="I5" t="s">
        <v>72</v>
      </c>
      <c r="J5" t="s">
        <v>32</v>
      </c>
      <c r="K5" t="s">
        <v>33</v>
      </c>
      <c r="M5" t="s">
        <v>73</v>
      </c>
      <c r="N5" t="s">
        <v>74</v>
      </c>
      <c r="O5">
        <v>803.12908832171775</v>
      </c>
      <c r="P5">
        <v>334.1</v>
      </c>
      <c r="Q5">
        <v>325.98719999999997</v>
      </c>
      <c r="R5" t="s">
        <v>75</v>
      </c>
      <c r="S5" t="s">
        <v>76</v>
      </c>
      <c r="T5" t="s">
        <v>51</v>
      </c>
      <c r="U5" t="s">
        <v>77</v>
      </c>
      <c r="V5" t="s">
        <v>53</v>
      </c>
      <c r="W5" t="s">
        <v>54</v>
      </c>
    </row>
    <row r="6" spans="1:23" x14ac:dyDescent="0.3">
      <c r="A6" t="s">
        <v>23</v>
      </c>
      <c r="B6" t="s">
        <v>78</v>
      </c>
      <c r="C6" t="s">
        <v>79</v>
      </c>
      <c r="D6" t="s">
        <v>80</v>
      </c>
      <c r="E6" t="s">
        <v>81</v>
      </c>
      <c r="F6" t="s">
        <v>59</v>
      </c>
      <c r="G6" t="s">
        <v>82</v>
      </c>
      <c r="H6" t="s">
        <v>83</v>
      </c>
      <c r="I6" t="s">
        <v>62</v>
      </c>
      <c r="J6" t="s">
        <v>32</v>
      </c>
      <c r="K6" t="s">
        <v>33</v>
      </c>
      <c r="L6" t="s">
        <v>84</v>
      </c>
      <c r="M6" t="s">
        <v>85</v>
      </c>
      <c r="N6" t="s">
        <v>86</v>
      </c>
      <c r="O6">
        <v>449.05511243150232</v>
      </c>
      <c r="P6">
        <v>442.12</v>
      </c>
      <c r="Q6">
        <v>441.48399999999998</v>
      </c>
      <c r="R6" t="s">
        <v>75</v>
      </c>
      <c r="S6" t="s">
        <v>38</v>
      </c>
      <c r="T6" t="s">
        <v>38</v>
      </c>
      <c r="U6" t="s">
        <v>39</v>
      </c>
      <c r="W6" t="s">
        <v>40</v>
      </c>
    </row>
    <row r="7" spans="1:23" x14ac:dyDescent="0.3">
      <c r="A7" t="s">
        <v>23</v>
      </c>
      <c r="B7" t="s">
        <v>87</v>
      </c>
      <c r="C7" t="s">
        <v>88</v>
      </c>
      <c r="D7" t="s">
        <v>89</v>
      </c>
      <c r="E7" t="s">
        <v>90</v>
      </c>
      <c r="F7" t="s">
        <v>91</v>
      </c>
      <c r="G7" t="s">
        <v>92</v>
      </c>
      <c r="H7" t="s">
        <v>93</v>
      </c>
      <c r="I7" t="s">
        <v>94</v>
      </c>
      <c r="J7" t="s">
        <v>32</v>
      </c>
      <c r="K7" t="s">
        <v>33</v>
      </c>
      <c r="L7" t="s">
        <v>95</v>
      </c>
      <c r="M7" t="s">
        <v>96</v>
      </c>
      <c r="N7" t="s">
        <v>97</v>
      </c>
      <c r="O7">
        <v>2298.45838796215</v>
      </c>
      <c r="P7">
        <v>1577.49</v>
      </c>
      <c r="Q7">
        <v>1567.7128</v>
      </c>
      <c r="R7" t="s">
        <v>67</v>
      </c>
      <c r="S7" t="s">
        <v>38</v>
      </c>
      <c r="T7" t="s">
        <v>38</v>
      </c>
      <c r="U7" t="s">
        <v>39</v>
      </c>
      <c r="W7" t="s">
        <v>40</v>
      </c>
    </row>
    <row r="8" spans="1:23" x14ac:dyDescent="0.3">
      <c r="A8" t="s">
        <v>23</v>
      </c>
      <c r="B8" t="s">
        <v>98</v>
      </c>
      <c r="C8" t="s">
        <v>99</v>
      </c>
      <c r="D8" t="s">
        <v>100</v>
      </c>
      <c r="E8" t="s">
        <v>90</v>
      </c>
      <c r="F8" t="s">
        <v>91</v>
      </c>
      <c r="G8" t="s">
        <v>92</v>
      </c>
      <c r="H8" t="s">
        <v>101</v>
      </c>
      <c r="I8" t="s">
        <v>102</v>
      </c>
      <c r="J8" t="s">
        <v>32</v>
      </c>
      <c r="K8" t="s">
        <v>33</v>
      </c>
      <c r="L8" t="s">
        <v>103</v>
      </c>
      <c r="M8" t="s">
        <v>104</v>
      </c>
      <c r="N8" t="s">
        <v>105</v>
      </c>
      <c r="O8">
        <v>63.062472750069837</v>
      </c>
      <c r="P8">
        <v>36.99</v>
      </c>
      <c r="Q8">
        <v>36.472000000000001</v>
      </c>
      <c r="R8" t="s">
        <v>75</v>
      </c>
      <c r="S8" t="s">
        <v>76</v>
      </c>
      <c r="T8" t="s">
        <v>106</v>
      </c>
      <c r="U8" t="s">
        <v>107</v>
      </c>
      <c r="V8" t="s">
        <v>108</v>
      </c>
      <c r="W8" t="s">
        <v>54</v>
      </c>
    </row>
    <row r="9" spans="1:23" x14ac:dyDescent="0.3">
      <c r="A9" t="s">
        <v>23</v>
      </c>
      <c r="B9" t="s">
        <v>109</v>
      </c>
      <c r="C9" t="s">
        <v>110</v>
      </c>
      <c r="D9" t="s">
        <v>111</v>
      </c>
      <c r="E9" t="s">
        <v>112</v>
      </c>
      <c r="F9" t="s">
        <v>59</v>
      </c>
      <c r="G9" t="s">
        <v>113</v>
      </c>
      <c r="H9" t="s">
        <v>114</v>
      </c>
      <c r="I9" t="s">
        <v>62</v>
      </c>
      <c r="J9" t="s">
        <v>32</v>
      </c>
      <c r="K9" t="s">
        <v>33</v>
      </c>
      <c r="L9" t="s">
        <v>115</v>
      </c>
      <c r="M9" t="s">
        <v>116</v>
      </c>
      <c r="N9" t="s">
        <v>117</v>
      </c>
      <c r="O9">
        <v>5176.9332536905922</v>
      </c>
      <c r="P9">
        <v>4837.8500000000004</v>
      </c>
      <c r="Q9">
        <v>4815.0252</v>
      </c>
      <c r="R9" t="s">
        <v>37</v>
      </c>
      <c r="S9" t="s">
        <v>38</v>
      </c>
      <c r="T9" t="s">
        <v>38</v>
      </c>
      <c r="U9" t="s">
        <v>39</v>
      </c>
      <c r="W9" t="s">
        <v>40</v>
      </c>
    </row>
    <row r="10" spans="1:23" x14ac:dyDescent="0.3">
      <c r="A10" t="s">
        <v>23</v>
      </c>
      <c r="B10" t="s">
        <v>118</v>
      </c>
      <c r="C10" t="s">
        <v>119</v>
      </c>
      <c r="D10" t="s">
        <v>111</v>
      </c>
      <c r="E10" t="s">
        <v>112</v>
      </c>
      <c r="F10" t="s">
        <v>59</v>
      </c>
      <c r="G10" t="s">
        <v>82</v>
      </c>
      <c r="H10" t="s">
        <v>120</v>
      </c>
      <c r="I10" t="s">
        <v>121</v>
      </c>
      <c r="J10" t="s">
        <v>32</v>
      </c>
      <c r="K10" t="s">
        <v>33</v>
      </c>
      <c r="L10" t="s">
        <v>122</v>
      </c>
      <c r="M10" t="s">
        <v>123</v>
      </c>
      <c r="N10" t="s">
        <v>124</v>
      </c>
      <c r="O10">
        <v>2130.0796276659612</v>
      </c>
      <c r="P10">
        <v>1989.47</v>
      </c>
      <c r="Q10">
        <v>1983.6</v>
      </c>
      <c r="R10" t="s">
        <v>125</v>
      </c>
      <c r="S10" t="s">
        <v>38</v>
      </c>
      <c r="T10" t="s">
        <v>38</v>
      </c>
      <c r="U10" t="s">
        <v>39</v>
      </c>
      <c r="W10" t="s">
        <v>40</v>
      </c>
    </row>
    <row r="11" spans="1:23" x14ac:dyDescent="0.3">
      <c r="A11" t="s">
        <v>23</v>
      </c>
      <c r="B11" t="s">
        <v>126</v>
      </c>
      <c r="C11" t="s">
        <v>127</v>
      </c>
      <c r="D11" t="s">
        <v>26</v>
      </c>
      <c r="E11" t="s">
        <v>27</v>
      </c>
      <c r="F11" t="s">
        <v>28</v>
      </c>
      <c r="G11" t="s">
        <v>29</v>
      </c>
      <c r="H11" t="s">
        <v>128</v>
      </c>
      <c r="I11" t="s">
        <v>129</v>
      </c>
      <c r="J11" t="s">
        <v>32</v>
      </c>
      <c r="K11" t="s">
        <v>33</v>
      </c>
      <c r="L11" t="s">
        <v>130</v>
      </c>
      <c r="M11" t="s">
        <v>131</v>
      </c>
      <c r="N11" t="s">
        <v>132</v>
      </c>
      <c r="O11">
        <v>923.56300134244611</v>
      </c>
      <c r="P11">
        <v>424.81</v>
      </c>
      <c r="Q11">
        <v>416.94400000000002</v>
      </c>
      <c r="R11" t="s">
        <v>75</v>
      </c>
      <c r="S11" t="s">
        <v>106</v>
      </c>
      <c r="T11" t="s">
        <v>106</v>
      </c>
      <c r="U11" t="s">
        <v>133</v>
      </c>
      <c r="V11" t="s">
        <v>53</v>
      </c>
      <c r="W11" t="s">
        <v>40</v>
      </c>
    </row>
    <row r="12" spans="1:23" x14ac:dyDescent="0.3">
      <c r="A12" t="s">
        <v>23</v>
      </c>
      <c r="B12" t="s">
        <v>134</v>
      </c>
      <c r="C12" t="s">
        <v>135</v>
      </c>
      <c r="D12" t="s">
        <v>136</v>
      </c>
      <c r="E12" t="s">
        <v>112</v>
      </c>
      <c r="F12" t="s">
        <v>28</v>
      </c>
      <c r="G12" t="s">
        <v>137</v>
      </c>
      <c r="H12" t="s">
        <v>138</v>
      </c>
      <c r="I12" t="s">
        <v>139</v>
      </c>
      <c r="J12" t="s">
        <v>32</v>
      </c>
      <c r="K12" t="s">
        <v>33</v>
      </c>
      <c r="L12" t="s">
        <v>140</v>
      </c>
      <c r="M12" t="s">
        <v>141</v>
      </c>
      <c r="N12" t="s">
        <v>142</v>
      </c>
      <c r="O12">
        <v>653.42873092148216</v>
      </c>
      <c r="P12">
        <v>292.38</v>
      </c>
      <c r="Q12">
        <v>286.15879999999999</v>
      </c>
      <c r="R12" t="s">
        <v>37</v>
      </c>
      <c r="S12" t="s">
        <v>51</v>
      </c>
      <c r="T12" t="s">
        <v>51</v>
      </c>
      <c r="U12" t="s">
        <v>143</v>
      </c>
      <c r="V12" t="s">
        <v>53</v>
      </c>
      <c r="W12" t="s">
        <v>40</v>
      </c>
    </row>
    <row r="13" spans="1:23" x14ac:dyDescent="0.3">
      <c r="A13" t="s">
        <v>23</v>
      </c>
      <c r="B13" t="s">
        <v>144</v>
      </c>
      <c r="C13" t="s">
        <v>145</v>
      </c>
      <c r="D13" t="s">
        <v>70</v>
      </c>
      <c r="E13" t="s">
        <v>44</v>
      </c>
      <c r="F13" t="s">
        <v>28</v>
      </c>
      <c r="G13" t="s">
        <v>45</v>
      </c>
      <c r="H13" t="s">
        <v>146</v>
      </c>
      <c r="I13" t="s">
        <v>147</v>
      </c>
      <c r="J13" t="s">
        <v>32</v>
      </c>
      <c r="K13" t="s">
        <v>33</v>
      </c>
      <c r="L13" t="s">
        <v>148</v>
      </c>
      <c r="M13" t="s">
        <v>149</v>
      </c>
      <c r="N13" t="s">
        <v>150</v>
      </c>
      <c r="O13">
        <v>2706.571109292267</v>
      </c>
      <c r="P13">
        <v>1941.53</v>
      </c>
      <c r="Q13">
        <v>1972.316</v>
      </c>
      <c r="R13" t="s">
        <v>75</v>
      </c>
      <c r="S13" t="s">
        <v>38</v>
      </c>
      <c r="T13" t="s">
        <v>38</v>
      </c>
      <c r="U13" t="s">
        <v>39</v>
      </c>
      <c r="W13" t="s">
        <v>40</v>
      </c>
    </row>
    <row r="14" spans="1:23" x14ac:dyDescent="0.3">
      <c r="A14" t="s">
        <v>23</v>
      </c>
      <c r="B14" t="s">
        <v>151</v>
      </c>
      <c r="C14" t="s">
        <v>152</v>
      </c>
      <c r="D14" t="s">
        <v>153</v>
      </c>
      <c r="E14" t="s">
        <v>154</v>
      </c>
      <c r="F14" t="s">
        <v>59</v>
      </c>
      <c r="G14" t="s">
        <v>113</v>
      </c>
      <c r="H14" t="s">
        <v>155</v>
      </c>
      <c r="I14" t="s">
        <v>94</v>
      </c>
      <c r="J14" t="s">
        <v>32</v>
      </c>
      <c r="K14" t="s">
        <v>33</v>
      </c>
      <c r="L14" t="s">
        <v>156</v>
      </c>
      <c r="M14" t="s">
        <v>157</v>
      </c>
      <c r="N14" t="s">
        <v>158</v>
      </c>
      <c r="O14">
        <v>8321.4049722827785</v>
      </c>
      <c r="P14">
        <v>8190.32</v>
      </c>
      <c r="Q14">
        <v>8164.2348000000002</v>
      </c>
      <c r="R14" t="s">
        <v>125</v>
      </c>
      <c r="S14" t="s">
        <v>38</v>
      </c>
      <c r="T14" t="s">
        <v>38</v>
      </c>
      <c r="U14" t="s">
        <v>39</v>
      </c>
      <c r="W14" t="s">
        <v>40</v>
      </c>
    </row>
    <row r="15" spans="1:23" x14ac:dyDescent="0.3">
      <c r="A15" t="s">
        <v>23</v>
      </c>
      <c r="B15" t="s">
        <v>159</v>
      </c>
      <c r="C15" t="s">
        <v>160</v>
      </c>
      <c r="D15" t="s">
        <v>43</v>
      </c>
      <c r="E15" t="s">
        <v>44</v>
      </c>
      <c r="F15" t="s">
        <v>28</v>
      </c>
      <c r="G15" t="s">
        <v>45</v>
      </c>
      <c r="H15" t="s">
        <v>161</v>
      </c>
      <c r="I15" t="s">
        <v>162</v>
      </c>
      <c r="J15" t="s">
        <v>32</v>
      </c>
      <c r="K15" t="s">
        <v>33</v>
      </c>
      <c r="L15" t="s">
        <v>163</v>
      </c>
      <c r="M15" t="s">
        <v>164</v>
      </c>
      <c r="N15" t="s">
        <v>165</v>
      </c>
      <c r="O15">
        <v>491.34079597141999</v>
      </c>
      <c r="P15">
        <v>216.83</v>
      </c>
      <c r="Q15">
        <v>360.8888</v>
      </c>
      <c r="R15" t="s">
        <v>37</v>
      </c>
      <c r="S15" t="s">
        <v>38</v>
      </c>
      <c r="T15" t="s">
        <v>51</v>
      </c>
      <c r="U15" t="s">
        <v>52</v>
      </c>
      <c r="V15" t="s">
        <v>53</v>
      </c>
      <c r="W15" t="s">
        <v>54</v>
      </c>
    </row>
    <row r="16" spans="1:23" x14ac:dyDescent="0.3">
      <c r="A16" t="s">
        <v>23</v>
      </c>
      <c r="B16" t="s">
        <v>166</v>
      </c>
      <c r="C16" t="s">
        <v>167</v>
      </c>
      <c r="D16" t="s">
        <v>168</v>
      </c>
      <c r="E16" t="s">
        <v>154</v>
      </c>
      <c r="F16" t="s">
        <v>59</v>
      </c>
      <c r="G16" t="s">
        <v>113</v>
      </c>
      <c r="H16" t="s">
        <v>169</v>
      </c>
      <c r="I16" t="s">
        <v>62</v>
      </c>
      <c r="J16" t="s">
        <v>63</v>
      </c>
      <c r="K16" t="s">
        <v>33</v>
      </c>
      <c r="L16" t="s">
        <v>170</v>
      </c>
      <c r="M16" t="s">
        <v>171</v>
      </c>
      <c r="N16" t="s">
        <v>172</v>
      </c>
      <c r="O16">
        <v>8633.6992602156552</v>
      </c>
      <c r="P16">
        <v>8565.36</v>
      </c>
      <c r="Q16">
        <v>8543.5887999999995</v>
      </c>
      <c r="R16" t="s">
        <v>75</v>
      </c>
      <c r="S16" t="s">
        <v>38</v>
      </c>
      <c r="T16" t="s">
        <v>38</v>
      </c>
      <c r="U16" t="s">
        <v>39</v>
      </c>
      <c r="W16" t="s">
        <v>40</v>
      </c>
    </row>
    <row r="17" spans="1:23" x14ac:dyDescent="0.3">
      <c r="A17" t="s">
        <v>23</v>
      </c>
      <c r="B17" t="s">
        <v>173</v>
      </c>
      <c r="C17" t="s">
        <v>174</v>
      </c>
      <c r="D17" t="s">
        <v>175</v>
      </c>
      <c r="E17" t="s">
        <v>90</v>
      </c>
      <c r="F17" t="s">
        <v>91</v>
      </c>
      <c r="G17" t="s">
        <v>92</v>
      </c>
      <c r="H17" t="s">
        <v>176</v>
      </c>
      <c r="I17" t="s">
        <v>102</v>
      </c>
      <c r="J17" t="s">
        <v>32</v>
      </c>
      <c r="K17" t="s">
        <v>33</v>
      </c>
      <c r="L17" t="s">
        <v>177</v>
      </c>
      <c r="M17" t="s">
        <v>178</v>
      </c>
      <c r="N17" t="s">
        <v>179</v>
      </c>
      <c r="O17">
        <v>388.31220998626071</v>
      </c>
      <c r="P17">
        <v>385.49</v>
      </c>
      <c r="Q17">
        <v>385.38400000000001</v>
      </c>
      <c r="R17" t="s">
        <v>67</v>
      </c>
      <c r="S17" t="s">
        <v>38</v>
      </c>
      <c r="T17" t="s">
        <v>38</v>
      </c>
      <c r="U17" t="s">
        <v>39</v>
      </c>
      <c r="W17" t="s">
        <v>40</v>
      </c>
    </row>
    <row r="18" spans="1:23" x14ac:dyDescent="0.3">
      <c r="A18" t="s">
        <v>23</v>
      </c>
      <c r="B18" t="s">
        <v>180</v>
      </c>
      <c r="C18" t="s">
        <v>181</v>
      </c>
      <c r="D18" t="s">
        <v>182</v>
      </c>
      <c r="E18" t="s">
        <v>27</v>
      </c>
      <c r="F18" t="s">
        <v>28</v>
      </c>
      <c r="G18" t="s">
        <v>29</v>
      </c>
      <c r="H18" t="s">
        <v>183</v>
      </c>
      <c r="I18" t="s">
        <v>184</v>
      </c>
      <c r="J18" t="s">
        <v>185</v>
      </c>
      <c r="K18" t="s">
        <v>33</v>
      </c>
      <c r="L18" t="s">
        <v>186</v>
      </c>
      <c r="M18" t="s">
        <v>187</v>
      </c>
      <c r="N18" t="s">
        <v>188</v>
      </c>
      <c r="O18">
        <v>17.571757723268949</v>
      </c>
      <c r="P18">
        <v>21.56</v>
      </c>
      <c r="Q18">
        <v>21.5428</v>
      </c>
      <c r="R18" t="s">
        <v>67</v>
      </c>
      <c r="S18" t="s">
        <v>38</v>
      </c>
      <c r="T18" t="s">
        <v>38</v>
      </c>
      <c r="U18" t="s">
        <v>39</v>
      </c>
      <c r="W18" t="s">
        <v>40</v>
      </c>
    </row>
    <row r="19" spans="1:23" x14ac:dyDescent="0.3">
      <c r="A19" t="s">
        <v>23</v>
      </c>
      <c r="B19" t="s">
        <v>189</v>
      </c>
      <c r="C19" t="s">
        <v>190</v>
      </c>
      <c r="D19" t="s">
        <v>191</v>
      </c>
      <c r="E19" t="s">
        <v>90</v>
      </c>
      <c r="F19" t="s">
        <v>91</v>
      </c>
      <c r="G19" t="s">
        <v>92</v>
      </c>
      <c r="H19" t="s">
        <v>192</v>
      </c>
      <c r="I19" t="s">
        <v>62</v>
      </c>
      <c r="J19" t="s">
        <v>32</v>
      </c>
      <c r="K19" t="s">
        <v>33</v>
      </c>
      <c r="L19" t="s">
        <v>193</v>
      </c>
      <c r="M19" t="s">
        <v>194</v>
      </c>
      <c r="N19" t="s">
        <v>195</v>
      </c>
      <c r="O19">
        <v>218.82337647752911</v>
      </c>
      <c r="P19">
        <v>105.19</v>
      </c>
      <c r="Q19">
        <v>104.38079999999999</v>
      </c>
      <c r="R19" t="s">
        <v>75</v>
      </c>
      <c r="S19" t="s">
        <v>106</v>
      </c>
      <c r="T19" t="s">
        <v>106</v>
      </c>
      <c r="U19" t="s">
        <v>133</v>
      </c>
      <c r="V19" t="s">
        <v>53</v>
      </c>
      <c r="W19" t="s">
        <v>40</v>
      </c>
    </row>
    <row r="20" spans="1:23" x14ac:dyDescent="0.3">
      <c r="A20" t="s">
        <v>23</v>
      </c>
      <c r="B20" t="s">
        <v>196</v>
      </c>
      <c r="C20" t="s">
        <v>197</v>
      </c>
      <c r="D20" t="s">
        <v>198</v>
      </c>
      <c r="E20" t="s">
        <v>90</v>
      </c>
      <c r="F20" t="s">
        <v>91</v>
      </c>
      <c r="G20" t="s">
        <v>92</v>
      </c>
      <c r="H20" t="s">
        <v>199</v>
      </c>
      <c r="I20" t="s">
        <v>102</v>
      </c>
      <c r="J20" t="s">
        <v>32</v>
      </c>
      <c r="K20" t="s">
        <v>33</v>
      </c>
      <c r="L20" t="s">
        <v>200</v>
      </c>
      <c r="M20" t="s">
        <v>201</v>
      </c>
      <c r="N20" t="s">
        <v>202</v>
      </c>
      <c r="O20">
        <v>358.89154155582662</v>
      </c>
      <c r="P20">
        <v>333.76</v>
      </c>
      <c r="Q20">
        <v>333.0772</v>
      </c>
      <c r="R20" t="s">
        <v>67</v>
      </c>
      <c r="S20" t="s">
        <v>106</v>
      </c>
      <c r="T20" t="s">
        <v>106</v>
      </c>
      <c r="U20" t="s">
        <v>133</v>
      </c>
      <c r="V20" t="s">
        <v>108</v>
      </c>
      <c r="W20" t="s">
        <v>40</v>
      </c>
    </row>
    <row r="21" spans="1:23" x14ac:dyDescent="0.3">
      <c r="A21" t="s">
        <v>23</v>
      </c>
      <c r="B21" t="s">
        <v>203</v>
      </c>
      <c r="C21" t="s">
        <v>204</v>
      </c>
      <c r="D21" t="s">
        <v>205</v>
      </c>
      <c r="E21" t="s">
        <v>81</v>
      </c>
      <c r="F21" t="s">
        <v>59</v>
      </c>
      <c r="G21" t="s">
        <v>82</v>
      </c>
      <c r="H21" t="s">
        <v>206</v>
      </c>
      <c r="I21" t="s">
        <v>102</v>
      </c>
      <c r="J21" t="s">
        <v>32</v>
      </c>
      <c r="K21" t="s">
        <v>33</v>
      </c>
      <c r="L21" t="s">
        <v>207</v>
      </c>
      <c r="M21" t="s">
        <v>208</v>
      </c>
      <c r="N21" t="s">
        <v>209</v>
      </c>
      <c r="O21">
        <v>2555.2167164866628</v>
      </c>
      <c r="P21">
        <v>2520.5100000000002</v>
      </c>
      <c r="Q21">
        <v>2513.9632000000001</v>
      </c>
      <c r="R21" t="s">
        <v>37</v>
      </c>
      <c r="S21" t="s">
        <v>38</v>
      </c>
      <c r="T21" t="s">
        <v>38</v>
      </c>
      <c r="U21" t="s">
        <v>39</v>
      </c>
      <c r="W21" t="s">
        <v>40</v>
      </c>
    </row>
    <row r="22" spans="1:23" x14ac:dyDescent="0.3">
      <c r="A22" t="s">
        <v>23</v>
      </c>
      <c r="B22" t="s">
        <v>210</v>
      </c>
      <c r="C22" t="s">
        <v>211</v>
      </c>
      <c r="D22" t="s">
        <v>43</v>
      </c>
      <c r="E22" t="s">
        <v>44</v>
      </c>
      <c r="F22" t="s">
        <v>28</v>
      </c>
      <c r="G22" t="s">
        <v>137</v>
      </c>
      <c r="H22" t="s">
        <v>212</v>
      </c>
      <c r="I22" t="s">
        <v>47</v>
      </c>
      <c r="J22" t="s">
        <v>213</v>
      </c>
      <c r="K22" t="s">
        <v>33</v>
      </c>
      <c r="L22" t="s">
        <v>214</v>
      </c>
      <c r="M22" t="s">
        <v>215</v>
      </c>
      <c r="N22" t="s">
        <v>216</v>
      </c>
      <c r="O22">
        <v>12011.6812774313</v>
      </c>
      <c r="P22">
        <v>10749.17</v>
      </c>
      <c r="Q22">
        <v>10665.667600000001</v>
      </c>
      <c r="R22" t="s">
        <v>37</v>
      </c>
      <c r="S22" t="s">
        <v>38</v>
      </c>
      <c r="T22" t="s">
        <v>38</v>
      </c>
      <c r="U22" t="s">
        <v>39</v>
      </c>
      <c r="W22" t="s">
        <v>40</v>
      </c>
    </row>
    <row r="23" spans="1:23" x14ac:dyDescent="0.3">
      <c r="A23" t="s">
        <v>23</v>
      </c>
      <c r="B23" t="s">
        <v>217</v>
      </c>
      <c r="C23" t="s">
        <v>218</v>
      </c>
      <c r="D23" t="s">
        <v>219</v>
      </c>
      <c r="E23" t="s">
        <v>27</v>
      </c>
      <c r="F23" t="s">
        <v>28</v>
      </c>
      <c r="G23" t="s">
        <v>29</v>
      </c>
      <c r="H23" t="s">
        <v>220</v>
      </c>
      <c r="I23" t="s">
        <v>147</v>
      </c>
      <c r="J23" t="s">
        <v>32</v>
      </c>
      <c r="K23" t="s">
        <v>33</v>
      </c>
      <c r="L23" t="s">
        <v>221</v>
      </c>
      <c r="M23" t="s">
        <v>222</v>
      </c>
      <c r="N23" t="s">
        <v>223</v>
      </c>
      <c r="O23">
        <v>539.24406347416664</v>
      </c>
      <c r="P23">
        <v>283.32</v>
      </c>
      <c r="Q23">
        <v>281.48680000000002</v>
      </c>
      <c r="R23" t="s">
        <v>37</v>
      </c>
      <c r="S23" t="s">
        <v>51</v>
      </c>
      <c r="T23" t="s">
        <v>51</v>
      </c>
      <c r="U23" t="s">
        <v>143</v>
      </c>
      <c r="V23" t="s">
        <v>53</v>
      </c>
      <c r="W23" t="s">
        <v>40</v>
      </c>
    </row>
    <row r="24" spans="1:23" x14ac:dyDescent="0.3">
      <c r="A24" t="s">
        <v>23</v>
      </c>
      <c r="B24" t="s">
        <v>224</v>
      </c>
      <c r="C24" t="s">
        <v>225</v>
      </c>
      <c r="D24" t="s">
        <v>57</v>
      </c>
      <c r="E24" t="s">
        <v>58</v>
      </c>
      <c r="F24" t="s">
        <v>59</v>
      </c>
      <c r="G24" t="s">
        <v>60</v>
      </c>
      <c r="H24" t="s">
        <v>226</v>
      </c>
      <c r="I24" t="s">
        <v>62</v>
      </c>
      <c r="J24" t="s">
        <v>63</v>
      </c>
      <c r="K24" t="s">
        <v>33</v>
      </c>
      <c r="L24" t="s">
        <v>227</v>
      </c>
      <c r="M24" t="s">
        <v>228</v>
      </c>
      <c r="N24" t="s">
        <v>229</v>
      </c>
      <c r="O24">
        <v>160.0704547090846</v>
      </c>
      <c r="P24">
        <v>156.47999999999999</v>
      </c>
      <c r="Q24">
        <v>156.47839999999999</v>
      </c>
      <c r="R24" t="s">
        <v>67</v>
      </c>
      <c r="S24" t="s">
        <v>38</v>
      </c>
      <c r="T24" t="s">
        <v>38</v>
      </c>
      <c r="U24" t="s">
        <v>39</v>
      </c>
      <c r="W24" t="s">
        <v>40</v>
      </c>
    </row>
    <row r="25" spans="1:23" x14ac:dyDescent="0.3">
      <c r="A25" t="s">
        <v>23</v>
      </c>
      <c r="B25" t="s">
        <v>230</v>
      </c>
      <c r="C25" t="s">
        <v>231</v>
      </c>
      <c r="D25" t="s">
        <v>70</v>
      </c>
      <c r="E25" t="s">
        <v>44</v>
      </c>
      <c r="F25" t="s">
        <v>28</v>
      </c>
      <c r="G25" t="s">
        <v>45</v>
      </c>
      <c r="H25" t="s">
        <v>232</v>
      </c>
      <c r="I25" t="s">
        <v>147</v>
      </c>
      <c r="J25" t="s">
        <v>32</v>
      </c>
      <c r="K25" t="s">
        <v>33</v>
      </c>
      <c r="L25" t="s">
        <v>233</v>
      </c>
      <c r="M25" t="s">
        <v>234</v>
      </c>
      <c r="N25" t="s">
        <v>235</v>
      </c>
      <c r="O25">
        <v>1812.6038574623281</v>
      </c>
      <c r="P25">
        <v>257.39</v>
      </c>
      <c r="Q25">
        <v>250.32480000000001</v>
      </c>
      <c r="R25" t="s">
        <v>75</v>
      </c>
      <c r="S25" t="s">
        <v>51</v>
      </c>
      <c r="T25" t="s">
        <v>51</v>
      </c>
      <c r="U25" t="s">
        <v>143</v>
      </c>
      <c r="V25" t="s">
        <v>236</v>
      </c>
      <c r="W25" t="s">
        <v>40</v>
      </c>
    </row>
    <row r="26" spans="1:23" x14ac:dyDescent="0.3">
      <c r="A26" t="s">
        <v>23</v>
      </c>
      <c r="B26" t="s">
        <v>237</v>
      </c>
      <c r="C26" t="s">
        <v>238</v>
      </c>
      <c r="D26" t="s">
        <v>239</v>
      </c>
      <c r="E26" t="s">
        <v>27</v>
      </c>
      <c r="F26" t="s">
        <v>28</v>
      </c>
      <c r="G26" t="s">
        <v>29</v>
      </c>
      <c r="H26" t="s">
        <v>240</v>
      </c>
      <c r="I26" t="s">
        <v>241</v>
      </c>
      <c r="J26" t="s">
        <v>185</v>
      </c>
      <c r="K26" t="s">
        <v>33</v>
      </c>
      <c r="L26" t="s">
        <v>242</v>
      </c>
      <c r="M26" t="s">
        <v>243</v>
      </c>
      <c r="N26" t="s">
        <v>244</v>
      </c>
      <c r="O26">
        <v>1087.405504716018</v>
      </c>
      <c r="P26">
        <v>807.44</v>
      </c>
      <c r="Q26">
        <v>805.17759999999998</v>
      </c>
      <c r="R26" t="s">
        <v>67</v>
      </c>
      <c r="S26" t="s">
        <v>38</v>
      </c>
      <c r="T26" t="s">
        <v>38</v>
      </c>
      <c r="U26" t="s">
        <v>39</v>
      </c>
      <c r="W26" t="s">
        <v>40</v>
      </c>
    </row>
    <row r="27" spans="1:23" x14ac:dyDescent="0.3">
      <c r="A27" t="s">
        <v>23</v>
      </c>
      <c r="B27" t="s">
        <v>245</v>
      </c>
      <c r="C27" t="s">
        <v>246</v>
      </c>
      <c r="D27" t="s">
        <v>247</v>
      </c>
      <c r="E27" t="s">
        <v>44</v>
      </c>
      <c r="F27" t="s">
        <v>28</v>
      </c>
      <c r="G27" t="s">
        <v>137</v>
      </c>
      <c r="H27" t="s">
        <v>248</v>
      </c>
      <c r="I27" t="s">
        <v>249</v>
      </c>
      <c r="J27" t="s">
        <v>250</v>
      </c>
      <c r="K27" t="s">
        <v>33</v>
      </c>
      <c r="L27" t="s">
        <v>251</v>
      </c>
      <c r="M27" t="s">
        <v>252</v>
      </c>
      <c r="N27" t="s">
        <v>253</v>
      </c>
      <c r="O27">
        <v>181.9239093901181</v>
      </c>
      <c r="P27">
        <v>181.67</v>
      </c>
      <c r="Q27">
        <v>183.78360000000001</v>
      </c>
      <c r="R27" t="s">
        <v>67</v>
      </c>
      <c r="S27" t="s">
        <v>38</v>
      </c>
      <c r="T27" t="s">
        <v>38</v>
      </c>
      <c r="U27" t="s">
        <v>39</v>
      </c>
      <c r="W27" t="s">
        <v>40</v>
      </c>
    </row>
    <row r="28" spans="1:23" x14ac:dyDescent="0.3">
      <c r="A28" t="s">
        <v>23</v>
      </c>
      <c r="B28" t="s">
        <v>254</v>
      </c>
      <c r="C28" t="s">
        <v>255</v>
      </c>
      <c r="D28" t="s">
        <v>239</v>
      </c>
      <c r="E28" t="s">
        <v>27</v>
      </c>
      <c r="F28" t="s">
        <v>28</v>
      </c>
      <c r="G28" t="s">
        <v>29</v>
      </c>
      <c r="H28" t="s">
        <v>256</v>
      </c>
      <c r="I28" t="s">
        <v>257</v>
      </c>
      <c r="J28" t="s">
        <v>32</v>
      </c>
      <c r="K28" t="s">
        <v>33</v>
      </c>
      <c r="L28" t="s">
        <v>258</v>
      </c>
      <c r="M28" t="s">
        <v>259</v>
      </c>
      <c r="N28" t="s">
        <v>260</v>
      </c>
      <c r="O28">
        <v>10508.964779777951</v>
      </c>
      <c r="P28">
        <v>4432.2700000000004</v>
      </c>
      <c r="Q28">
        <v>4209.3108000000002</v>
      </c>
      <c r="R28" t="s">
        <v>37</v>
      </c>
      <c r="S28" t="s">
        <v>76</v>
      </c>
      <c r="T28" t="s">
        <v>76</v>
      </c>
      <c r="U28" t="s">
        <v>261</v>
      </c>
      <c r="V28" t="s">
        <v>262</v>
      </c>
      <c r="W28" t="s">
        <v>40</v>
      </c>
    </row>
    <row r="29" spans="1:23" x14ac:dyDescent="0.3">
      <c r="A29" t="s">
        <v>23</v>
      </c>
      <c r="B29" t="s">
        <v>263</v>
      </c>
      <c r="C29" t="s">
        <v>264</v>
      </c>
      <c r="D29" t="s">
        <v>265</v>
      </c>
      <c r="E29" t="s">
        <v>81</v>
      </c>
      <c r="F29" t="s">
        <v>59</v>
      </c>
      <c r="G29" t="s">
        <v>82</v>
      </c>
      <c r="H29" t="s">
        <v>266</v>
      </c>
      <c r="I29" t="s">
        <v>62</v>
      </c>
      <c r="J29" t="s">
        <v>32</v>
      </c>
      <c r="K29" t="s">
        <v>33</v>
      </c>
      <c r="L29" t="s">
        <v>267</v>
      </c>
      <c r="M29" t="s">
        <v>268</v>
      </c>
      <c r="N29" t="s">
        <v>269</v>
      </c>
      <c r="O29">
        <v>432.84715941743781</v>
      </c>
      <c r="P29">
        <v>432.51</v>
      </c>
      <c r="Q29">
        <v>432.35919999999999</v>
      </c>
      <c r="R29" t="s">
        <v>75</v>
      </c>
      <c r="S29" t="s">
        <v>38</v>
      </c>
      <c r="T29" t="s">
        <v>38</v>
      </c>
      <c r="U29" t="s">
        <v>39</v>
      </c>
      <c r="W29" t="s">
        <v>40</v>
      </c>
    </row>
    <row r="30" spans="1:23" x14ac:dyDescent="0.3">
      <c r="A30" t="s">
        <v>23</v>
      </c>
      <c r="B30" t="s">
        <v>270</v>
      </c>
      <c r="C30" t="s">
        <v>271</v>
      </c>
      <c r="D30" t="s">
        <v>26</v>
      </c>
      <c r="E30" t="s">
        <v>27</v>
      </c>
      <c r="F30" t="s">
        <v>28</v>
      </c>
      <c r="G30" t="s">
        <v>29</v>
      </c>
      <c r="H30" t="s">
        <v>272</v>
      </c>
      <c r="I30" t="s">
        <v>273</v>
      </c>
      <c r="J30" t="s">
        <v>32</v>
      </c>
      <c r="K30" t="s">
        <v>33</v>
      </c>
      <c r="L30" t="s">
        <v>274</v>
      </c>
      <c r="M30" t="s">
        <v>275</v>
      </c>
      <c r="N30" t="s">
        <v>276</v>
      </c>
      <c r="O30">
        <v>7162.5171160854961</v>
      </c>
      <c r="P30">
        <v>5694.28</v>
      </c>
      <c r="Q30">
        <v>5660.3984</v>
      </c>
      <c r="R30" t="s">
        <v>75</v>
      </c>
      <c r="S30" t="s">
        <v>38</v>
      </c>
      <c r="T30" t="s">
        <v>38</v>
      </c>
      <c r="U30" t="s">
        <v>39</v>
      </c>
      <c r="W30" t="s">
        <v>40</v>
      </c>
    </row>
    <row r="31" spans="1:23" x14ac:dyDescent="0.3">
      <c r="A31" t="s">
        <v>23</v>
      </c>
      <c r="B31" t="s">
        <v>277</v>
      </c>
      <c r="C31" t="s">
        <v>278</v>
      </c>
      <c r="D31" t="s">
        <v>279</v>
      </c>
      <c r="E31" t="s">
        <v>90</v>
      </c>
      <c r="F31" t="s">
        <v>91</v>
      </c>
      <c r="G31" t="s">
        <v>92</v>
      </c>
      <c r="H31" t="s">
        <v>280</v>
      </c>
      <c r="I31" t="s">
        <v>102</v>
      </c>
      <c r="J31" t="s">
        <v>32</v>
      </c>
      <c r="K31" t="s">
        <v>33</v>
      </c>
      <c r="L31" t="s">
        <v>281</v>
      </c>
      <c r="M31" t="s">
        <v>282</v>
      </c>
      <c r="N31" t="s">
        <v>283</v>
      </c>
      <c r="O31">
        <v>319.74617198427688</v>
      </c>
      <c r="P31">
        <v>316.04000000000002</v>
      </c>
      <c r="Q31">
        <v>315.6388</v>
      </c>
      <c r="R31" t="s">
        <v>67</v>
      </c>
      <c r="S31" t="s">
        <v>38</v>
      </c>
      <c r="T31" t="s">
        <v>38</v>
      </c>
      <c r="U31" t="s">
        <v>39</v>
      </c>
      <c r="W31" t="s">
        <v>40</v>
      </c>
    </row>
    <row r="32" spans="1:23" x14ac:dyDescent="0.3">
      <c r="A32" t="s">
        <v>23</v>
      </c>
      <c r="B32" t="s">
        <v>284</v>
      </c>
      <c r="C32" t="s">
        <v>285</v>
      </c>
      <c r="D32" t="s">
        <v>239</v>
      </c>
      <c r="E32" t="s">
        <v>27</v>
      </c>
      <c r="F32" t="s">
        <v>28</v>
      </c>
      <c r="G32" t="s">
        <v>29</v>
      </c>
      <c r="H32" t="s">
        <v>286</v>
      </c>
      <c r="I32" t="s">
        <v>249</v>
      </c>
      <c r="J32" t="s">
        <v>32</v>
      </c>
      <c r="K32" t="s">
        <v>33</v>
      </c>
      <c r="L32" t="s">
        <v>287</v>
      </c>
      <c r="M32" t="s">
        <v>288</v>
      </c>
      <c r="N32" t="s">
        <v>289</v>
      </c>
      <c r="O32">
        <v>10.003434092670981</v>
      </c>
      <c r="P32">
        <v>9.34</v>
      </c>
      <c r="Q32">
        <v>9.3420000000000005</v>
      </c>
      <c r="R32" t="s">
        <v>67</v>
      </c>
      <c r="S32" t="s">
        <v>38</v>
      </c>
      <c r="T32" t="s">
        <v>38</v>
      </c>
      <c r="U32" t="s">
        <v>39</v>
      </c>
      <c r="W32" t="s">
        <v>40</v>
      </c>
    </row>
    <row r="33" spans="1:23" x14ac:dyDescent="0.3">
      <c r="A33" t="s">
        <v>23</v>
      </c>
      <c r="B33" t="s">
        <v>290</v>
      </c>
      <c r="C33" t="s">
        <v>291</v>
      </c>
      <c r="D33" t="s">
        <v>205</v>
      </c>
      <c r="E33" t="s">
        <v>81</v>
      </c>
      <c r="F33" t="s">
        <v>59</v>
      </c>
      <c r="G33" t="s">
        <v>82</v>
      </c>
      <c r="H33" t="s">
        <v>292</v>
      </c>
      <c r="I33" t="s">
        <v>121</v>
      </c>
      <c r="J33" t="s">
        <v>32</v>
      </c>
      <c r="K33" t="s">
        <v>33</v>
      </c>
      <c r="L33" t="s">
        <v>293</v>
      </c>
      <c r="M33" t="s">
        <v>294</v>
      </c>
      <c r="N33" t="s">
        <v>295</v>
      </c>
      <c r="O33">
        <v>559.37102174395545</v>
      </c>
      <c r="P33">
        <v>557.26</v>
      </c>
      <c r="Q33">
        <v>557.15120000000002</v>
      </c>
      <c r="R33" t="s">
        <v>125</v>
      </c>
      <c r="S33" t="s">
        <v>38</v>
      </c>
      <c r="T33" t="s">
        <v>38</v>
      </c>
      <c r="U33" t="s">
        <v>39</v>
      </c>
      <c r="W33" t="s">
        <v>40</v>
      </c>
    </row>
    <row r="34" spans="1:23" x14ac:dyDescent="0.3">
      <c r="A34" t="s">
        <v>23</v>
      </c>
      <c r="B34" t="s">
        <v>296</v>
      </c>
      <c r="C34" t="s">
        <v>297</v>
      </c>
      <c r="D34" t="s">
        <v>175</v>
      </c>
      <c r="E34" t="s">
        <v>90</v>
      </c>
      <c r="F34" t="s">
        <v>91</v>
      </c>
      <c r="G34" t="s">
        <v>92</v>
      </c>
      <c r="H34" t="s">
        <v>298</v>
      </c>
      <c r="I34" t="s">
        <v>102</v>
      </c>
      <c r="J34" t="s">
        <v>32</v>
      </c>
      <c r="K34" t="s">
        <v>33</v>
      </c>
      <c r="L34" t="s">
        <v>299</v>
      </c>
      <c r="M34" t="s">
        <v>300</v>
      </c>
      <c r="N34" t="s">
        <v>301</v>
      </c>
      <c r="O34">
        <v>1607.9007019659671</v>
      </c>
      <c r="P34">
        <v>1299.19</v>
      </c>
      <c r="Q34">
        <v>1293.3652</v>
      </c>
      <c r="R34" t="s">
        <v>37</v>
      </c>
      <c r="S34" t="s">
        <v>38</v>
      </c>
      <c r="T34" t="s">
        <v>38</v>
      </c>
      <c r="U34" t="s">
        <v>39</v>
      </c>
      <c r="W34" t="s">
        <v>40</v>
      </c>
    </row>
    <row r="35" spans="1:23" x14ac:dyDescent="0.3">
      <c r="A35" t="s">
        <v>23</v>
      </c>
      <c r="B35" t="s">
        <v>302</v>
      </c>
      <c r="C35" t="s">
        <v>303</v>
      </c>
      <c r="D35" t="s">
        <v>168</v>
      </c>
      <c r="E35" t="s">
        <v>154</v>
      </c>
      <c r="F35" t="s">
        <v>59</v>
      </c>
      <c r="G35" t="s">
        <v>113</v>
      </c>
      <c r="H35" t="s">
        <v>304</v>
      </c>
      <c r="I35" t="s">
        <v>62</v>
      </c>
      <c r="J35" t="s">
        <v>63</v>
      </c>
      <c r="K35" t="s">
        <v>33</v>
      </c>
      <c r="L35" t="s">
        <v>305</v>
      </c>
      <c r="M35" t="s">
        <v>306</v>
      </c>
      <c r="N35" t="s">
        <v>307</v>
      </c>
      <c r="O35">
        <v>607.46130409965122</v>
      </c>
      <c r="P35">
        <v>601.91999999999996</v>
      </c>
      <c r="Q35">
        <v>601.41359999999997</v>
      </c>
      <c r="R35" t="s">
        <v>67</v>
      </c>
      <c r="S35" t="s">
        <v>38</v>
      </c>
      <c r="T35" t="s">
        <v>38</v>
      </c>
      <c r="U35" t="s">
        <v>39</v>
      </c>
      <c r="W35" t="s">
        <v>40</v>
      </c>
    </row>
    <row r="36" spans="1:23" x14ac:dyDescent="0.3">
      <c r="A36" t="s">
        <v>23</v>
      </c>
      <c r="B36" t="s">
        <v>308</v>
      </c>
      <c r="C36" t="s">
        <v>309</v>
      </c>
      <c r="D36" t="s">
        <v>310</v>
      </c>
      <c r="E36" t="s">
        <v>154</v>
      </c>
      <c r="F36" t="s">
        <v>59</v>
      </c>
      <c r="G36" t="s">
        <v>113</v>
      </c>
      <c r="H36" t="s">
        <v>311</v>
      </c>
      <c r="I36" t="s">
        <v>312</v>
      </c>
      <c r="J36" t="s">
        <v>32</v>
      </c>
      <c r="K36" t="s">
        <v>33</v>
      </c>
      <c r="L36" t="s">
        <v>313</v>
      </c>
      <c r="M36" t="s">
        <v>314</v>
      </c>
      <c r="N36" t="s">
        <v>315</v>
      </c>
      <c r="O36">
        <v>49834.308656242167</v>
      </c>
      <c r="P36">
        <v>48098.39</v>
      </c>
      <c r="Q36">
        <v>48084.332799999996</v>
      </c>
      <c r="R36" t="s">
        <v>37</v>
      </c>
      <c r="S36" t="s">
        <v>38</v>
      </c>
      <c r="T36" t="s">
        <v>38</v>
      </c>
      <c r="U36" t="s">
        <v>39</v>
      </c>
      <c r="W36" t="s">
        <v>40</v>
      </c>
    </row>
    <row r="37" spans="1:23" x14ac:dyDescent="0.3">
      <c r="A37" t="s">
        <v>23</v>
      </c>
      <c r="B37" t="s">
        <v>316</v>
      </c>
      <c r="C37" t="s">
        <v>317</v>
      </c>
      <c r="D37" t="s">
        <v>153</v>
      </c>
      <c r="E37" t="s">
        <v>154</v>
      </c>
      <c r="F37" t="s">
        <v>59</v>
      </c>
      <c r="G37" t="s">
        <v>113</v>
      </c>
      <c r="H37" t="s">
        <v>318</v>
      </c>
      <c r="I37" t="s">
        <v>139</v>
      </c>
      <c r="J37" t="s">
        <v>32</v>
      </c>
      <c r="K37" t="s">
        <v>33</v>
      </c>
      <c r="L37" t="s">
        <v>319</v>
      </c>
      <c r="M37" t="s">
        <v>320</v>
      </c>
      <c r="N37" t="s">
        <v>321</v>
      </c>
      <c r="O37">
        <v>742.71150016877868</v>
      </c>
      <c r="P37">
        <v>685.79</v>
      </c>
      <c r="Q37">
        <v>683.1472</v>
      </c>
      <c r="R37" t="s">
        <v>125</v>
      </c>
      <c r="S37" t="s">
        <v>38</v>
      </c>
      <c r="T37" t="s">
        <v>38</v>
      </c>
      <c r="U37" t="s">
        <v>39</v>
      </c>
      <c r="W37" t="s">
        <v>40</v>
      </c>
    </row>
    <row r="38" spans="1:23" x14ac:dyDescent="0.3">
      <c r="A38" t="s">
        <v>23</v>
      </c>
      <c r="B38" t="s">
        <v>322</v>
      </c>
      <c r="C38" t="s">
        <v>323</v>
      </c>
      <c r="D38" t="s">
        <v>239</v>
      </c>
      <c r="E38" t="s">
        <v>27</v>
      </c>
      <c r="F38" t="s">
        <v>28</v>
      </c>
      <c r="G38" t="s">
        <v>29</v>
      </c>
      <c r="H38" t="s">
        <v>324</v>
      </c>
      <c r="I38" t="s">
        <v>249</v>
      </c>
      <c r="J38" t="s">
        <v>32</v>
      </c>
      <c r="K38" t="s">
        <v>33</v>
      </c>
      <c r="L38" t="s">
        <v>325</v>
      </c>
      <c r="M38" t="s">
        <v>326</v>
      </c>
      <c r="N38" t="s">
        <v>327</v>
      </c>
      <c r="O38">
        <v>1373.914028813457</v>
      </c>
      <c r="P38">
        <v>763.06</v>
      </c>
      <c r="Q38">
        <v>759.84799999999996</v>
      </c>
      <c r="R38" t="s">
        <v>125</v>
      </c>
      <c r="S38" t="s">
        <v>38</v>
      </c>
      <c r="T38" t="s">
        <v>38</v>
      </c>
      <c r="U38" t="s">
        <v>39</v>
      </c>
      <c r="W38" t="s">
        <v>40</v>
      </c>
    </row>
    <row r="39" spans="1:23" x14ac:dyDescent="0.3">
      <c r="A39" t="s">
        <v>23</v>
      </c>
      <c r="B39" t="s">
        <v>328</v>
      </c>
      <c r="C39" t="s">
        <v>329</v>
      </c>
      <c r="D39" t="s">
        <v>247</v>
      </c>
      <c r="E39" t="s">
        <v>44</v>
      </c>
      <c r="F39" t="s">
        <v>28</v>
      </c>
      <c r="G39" t="s">
        <v>45</v>
      </c>
      <c r="H39" t="s">
        <v>330</v>
      </c>
      <c r="I39" t="s">
        <v>241</v>
      </c>
      <c r="J39" t="s">
        <v>32</v>
      </c>
      <c r="K39" t="s">
        <v>33</v>
      </c>
      <c r="L39" t="s">
        <v>331</v>
      </c>
      <c r="M39" t="s">
        <v>332</v>
      </c>
      <c r="N39" t="s">
        <v>333</v>
      </c>
      <c r="O39">
        <v>942.79459744956819</v>
      </c>
      <c r="P39">
        <v>624.88</v>
      </c>
      <c r="Q39">
        <v>615.28920000000005</v>
      </c>
      <c r="R39" t="s">
        <v>67</v>
      </c>
      <c r="S39" t="s">
        <v>38</v>
      </c>
      <c r="T39" t="s">
        <v>38</v>
      </c>
      <c r="U39" t="s">
        <v>39</v>
      </c>
      <c r="W39" t="s">
        <v>40</v>
      </c>
    </row>
    <row r="40" spans="1:23" x14ac:dyDescent="0.3">
      <c r="A40" t="s">
        <v>23</v>
      </c>
      <c r="B40" t="s">
        <v>334</v>
      </c>
      <c r="C40" t="s">
        <v>335</v>
      </c>
      <c r="D40" t="s">
        <v>43</v>
      </c>
      <c r="E40" t="s">
        <v>44</v>
      </c>
      <c r="F40" t="s">
        <v>28</v>
      </c>
      <c r="G40" t="s">
        <v>45</v>
      </c>
      <c r="H40" t="s">
        <v>336</v>
      </c>
      <c r="I40" t="s">
        <v>337</v>
      </c>
      <c r="J40" t="s">
        <v>213</v>
      </c>
      <c r="K40" t="s">
        <v>33</v>
      </c>
      <c r="L40" t="s">
        <v>338</v>
      </c>
      <c r="M40" t="s">
        <v>339</v>
      </c>
      <c r="N40" t="s">
        <v>340</v>
      </c>
      <c r="O40">
        <v>4119.492925669706</v>
      </c>
      <c r="P40">
        <v>2329.17</v>
      </c>
      <c r="Q40">
        <v>3661.7435999999998</v>
      </c>
      <c r="R40" t="s">
        <v>37</v>
      </c>
      <c r="S40" t="s">
        <v>38</v>
      </c>
      <c r="T40" t="s">
        <v>38</v>
      </c>
      <c r="U40" t="s">
        <v>39</v>
      </c>
      <c r="W40" t="s">
        <v>40</v>
      </c>
    </row>
    <row r="41" spans="1:23" x14ac:dyDescent="0.3">
      <c r="A41" t="s">
        <v>23</v>
      </c>
      <c r="B41" t="s">
        <v>341</v>
      </c>
      <c r="C41" t="s">
        <v>342</v>
      </c>
      <c r="D41" t="s">
        <v>239</v>
      </c>
      <c r="E41" t="s">
        <v>27</v>
      </c>
      <c r="F41" t="s">
        <v>28</v>
      </c>
      <c r="G41" t="s">
        <v>29</v>
      </c>
      <c r="H41" t="s">
        <v>343</v>
      </c>
      <c r="I41" t="s">
        <v>241</v>
      </c>
      <c r="J41" t="s">
        <v>32</v>
      </c>
      <c r="K41" t="s">
        <v>33</v>
      </c>
      <c r="L41" t="s">
        <v>344</v>
      </c>
      <c r="M41" t="s">
        <v>345</v>
      </c>
      <c r="N41" t="s">
        <v>346</v>
      </c>
      <c r="O41">
        <v>1380.8778192068371</v>
      </c>
      <c r="P41">
        <v>858.1</v>
      </c>
      <c r="Q41">
        <v>847.08320000000003</v>
      </c>
      <c r="R41" t="s">
        <v>75</v>
      </c>
      <c r="S41" t="s">
        <v>38</v>
      </c>
      <c r="T41" t="s">
        <v>38</v>
      </c>
      <c r="U41" t="s">
        <v>39</v>
      </c>
      <c r="W41" t="s">
        <v>40</v>
      </c>
    </row>
    <row r="42" spans="1:23" x14ac:dyDescent="0.3">
      <c r="A42" t="s">
        <v>23</v>
      </c>
      <c r="B42" t="s">
        <v>347</v>
      </c>
      <c r="C42" t="s">
        <v>348</v>
      </c>
      <c r="D42" t="s">
        <v>239</v>
      </c>
      <c r="E42" t="s">
        <v>27</v>
      </c>
      <c r="F42" t="s">
        <v>28</v>
      </c>
      <c r="G42" t="s">
        <v>29</v>
      </c>
      <c r="H42" t="s">
        <v>349</v>
      </c>
      <c r="I42" t="s">
        <v>47</v>
      </c>
      <c r="J42" t="s">
        <v>32</v>
      </c>
      <c r="K42" t="s">
        <v>33</v>
      </c>
      <c r="L42" t="s">
        <v>350</v>
      </c>
      <c r="M42" t="s">
        <v>351</v>
      </c>
      <c r="N42" t="s">
        <v>352</v>
      </c>
      <c r="O42">
        <v>20.344407559302699</v>
      </c>
      <c r="P42">
        <v>19.010000000000002</v>
      </c>
      <c r="Q42">
        <v>18.3932</v>
      </c>
      <c r="R42" t="s">
        <v>75</v>
      </c>
      <c r="S42" t="s">
        <v>38</v>
      </c>
      <c r="T42" t="s">
        <v>38</v>
      </c>
      <c r="U42" t="s">
        <v>39</v>
      </c>
      <c r="W42" t="s">
        <v>40</v>
      </c>
    </row>
    <row r="43" spans="1:23" x14ac:dyDescent="0.3">
      <c r="A43" t="s">
        <v>23</v>
      </c>
      <c r="B43" t="s">
        <v>353</v>
      </c>
      <c r="C43" t="s">
        <v>354</v>
      </c>
      <c r="D43" t="s">
        <v>100</v>
      </c>
      <c r="E43" t="s">
        <v>90</v>
      </c>
      <c r="F43" t="s">
        <v>91</v>
      </c>
      <c r="G43" t="s">
        <v>92</v>
      </c>
      <c r="H43" t="s">
        <v>355</v>
      </c>
      <c r="I43" t="s">
        <v>102</v>
      </c>
      <c r="J43" t="s">
        <v>32</v>
      </c>
      <c r="K43" t="s">
        <v>33</v>
      </c>
      <c r="L43" t="s">
        <v>356</v>
      </c>
      <c r="M43" t="s">
        <v>357</v>
      </c>
      <c r="N43" t="s">
        <v>358</v>
      </c>
      <c r="O43">
        <v>25.24775328338923</v>
      </c>
      <c r="P43">
        <v>3.02</v>
      </c>
      <c r="Q43">
        <v>2.5072000000000001</v>
      </c>
      <c r="R43" t="s">
        <v>37</v>
      </c>
      <c r="S43" t="s">
        <v>106</v>
      </c>
      <c r="T43" t="s">
        <v>106</v>
      </c>
      <c r="U43" t="s">
        <v>133</v>
      </c>
      <c r="V43" t="s">
        <v>359</v>
      </c>
      <c r="W43" t="s">
        <v>40</v>
      </c>
    </row>
    <row r="44" spans="1:23" x14ac:dyDescent="0.3">
      <c r="A44" t="s">
        <v>23</v>
      </c>
      <c r="B44" t="s">
        <v>360</v>
      </c>
      <c r="C44" t="s">
        <v>361</v>
      </c>
      <c r="D44" t="s">
        <v>279</v>
      </c>
      <c r="E44" t="s">
        <v>90</v>
      </c>
      <c r="F44" t="s">
        <v>91</v>
      </c>
      <c r="G44" t="s">
        <v>92</v>
      </c>
      <c r="H44" t="s">
        <v>362</v>
      </c>
      <c r="I44" t="s">
        <v>102</v>
      </c>
      <c r="J44" t="s">
        <v>32</v>
      </c>
      <c r="K44" t="s">
        <v>33</v>
      </c>
      <c r="L44" t="s">
        <v>363</v>
      </c>
      <c r="M44" t="s">
        <v>364</v>
      </c>
      <c r="N44" t="s">
        <v>365</v>
      </c>
      <c r="O44">
        <v>498.25648541629522</v>
      </c>
      <c r="P44">
        <v>470.59</v>
      </c>
      <c r="Q44">
        <v>469.40320000000003</v>
      </c>
      <c r="R44" t="s">
        <v>67</v>
      </c>
      <c r="S44" t="s">
        <v>38</v>
      </c>
      <c r="T44" t="s">
        <v>38</v>
      </c>
      <c r="U44" t="s">
        <v>39</v>
      </c>
      <c r="W44" t="s">
        <v>40</v>
      </c>
    </row>
    <row r="45" spans="1:23" x14ac:dyDescent="0.3">
      <c r="A45" t="s">
        <v>23</v>
      </c>
      <c r="B45" t="s">
        <v>366</v>
      </c>
      <c r="C45" t="s">
        <v>367</v>
      </c>
      <c r="D45" t="s">
        <v>368</v>
      </c>
      <c r="E45" t="s">
        <v>81</v>
      </c>
      <c r="F45" t="s">
        <v>59</v>
      </c>
      <c r="G45" t="s">
        <v>82</v>
      </c>
      <c r="H45" t="s">
        <v>369</v>
      </c>
      <c r="I45" t="s">
        <v>62</v>
      </c>
      <c r="J45" t="s">
        <v>32</v>
      </c>
      <c r="K45" t="s">
        <v>33</v>
      </c>
      <c r="L45" t="s">
        <v>370</v>
      </c>
      <c r="M45" t="s">
        <v>371</v>
      </c>
      <c r="N45" t="s">
        <v>372</v>
      </c>
      <c r="O45">
        <v>101.77278655688031</v>
      </c>
      <c r="P45">
        <v>101.71</v>
      </c>
      <c r="Q45">
        <v>101.3308</v>
      </c>
      <c r="R45" t="s">
        <v>75</v>
      </c>
      <c r="S45" t="s">
        <v>38</v>
      </c>
      <c r="T45" t="s">
        <v>38</v>
      </c>
      <c r="U45" t="s">
        <v>39</v>
      </c>
      <c r="W45" t="s">
        <v>40</v>
      </c>
    </row>
    <row r="46" spans="1:23" x14ac:dyDescent="0.3">
      <c r="A46" t="s">
        <v>23</v>
      </c>
      <c r="B46" t="s">
        <v>373</v>
      </c>
      <c r="C46" t="s">
        <v>374</v>
      </c>
      <c r="D46" t="s">
        <v>239</v>
      </c>
      <c r="E46" t="s">
        <v>27</v>
      </c>
      <c r="F46" t="s">
        <v>28</v>
      </c>
      <c r="G46" t="s">
        <v>29</v>
      </c>
      <c r="H46" t="s">
        <v>375</v>
      </c>
      <c r="I46" t="s">
        <v>47</v>
      </c>
      <c r="J46" t="s">
        <v>32</v>
      </c>
      <c r="K46" t="s">
        <v>33</v>
      </c>
      <c r="L46" t="s">
        <v>376</v>
      </c>
      <c r="M46" t="s">
        <v>377</v>
      </c>
      <c r="N46" t="s">
        <v>378</v>
      </c>
      <c r="O46">
        <v>93.885647007039864</v>
      </c>
      <c r="P46">
        <v>91.64</v>
      </c>
      <c r="Q46">
        <v>91.573599999999999</v>
      </c>
      <c r="R46" t="s">
        <v>67</v>
      </c>
      <c r="S46" t="s">
        <v>38</v>
      </c>
      <c r="T46" t="s">
        <v>38</v>
      </c>
      <c r="U46" t="s">
        <v>39</v>
      </c>
      <c r="W46" t="s">
        <v>40</v>
      </c>
    </row>
    <row r="47" spans="1:23" x14ac:dyDescent="0.3">
      <c r="A47" t="s">
        <v>23</v>
      </c>
      <c r="B47" t="s">
        <v>379</v>
      </c>
      <c r="C47" t="s">
        <v>380</v>
      </c>
      <c r="D47" t="s">
        <v>57</v>
      </c>
      <c r="E47" t="s">
        <v>58</v>
      </c>
      <c r="F47" t="s">
        <v>59</v>
      </c>
      <c r="G47" t="s">
        <v>60</v>
      </c>
      <c r="H47" t="s">
        <v>381</v>
      </c>
      <c r="I47" t="s">
        <v>62</v>
      </c>
      <c r="J47" t="s">
        <v>63</v>
      </c>
      <c r="K47" t="s">
        <v>33</v>
      </c>
      <c r="L47" t="s">
        <v>382</v>
      </c>
      <c r="M47" t="s">
        <v>383</v>
      </c>
      <c r="N47" t="s">
        <v>384</v>
      </c>
      <c r="O47">
        <v>343.19926123943708</v>
      </c>
      <c r="P47">
        <v>343.14</v>
      </c>
      <c r="Q47">
        <v>342.89879999999999</v>
      </c>
      <c r="R47" t="s">
        <v>75</v>
      </c>
      <c r="S47" t="s">
        <v>38</v>
      </c>
      <c r="T47" t="s">
        <v>38</v>
      </c>
      <c r="U47" t="s">
        <v>39</v>
      </c>
      <c r="W47" t="s">
        <v>40</v>
      </c>
    </row>
    <row r="48" spans="1:23" x14ac:dyDescent="0.3">
      <c r="A48" t="s">
        <v>23</v>
      </c>
      <c r="B48" t="s">
        <v>385</v>
      </c>
      <c r="C48" t="s">
        <v>386</v>
      </c>
      <c r="D48" t="s">
        <v>198</v>
      </c>
      <c r="E48" t="s">
        <v>90</v>
      </c>
      <c r="F48" t="s">
        <v>91</v>
      </c>
      <c r="G48" t="s">
        <v>92</v>
      </c>
      <c r="H48" t="s">
        <v>387</v>
      </c>
      <c r="I48" t="s">
        <v>102</v>
      </c>
      <c r="J48" t="s">
        <v>32</v>
      </c>
      <c r="K48" t="s">
        <v>33</v>
      </c>
      <c r="L48" t="s">
        <v>388</v>
      </c>
      <c r="M48" t="s">
        <v>389</v>
      </c>
      <c r="N48" t="s">
        <v>390</v>
      </c>
      <c r="O48">
        <v>501.65478556560822</v>
      </c>
      <c r="P48">
        <v>173.83</v>
      </c>
      <c r="Q48">
        <v>168.95760000000001</v>
      </c>
      <c r="R48" t="s">
        <v>37</v>
      </c>
      <c r="S48" t="s">
        <v>51</v>
      </c>
      <c r="T48" t="s">
        <v>51</v>
      </c>
      <c r="U48" t="s">
        <v>143</v>
      </c>
      <c r="V48" t="s">
        <v>391</v>
      </c>
      <c r="W48" t="s">
        <v>40</v>
      </c>
    </row>
    <row r="49" spans="1:23" x14ac:dyDescent="0.3">
      <c r="A49" t="s">
        <v>23</v>
      </c>
      <c r="B49" t="s">
        <v>392</v>
      </c>
      <c r="C49" t="s">
        <v>393</v>
      </c>
      <c r="D49" t="s">
        <v>239</v>
      </c>
      <c r="E49" t="s">
        <v>27</v>
      </c>
      <c r="F49" t="s">
        <v>28</v>
      </c>
      <c r="G49" t="s">
        <v>29</v>
      </c>
      <c r="H49" t="s">
        <v>394</v>
      </c>
      <c r="I49" t="s">
        <v>395</v>
      </c>
      <c r="J49" t="s">
        <v>32</v>
      </c>
      <c r="K49" t="s">
        <v>33</v>
      </c>
      <c r="L49" t="s">
        <v>396</v>
      </c>
      <c r="M49" t="s">
        <v>397</v>
      </c>
      <c r="N49" t="s">
        <v>398</v>
      </c>
      <c r="O49">
        <v>3750.414909285003</v>
      </c>
      <c r="P49">
        <v>2989.78</v>
      </c>
      <c r="Q49">
        <v>2950.1035999999999</v>
      </c>
      <c r="R49" t="s">
        <v>37</v>
      </c>
      <c r="S49" t="s">
        <v>38</v>
      </c>
      <c r="T49" t="s">
        <v>38</v>
      </c>
      <c r="U49" t="s">
        <v>39</v>
      </c>
      <c r="W49" t="s">
        <v>40</v>
      </c>
    </row>
    <row r="50" spans="1:23" x14ac:dyDescent="0.3">
      <c r="A50" t="s">
        <v>23</v>
      </c>
      <c r="B50" t="s">
        <v>399</v>
      </c>
      <c r="C50" t="s">
        <v>400</v>
      </c>
      <c r="D50" t="s">
        <v>43</v>
      </c>
      <c r="E50" t="s">
        <v>44</v>
      </c>
      <c r="F50" t="s">
        <v>28</v>
      </c>
      <c r="G50" t="s">
        <v>45</v>
      </c>
      <c r="H50" t="s">
        <v>401</v>
      </c>
      <c r="I50" t="s">
        <v>162</v>
      </c>
      <c r="J50" t="s">
        <v>32</v>
      </c>
      <c r="K50" t="s">
        <v>33</v>
      </c>
      <c r="L50" t="s">
        <v>402</v>
      </c>
      <c r="M50" t="s">
        <v>403</v>
      </c>
      <c r="N50" t="s">
        <v>404</v>
      </c>
      <c r="O50">
        <v>1442.141802920921</v>
      </c>
      <c r="P50">
        <v>702.59</v>
      </c>
      <c r="Q50">
        <v>919.64440000000002</v>
      </c>
      <c r="R50" t="s">
        <v>37</v>
      </c>
      <c r="S50" t="s">
        <v>38</v>
      </c>
      <c r="T50" t="s">
        <v>51</v>
      </c>
      <c r="U50" t="s">
        <v>52</v>
      </c>
      <c r="V50" t="s">
        <v>53</v>
      </c>
      <c r="W50" t="s">
        <v>54</v>
      </c>
    </row>
    <row r="51" spans="1:23" x14ac:dyDescent="0.3">
      <c r="A51" t="s">
        <v>23</v>
      </c>
      <c r="B51" t="s">
        <v>405</v>
      </c>
      <c r="C51" t="s">
        <v>406</v>
      </c>
      <c r="D51" t="s">
        <v>175</v>
      </c>
      <c r="E51" t="s">
        <v>90</v>
      </c>
      <c r="F51" t="s">
        <v>91</v>
      </c>
      <c r="G51" t="s">
        <v>92</v>
      </c>
      <c r="H51" t="s">
        <v>407</v>
      </c>
      <c r="I51" t="s">
        <v>102</v>
      </c>
      <c r="J51" t="s">
        <v>32</v>
      </c>
      <c r="K51" t="s">
        <v>33</v>
      </c>
      <c r="L51" t="s">
        <v>408</v>
      </c>
      <c r="M51" t="s">
        <v>409</v>
      </c>
      <c r="N51" t="s">
        <v>410</v>
      </c>
      <c r="O51">
        <v>491.75922734698128</v>
      </c>
      <c r="P51">
        <v>215.32</v>
      </c>
      <c r="Q51">
        <v>211.45840000000001</v>
      </c>
      <c r="R51" t="s">
        <v>37</v>
      </c>
      <c r="S51" t="s">
        <v>106</v>
      </c>
      <c r="T51" t="s">
        <v>106</v>
      </c>
      <c r="U51" t="s">
        <v>133</v>
      </c>
      <c r="V51" t="s">
        <v>53</v>
      </c>
      <c r="W51" t="s">
        <v>40</v>
      </c>
    </row>
    <row r="52" spans="1:23" x14ac:dyDescent="0.3">
      <c r="A52" t="s">
        <v>23</v>
      </c>
      <c r="B52" t="s">
        <v>411</v>
      </c>
      <c r="C52" t="s">
        <v>412</v>
      </c>
      <c r="D52" t="s">
        <v>26</v>
      </c>
      <c r="E52" t="s">
        <v>27</v>
      </c>
      <c r="F52" t="s">
        <v>28</v>
      </c>
      <c r="G52" t="s">
        <v>29</v>
      </c>
      <c r="H52" t="s">
        <v>413</v>
      </c>
      <c r="I52" t="s">
        <v>94</v>
      </c>
      <c r="J52" t="s">
        <v>32</v>
      </c>
      <c r="K52" t="s">
        <v>33</v>
      </c>
      <c r="L52" t="s">
        <v>414</v>
      </c>
      <c r="M52" t="s">
        <v>415</v>
      </c>
      <c r="N52" t="s">
        <v>416</v>
      </c>
      <c r="O52">
        <v>8370.6292519208018</v>
      </c>
      <c r="P52">
        <v>8151.04</v>
      </c>
      <c r="Q52">
        <v>8138.6859999999997</v>
      </c>
      <c r="R52" t="s">
        <v>67</v>
      </c>
      <c r="S52" t="s">
        <v>38</v>
      </c>
      <c r="T52" t="s">
        <v>38</v>
      </c>
      <c r="U52" t="s">
        <v>39</v>
      </c>
      <c r="W52" t="s">
        <v>40</v>
      </c>
    </row>
    <row r="53" spans="1:23" x14ac:dyDescent="0.3">
      <c r="A53" t="s">
        <v>23</v>
      </c>
      <c r="B53" t="s">
        <v>417</v>
      </c>
      <c r="C53" t="s">
        <v>418</v>
      </c>
      <c r="D53" t="s">
        <v>198</v>
      </c>
      <c r="E53" t="s">
        <v>90</v>
      </c>
      <c r="F53" t="s">
        <v>91</v>
      </c>
      <c r="G53" t="s">
        <v>92</v>
      </c>
      <c r="H53" t="s">
        <v>419</v>
      </c>
      <c r="I53" t="s">
        <v>102</v>
      </c>
      <c r="J53" t="s">
        <v>32</v>
      </c>
      <c r="K53" t="s">
        <v>33</v>
      </c>
      <c r="L53" t="s">
        <v>420</v>
      </c>
      <c r="M53" t="s">
        <v>421</v>
      </c>
      <c r="N53" t="s">
        <v>422</v>
      </c>
      <c r="O53">
        <v>219.4507434446258</v>
      </c>
      <c r="P53">
        <v>203.98</v>
      </c>
      <c r="Q53">
        <v>203.21080000000001</v>
      </c>
      <c r="R53" t="s">
        <v>67</v>
      </c>
      <c r="S53" t="s">
        <v>106</v>
      </c>
      <c r="T53" t="s">
        <v>106</v>
      </c>
      <c r="U53" t="s">
        <v>133</v>
      </c>
      <c r="V53" t="s">
        <v>108</v>
      </c>
      <c r="W53" t="s">
        <v>40</v>
      </c>
    </row>
    <row r="54" spans="1:23" x14ac:dyDescent="0.3">
      <c r="A54" t="s">
        <v>23</v>
      </c>
      <c r="B54" t="s">
        <v>423</v>
      </c>
      <c r="C54" t="s">
        <v>424</v>
      </c>
      <c r="D54" t="s">
        <v>43</v>
      </c>
      <c r="E54" t="s">
        <v>44</v>
      </c>
      <c r="F54" t="s">
        <v>28</v>
      </c>
      <c r="G54" t="s">
        <v>137</v>
      </c>
      <c r="H54" t="s">
        <v>425</v>
      </c>
      <c r="I54" t="s">
        <v>337</v>
      </c>
      <c r="J54" t="s">
        <v>213</v>
      </c>
      <c r="K54" t="s">
        <v>33</v>
      </c>
      <c r="L54" t="s">
        <v>426</v>
      </c>
      <c r="M54" t="s">
        <v>427</v>
      </c>
      <c r="N54" t="s">
        <v>428</v>
      </c>
      <c r="O54">
        <v>1331.257525472274</v>
      </c>
      <c r="P54">
        <v>2852.04</v>
      </c>
      <c r="Q54">
        <v>889.70360000000005</v>
      </c>
      <c r="R54" t="s">
        <v>37</v>
      </c>
      <c r="S54" t="s">
        <v>38</v>
      </c>
      <c r="T54" t="s">
        <v>38</v>
      </c>
      <c r="U54" t="s">
        <v>39</v>
      </c>
      <c r="W54" t="s">
        <v>40</v>
      </c>
    </row>
    <row r="55" spans="1:23" x14ac:dyDescent="0.3">
      <c r="A55" t="s">
        <v>23</v>
      </c>
      <c r="B55" t="s">
        <v>429</v>
      </c>
      <c r="C55" t="s">
        <v>430</v>
      </c>
      <c r="D55" t="s">
        <v>239</v>
      </c>
      <c r="E55" t="s">
        <v>27</v>
      </c>
      <c r="F55" t="s">
        <v>28</v>
      </c>
      <c r="G55" t="s">
        <v>29</v>
      </c>
      <c r="H55" t="s">
        <v>431</v>
      </c>
      <c r="I55" t="s">
        <v>273</v>
      </c>
      <c r="J55" t="s">
        <v>185</v>
      </c>
      <c r="K55" t="s">
        <v>33</v>
      </c>
      <c r="L55" t="s">
        <v>432</v>
      </c>
      <c r="M55" t="s">
        <v>433</v>
      </c>
      <c r="N55" t="s">
        <v>434</v>
      </c>
      <c r="O55">
        <v>720.67173999937279</v>
      </c>
      <c r="P55">
        <v>2797.85</v>
      </c>
      <c r="Q55">
        <v>2818.7503999999999</v>
      </c>
      <c r="R55" t="s">
        <v>75</v>
      </c>
      <c r="S55" t="s">
        <v>38</v>
      </c>
      <c r="T55" t="s">
        <v>38</v>
      </c>
      <c r="U55" t="s">
        <v>39</v>
      </c>
      <c r="W55" t="s">
        <v>40</v>
      </c>
    </row>
    <row r="56" spans="1:23" x14ac:dyDescent="0.3">
      <c r="A56" t="s">
        <v>23</v>
      </c>
      <c r="B56" t="s">
        <v>435</v>
      </c>
      <c r="C56" t="s">
        <v>436</v>
      </c>
      <c r="D56" t="s">
        <v>239</v>
      </c>
      <c r="E56" t="s">
        <v>27</v>
      </c>
      <c r="F56" t="s">
        <v>28</v>
      </c>
      <c r="G56" t="s">
        <v>29</v>
      </c>
      <c r="H56" t="s">
        <v>437</v>
      </c>
      <c r="I56" t="s">
        <v>438</v>
      </c>
      <c r="J56" t="s">
        <v>32</v>
      </c>
      <c r="K56" t="s">
        <v>33</v>
      </c>
      <c r="L56" t="s">
        <v>439</v>
      </c>
      <c r="M56" t="s">
        <v>440</v>
      </c>
      <c r="N56" t="s">
        <v>441</v>
      </c>
      <c r="O56">
        <v>523.25160575754967</v>
      </c>
      <c r="P56">
        <v>507.5</v>
      </c>
      <c r="Q56">
        <v>502.77519999999998</v>
      </c>
      <c r="R56" t="s">
        <v>67</v>
      </c>
      <c r="S56" t="s">
        <v>38</v>
      </c>
      <c r="T56" t="s">
        <v>38</v>
      </c>
      <c r="U56" t="s">
        <v>39</v>
      </c>
      <c r="W56" t="s">
        <v>40</v>
      </c>
    </row>
    <row r="57" spans="1:23" x14ac:dyDescent="0.3">
      <c r="A57" t="s">
        <v>23</v>
      </c>
      <c r="B57" t="s">
        <v>442</v>
      </c>
      <c r="C57" t="s">
        <v>443</v>
      </c>
      <c r="D57" t="s">
        <v>43</v>
      </c>
      <c r="E57" t="s">
        <v>44</v>
      </c>
      <c r="F57" t="s">
        <v>28</v>
      </c>
      <c r="G57" t="s">
        <v>45</v>
      </c>
      <c r="H57" t="s">
        <v>444</v>
      </c>
      <c r="I57" t="s">
        <v>47</v>
      </c>
      <c r="J57" t="s">
        <v>32</v>
      </c>
      <c r="K57" t="s">
        <v>33</v>
      </c>
      <c r="L57" t="s">
        <v>445</v>
      </c>
      <c r="M57" t="s">
        <v>446</v>
      </c>
      <c r="N57" t="s">
        <v>447</v>
      </c>
      <c r="O57">
        <v>4147.7501752246153</v>
      </c>
      <c r="P57">
        <v>3076.34</v>
      </c>
      <c r="Q57">
        <v>3045.2979999999998</v>
      </c>
      <c r="R57" t="s">
        <v>125</v>
      </c>
      <c r="S57" t="s">
        <v>38</v>
      </c>
      <c r="T57" t="s">
        <v>38</v>
      </c>
      <c r="U57" t="s">
        <v>39</v>
      </c>
      <c r="W57" t="s">
        <v>40</v>
      </c>
    </row>
    <row r="58" spans="1:23" x14ac:dyDescent="0.3">
      <c r="A58" t="s">
        <v>23</v>
      </c>
      <c r="B58" t="s">
        <v>448</v>
      </c>
      <c r="C58" t="s">
        <v>449</v>
      </c>
      <c r="D58" t="s">
        <v>43</v>
      </c>
      <c r="E58" t="s">
        <v>44</v>
      </c>
      <c r="F58" t="s">
        <v>28</v>
      </c>
      <c r="G58" t="s">
        <v>45</v>
      </c>
      <c r="H58" t="s">
        <v>450</v>
      </c>
      <c r="I58" t="s">
        <v>451</v>
      </c>
      <c r="J58" t="s">
        <v>213</v>
      </c>
      <c r="K58" t="s">
        <v>33</v>
      </c>
      <c r="L58" t="s">
        <v>452</v>
      </c>
      <c r="M58" t="s">
        <v>453</v>
      </c>
      <c r="N58" t="s">
        <v>454</v>
      </c>
      <c r="O58">
        <v>12074.01030958485</v>
      </c>
      <c r="P58">
        <v>6010.17</v>
      </c>
      <c r="Q58">
        <v>9881.1164000000008</v>
      </c>
      <c r="R58" t="s">
        <v>125</v>
      </c>
      <c r="S58" t="s">
        <v>38</v>
      </c>
      <c r="T58" t="s">
        <v>38</v>
      </c>
      <c r="U58" t="s">
        <v>39</v>
      </c>
      <c r="W58" t="s">
        <v>40</v>
      </c>
    </row>
    <row r="59" spans="1:23" x14ac:dyDescent="0.3">
      <c r="A59" t="s">
        <v>23</v>
      </c>
      <c r="B59" t="s">
        <v>455</v>
      </c>
      <c r="C59" t="s">
        <v>456</v>
      </c>
      <c r="D59" t="s">
        <v>239</v>
      </c>
      <c r="E59" t="s">
        <v>27</v>
      </c>
      <c r="F59" t="s">
        <v>28</v>
      </c>
      <c r="G59" t="s">
        <v>29</v>
      </c>
      <c r="H59" t="s">
        <v>457</v>
      </c>
      <c r="I59" t="s">
        <v>47</v>
      </c>
      <c r="J59" t="s">
        <v>32</v>
      </c>
      <c r="K59" t="s">
        <v>33</v>
      </c>
      <c r="L59" t="s">
        <v>458</v>
      </c>
      <c r="M59" t="s">
        <v>459</v>
      </c>
      <c r="N59" t="s">
        <v>460</v>
      </c>
      <c r="O59">
        <v>430.62024668910641</v>
      </c>
      <c r="P59">
        <v>107.56</v>
      </c>
      <c r="Q59">
        <v>103.6888</v>
      </c>
      <c r="R59" t="s">
        <v>37</v>
      </c>
      <c r="S59" t="s">
        <v>106</v>
      </c>
      <c r="T59" t="s">
        <v>106</v>
      </c>
      <c r="U59" t="s">
        <v>133</v>
      </c>
      <c r="V59" t="s">
        <v>53</v>
      </c>
      <c r="W59" t="s">
        <v>40</v>
      </c>
    </row>
    <row r="60" spans="1:23" x14ac:dyDescent="0.3">
      <c r="A60" t="s">
        <v>23</v>
      </c>
      <c r="B60" t="s">
        <v>461</v>
      </c>
      <c r="C60" t="s">
        <v>462</v>
      </c>
      <c r="D60" t="s">
        <v>239</v>
      </c>
      <c r="E60" t="s">
        <v>27</v>
      </c>
      <c r="F60" t="s">
        <v>28</v>
      </c>
      <c r="G60" t="s">
        <v>29</v>
      </c>
      <c r="H60" t="s">
        <v>463</v>
      </c>
      <c r="I60" t="s">
        <v>47</v>
      </c>
      <c r="J60" t="s">
        <v>32</v>
      </c>
      <c r="K60" t="s">
        <v>33</v>
      </c>
      <c r="L60" t="s">
        <v>464</v>
      </c>
      <c r="M60" t="s">
        <v>465</v>
      </c>
      <c r="N60" t="s">
        <v>466</v>
      </c>
      <c r="O60">
        <v>260.60100879181141</v>
      </c>
      <c r="P60">
        <v>242.8</v>
      </c>
      <c r="Q60">
        <v>242.20840000000001</v>
      </c>
      <c r="R60" t="s">
        <v>67</v>
      </c>
      <c r="S60" t="s">
        <v>38</v>
      </c>
      <c r="T60" t="s">
        <v>38</v>
      </c>
      <c r="U60" t="s">
        <v>39</v>
      </c>
      <c r="W60" t="s">
        <v>40</v>
      </c>
    </row>
    <row r="61" spans="1:23" x14ac:dyDescent="0.3">
      <c r="A61" t="s">
        <v>23</v>
      </c>
      <c r="B61" t="s">
        <v>467</v>
      </c>
      <c r="C61" t="s">
        <v>468</v>
      </c>
      <c r="D61" t="s">
        <v>191</v>
      </c>
      <c r="E61" t="s">
        <v>90</v>
      </c>
      <c r="F61" t="s">
        <v>91</v>
      </c>
      <c r="G61" t="s">
        <v>92</v>
      </c>
      <c r="H61" t="s">
        <v>469</v>
      </c>
      <c r="I61" t="s">
        <v>121</v>
      </c>
      <c r="J61" t="s">
        <v>32</v>
      </c>
      <c r="K61" t="s">
        <v>33</v>
      </c>
      <c r="L61" t="s">
        <v>470</v>
      </c>
      <c r="M61" t="s">
        <v>471</v>
      </c>
      <c r="N61" t="s">
        <v>472</v>
      </c>
      <c r="O61">
        <v>207.30863030824821</v>
      </c>
      <c r="P61">
        <v>196.34</v>
      </c>
      <c r="Q61">
        <v>196.05199999999999</v>
      </c>
      <c r="R61" t="s">
        <v>37</v>
      </c>
      <c r="S61" t="s">
        <v>38</v>
      </c>
      <c r="T61" t="s">
        <v>38</v>
      </c>
      <c r="U61" t="s">
        <v>39</v>
      </c>
      <c r="W61" t="s">
        <v>40</v>
      </c>
    </row>
    <row r="62" spans="1:23" x14ac:dyDescent="0.3">
      <c r="A62" t="s">
        <v>23</v>
      </c>
      <c r="B62" t="s">
        <v>473</v>
      </c>
      <c r="C62" t="s">
        <v>474</v>
      </c>
      <c r="D62" t="s">
        <v>205</v>
      </c>
      <c r="E62" t="s">
        <v>81</v>
      </c>
      <c r="F62" t="s">
        <v>59</v>
      </c>
      <c r="G62" t="s">
        <v>82</v>
      </c>
      <c r="H62" t="s">
        <v>475</v>
      </c>
      <c r="I62" t="s">
        <v>102</v>
      </c>
      <c r="J62" t="s">
        <v>32</v>
      </c>
      <c r="K62" t="s">
        <v>33</v>
      </c>
      <c r="L62" t="s">
        <v>476</v>
      </c>
      <c r="M62" t="s">
        <v>477</v>
      </c>
      <c r="N62" t="s">
        <v>478</v>
      </c>
      <c r="O62">
        <v>4108.9949785984791</v>
      </c>
      <c r="P62">
        <v>3943.96</v>
      </c>
      <c r="Q62">
        <v>3931.8216000000002</v>
      </c>
      <c r="R62" t="s">
        <v>125</v>
      </c>
      <c r="S62" t="s">
        <v>38</v>
      </c>
      <c r="T62" t="s">
        <v>38</v>
      </c>
      <c r="U62" t="s">
        <v>39</v>
      </c>
      <c r="W62" t="s">
        <v>40</v>
      </c>
    </row>
    <row r="63" spans="1:23" x14ac:dyDescent="0.3">
      <c r="A63" t="s">
        <v>23</v>
      </c>
      <c r="B63" t="s">
        <v>479</v>
      </c>
      <c r="C63" t="s">
        <v>480</v>
      </c>
      <c r="D63" t="s">
        <v>481</v>
      </c>
      <c r="E63" t="s">
        <v>90</v>
      </c>
      <c r="F63" t="s">
        <v>91</v>
      </c>
      <c r="G63" t="s">
        <v>92</v>
      </c>
      <c r="H63" t="s">
        <v>482</v>
      </c>
      <c r="I63" t="s">
        <v>102</v>
      </c>
      <c r="J63" t="s">
        <v>32</v>
      </c>
      <c r="K63" t="s">
        <v>33</v>
      </c>
      <c r="L63" t="s">
        <v>483</v>
      </c>
      <c r="M63" t="s">
        <v>484</v>
      </c>
      <c r="N63" t="s">
        <v>485</v>
      </c>
      <c r="O63">
        <v>19.17019092780372</v>
      </c>
      <c r="P63">
        <v>18.899999999999999</v>
      </c>
      <c r="Q63">
        <v>18.826799999999999</v>
      </c>
      <c r="R63" t="s">
        <v>125</v>
      </c>
      <c r="S63" t="s">
        <v>38</v>
      </c>
      <c r="T63" t="s">
        <v>38</v>
      </c>
      <c r="U63" t="s">
        <v>39</v>
      </c>
      <c r="W63" t="s">
        <v>40</v>
      </c>
    </row>
    <row r="64" spans="1:23" x14ac:dyDescent="0.3">
      <c r="A64" t="s">
        <v>23</v>
      </c>
      <c r="B64" t="s">
        <v>486</v>
      </c>
      <c r="C64" t="s">
        <v>487</v>
      </c>
      <c r="D64" t="s">
        <v>239</v>
      </c>
      <c r="E64" t="s">
        <v>27</v>
      </c>
      <c r="F64" t="s">
        <v>28</v>
      </c>
      <c r="G64" t="s">
        <v>29</v>
      </c>
      <c r="H64" t="s">
        <v>488</v>
      </c>
      <c r="I64" t="s">
        <v>273</v>
      </c>
      <c r="J64" t="s">
        <v>185</v>
      </c>
      <c r="K64" t="s">
        <v>33</v>
      </c>
      <c r="L64" t="s">
        <v>489</v>
      </c>
      <c r="M64" t="s">
        <v>490</v>
      </c>
      <c r="N64" t="s">
        <v>491</v>
      </c>
      <c r="O64">
        <v>3571.9428480433239</v>
      </c>
      <c r="P64">
        <v>2730.91</v>
      </c>
      <c r="Q64">
        <v>2813.2815999999998</v>
      </c>
      <c r="R64" t="s">
        <v>75</v>
      </c>
      <c r="S64" t="s">
        <v>38</v>
      </c>
      <c r="T64" t="s">
        <v>38</v>
      </c>
      <c r="U64" t="s">
        <v>39</v>
      </c>
      <c r="W64" t="s">
        <v>40</v>
      </c>
    </row>
    <row r="65" spans="1:23" x14ac:dyDescent="0.3">
      <c r="A65" t="s">
        <v>23</v>
      </c>
      <c r="B65" t="s">
        <v>492</v>
      </c>
      <c r="C65" t="s">
        <v>493</v>
      </c>
      <c r="D65" t="s">
        <v>43</v>
      </c>
      <c r="E65" t="s">
        <v>44</v>
      </c>
      <c r="F65" t="s">
        <v>28</v>
      </c>
      <c r="G65" t="s">
        <v>45</v>
      </c>
      <c r="H65" t="s">
        <v>494</v>
      </c>
      <c r="I65" t="s">
        <v>337</v>
      </c>
      <c r="J65" t="s">
        <v>32</v>
      </c>
      <c r="K65" t="s">
        <v>33</v>
      </c>
      <c r="L65" t="s">
        <v>495</v>
      </c>
      <c r="M65" t="s">
        <v>496</v>
      </c>
      <c r="N65" t="s">
        <v>497</v>
      </c>
      <c r="O65">
        <v>367.14526426872419</v>
      </c>
      <c r="P65">
        <v>418.95</v>
      </c>
      <c r="Q65">
        <v>359.79599999999999</v>
      </c>
      <c r="R65" t="s">
        <v>67</v>
      </c>
      <c r="S65" t="s">
        <v>38</v>
      </c>
      <c r="T65" t="s">
        <v>38</v>
      </c>
      <c r="U65" t="s">
        <v>39</v>
      </c>
      <c r="W65" t="s">
        <v>40</v>
      </c>
    </row>
    <row r="66" spans="1:23" x14ac:dyDescent="0.3">
      <c r="A66" t="s">
        <v>23</v>
      </c>
      <c r="B66" t="s">
        <v>498</v>
      </c>
      <c r="C66" t="s">
        <v>499</v>
      </c>
      <c r="D66" t="s">
        <v>198</v>
      </c>
      <c r="E66" t="s">
        <v>90</v>
      </c>
      <c r="F66" t="s">
        <v>91</v>
      </c>
      <c r="G66" t="s">
        <v>92</v>
      </c>
      <c r="H66" t="s">
        <v>500</v>
      </c>
      <c r="I66" t="s">
        <v>102</v>
      </c>
      <c r="J66" t="s">
        <v>32</v>
      </c>
      <c r="K66" t="s">
        <v>33</v>
      </c>
      <c r="L66" t="s">
        <v>501</v>
      </c>
      <c r="M66" t="s">
        <v>502</v>
      </c>
      <c r="N66" t="s">
        <v>503</v>
      </c>
      <c r="O66">
        <v>694.02258632301641</v>
      </c>
      <c r="P66">
        <v>239.05</v>
      </c>
      <c r="Q66">
        <v>233.51320000000001</v>
      </c>
      <c r="R66" t="s">
        <v>37</v>
      </c>
      <c r="S66" t="s">
        <v>51</v>
      </c>
      <c r="T66" t="s">
        <v>51</v>
      </c>
      <c r="U66" t="s">
        <v>143</v>
      </c>
      <c r="V66" t="s">
        <v>504</v>
      </c>
      <c r="W66" t="s">
        <v>40</v>
      </c>
    </row>
    <row r="67" spans="1:23" x14ac:dyDescent="0.3">
      <c r="A67" t="s">
        <v>23</v>
      </c>
      <c r="B67" t="s">
        <v>505</v>
      </c>
      <c r="C67" t="s">
        <v>506</v>
      </c>
      <c r="D67" t="s">
        <v>219</v>
      </c>
      <c r="E67" t="s">
        <v>27</v>
      </c>
      <c r="F67" t="s">
        <v>28</v>
      </c>
      <c r="G67" t="s">
        <v>29</v>
      </c>
      <c r="H67" t="s">
        <v>507</v>
      </c>
      <c r="I67" t="s">
        <v>147</v>
      </c>
      <c r="J67" t="s">
        <v>32</v>
      </c>
      <c r="K67" t="s">
        <v>33</v>
      </c>
      <c r="L67" t="s">
        <v>508</v>
      </c>
      <c r="M67" t="s">
        <v>509</v>
      </c>
      <c r="N67" t="s">
        <v>510</v>
      </c>
      <c r="O67">
        <v>2862.4254677118561</v>
      </c>
      <c r="P67">
        <v>1683.76</v>
      </c>
      <c r="Q67">
        <v>1664.0576000000001</v>
      </c>
      <c r="R67" t="s">
        <v>37</v>
      </c>
      <c r="S67" t="s">
        <v>51</v>
      </c>
      <c r="T67" t="s">
        <v>51</v>
      </c>
      <c r="U67" t="s">
        <v>143</v>
      </c>
      <c r="V67" t="s">
        <v>53</v>
      </c>
      <c r="W67" t="s">
        <v>40</v>
      </c>
    </row>
    <row r="68" spans="1:23" x14ac:dyDescent="0.3">
      <c r="A68" t="s">
        <v>23</v>
      </c>
      <c r="B68" t="s">
        <v>511</v>
      </c>
      <c r="C68" t="s">
        <v>512</v>
      </c>
      <c r="D68" t="s">
        <v>265</v>
      </c>
      <c r="E68" t="s">
        <v>81</v>
      </c>
      <c r="F68" t="s">
        <v>59</v>
      </c>
      <c r="G68" t="s">
        <v>82</v>
      </c>
      <c r="H68" t="s">
        <v>513</v>
      </c>
      <c r="I68" t="s">
        <v>62</v>
      </c>
      <c r="J68" t="s">
        <v>32</v>
      </c>
      <c r="K68" t="s">
        <v>33</v>
      </c>
      <c r="L68" t="s">
        <v>514</v>
      </c>
      <c r="M68" t="s">
        <v>515</v>
      </c>
      <c r="N68" t="s">
        <v>516</v>
      </c>
      <c r="O68">
        <v>241.76614634146739</v>
      </c>
      <c r="P68">
        <v>200.89</v>
      </c>
      <c r="Q68">
        <v>200.25399999999999</v>
      </c>
      <c r="R68" t="s">
        <v>75</v>
      </c>
      <c r="S68" t="s">
        <v>38</v>
      </c>
      <c r="T68" t="s">
        <v>38</v>
      </c>
      <c r="U68" t="s">
        <v>39</v>
      </c>
      <c r="W68" t="s">
        <v>40</v>
      </c>
    </row>
    <row r="69" spans="1:23" x14ac:dyDescent="0.3">
      <c r="A69" t="s">
        <v>23</v>
      </c>
      <c r="B69" t="s">
        <v>517</v>
      </c>
      <c r="C69" t="s">
        <v>518</v>
      </c>
      <c r="D69" t="s">
        <v>519</v>
      </c>
      <c r="E69" t="s">
        <v>81</v>
      </c>
      <c r="F69" t="s">
        <v>59</v>
      </c>
      <c r="G69" t="s">
        <v>82</v>
      </c>
      <c r="H69" t="s">
        <v>520</v>
      </c>
      <c r="I69" t="s">
        <v>102</v>
      </c>
      <c r="J69" t="s">
        <v>32</v>
      </c>
      <c r="K69" t="s">
        <v>33</v>
      </c>
      <c r="M69" t="s">
        <v>521</v>
      </c>
      <c r="N69" t="s">
        <v>522</v>
      </c>
      <c r="O69">
        <v>983.5564432450908</v>
      </c>
      <c r="P69">
        <v>980.68</v>
      </c>
      <c r="Q69">
        <v>979.35599999999999</v>
      </c>
      <c r="R69" t="s">
        <v>37</v>
      </c>
      <c r="S69" t="s">
        <v>38</v>
      </c>
      <c r="T69" t="s">
        <v>38</v>
      </c>
      <c r="U69" t="s">
        <v>39</v>
      </c>
      <c r="W69" t="s">
        <v>40</v>
      </c>
    </row>
    <row r="70" spans="1:23" x14ac:dyDescent="0.3">
      <c r="A70" t="s">
        <v>23</v>
      </c>
      <c r="B70" t="s">
        <v>523</v>
      </c>
      <c r="C70" t="s">
        <v>524</v>
      </c>
      <c r="D70" t="s">
        <v>100</v>
      </c>
      <c r="E70" t="s">
        <v>90</v>
      </c>
      <c r="F70" t="s">
        <v>91</v>
      </c>
      <c r="G70" t="s">
        <v>92</v>
      </c>
      <c r="H70" t="s">
        <v>525</v>
      </c>
      <c r="I70" t="s">
        <v>102</v>
      </c>
      <c r="J70" t="s">
        <v>32</v>
      </c>
      <c r="K70" t="s">
        <v>33</v>
      </c>
      <c r="L70" t="s">
        <v>526</v>
      </c>
      <c r="M70" t="s">
        <v>527</v>
      </c>
      <c r="N70" t="s">
        <v>528</v>
      </c>
      <c r="O70">
        <v>101.0565298567594</v>
      </c>
      <c r="P70">
        <v>13.38</v>
      </c>
      <c r="Q70">
        <v>12.7644</v>
      </c>
      <c r="R70" t="s">
        <v>75</v>
      </c>
      <c r="S70" t="s">
        <v>106</v>
      </c>
      <c r="T70" t="s">
        <v>106</v>
      </c>
      <c r="U70" t="s">
        <v>133</v>
      </c>
      <c r="V70" t="s">
        <v>529</v>
      </c>
      <c r="W70" t="s">
        <v>40</v>
      </c>
    </row>
    <row r="71" spans="1:23" x14ac:dyDescent="0.3">
      <c r="A71" t="s">
        <v>23</v>
      </c>
      <c r="B71" t="s">
        <v>530</v>
      </c>
      <c r="C71" t="s">
        <v>531</v>
      </c>
      <c r="D71" t="s">
        <v>80</v>
      </c>
      <c r="E71" t="s">
        <v>81</v>
      </c>
      <c r="F71" t="s">
        <v>59</v>
      </c>
      <c r="G71" t="s">
        <v>82</v>
      </c>
      <c r="H71" t="s">
        <v>532</v>
      </c>
      <c r="I71" t="s">
        <v>102</v>
      </c>
      <c r="J71" t="s">
        <v>32</v>
      </c>
      <c r="K71" t="s">
        <v>33</v>
      </c>
      <c r="L71" t="s">
        <v>533</v>
      </c>
      <c r="M71" t="s">
        <v>534</v>
      </c>
      <c r="N71" t="s">
        <v>535</v>
      </c>
      <c r="O71">
        <v>469.91842068470402</v>
      </c>
      <c r="P71">
        <v>424.97</v>
      </c>
      <c r="Q71">
        <v>423.57440000000003</v>
      </c>
      <c r="R71" t="s">
        <v>37</v>
      </c>
      <c r="S71" t="s">
        <v>38</v>
      </c>
      <c r="T71" t="s">
        <v>38</v>
      </c>
      <c r="U71" t="s">
        <v>39</v>
      </c>
      <c r="W71" t="s">
        <v>40</v>
      </c>
    </row>
    <row r="72" spans="1:23" x14ac:dyDescent="0.3">
      <c r="A72" t="s">
        <v>23</v>
      </c>
      <c r="B72" t="s">
        <v>536</v>
      </c>
      <c r="C72" t="s">
        <v>537</v>
      </c>
      <c r="D72" t="s">
        <v>247</v>
      </c>
      <c r="E72" t="s">
        <v>44</v>
      </c>
      <c r="F72" t="s">
        <v>28</v>
      </c>
      <c r="G72" t="s">
        <v>45</v>
      </c>
      <c r="H72" t="s">
        <v>538</v>
      </c>
      <c r="I72" t="s">
        <v>47</v>
      </c>
      <c r="J72" t="s">
        <v>32</v>
      </c>
      <c r="K72" t="s">
        <v>33</v>
      </c>
      <c r="L72" t="s">
        <v>539</v>
      </c>
      <c r="M72" t="s">
        <v>540</v>
      </c>
      <c r="N72" t="s">
        <v>541</v>
      </c>
      <c r="O72">
        <v>3399.5344438551601</v>
      </c>
      <c r="P72">
        <v>1789.85</v>
      </c>
      <c r="Q72">
        <v>1748.13</v>
      </c>
      <c r="R72" t="s">
        <v>37</v>
      </c>
      <c r="S72" t="s">
        <v>51</v>
      </c>
      <c r="T72" t="s">
        <v>51</v>
      </c>
      <c r="U72" t="s">
        <v>143</v>
      </c>
      <c r="V72" t="s">
        <v>53</v>
      </c>
      <c r="W72" t="s">
        <v>40</v>
      </c>
    </row>
    <row r="73" spans="1:23" x14ac:dyDescent="0.3">
      <c r="A73" t="s">
        <v>23</v>
      </c>
      <c r="B73" t="s">
        <v>542</v>
      </c>
      <c r="C73" t="s">
        <v>543</v>
      </c>
      <c r="D73" t="s">
        <v>198</v>
      </c>
      <c r="E73" t="s">
        <v>90</v>
      </c>
      <c r="F73" t="s">
        <v>91</v>
      </c>
      <c r="G73" t="s">
        <v>92</v>
      </c>
      <c r="H73" t="s">
        <v>544</v>
      </c>
      <c r="I73" t="s">
        <v>102</v>
      </c>
      <c r="J73" t="s">
        <v>32</v>
      </c>
      <c r="K73" t="s">
        <v>33</v>
      </c>
      <c r="L73" t="s">
        <v>545</v>
      </c>
      <c r="M73" t="s">
        <v>546</v>
      </c>
      <c r="N73" t="s">
        <v>547</v>
      </c>
      <c r="O73">
        <v>689.04611569161057</v>
      </c>
      <c r="P73">
        <v>338.57</v>
      </c>
      <c r="Q73">
        <v>330.73919999999998</v>
      </c>
      <c r="R73" t="s">
        <v>37</v>
      </c>
      <c r="S73" t="s">
        <v>51</v>
      </c>
      <c r="T73" t="s">
        <v>51</v>
      </c>
      <c r="U73" t="s">
        <v>143</v>
      </c>
      <c r="V73" t="s">
        <v>548</v>
      </c>
      <c r="W73" t="s">
        <v>40</v>
      </c>
    </row>
    <row r="74" spans="1:23" x14ac:dyDescent="0.3">
      <c r="A74" t="s">
        <v>23</v>
      </c>
      <c r="B74" t="s">
        <v>549</v>
      </c>
      <c r="C74" t="s">
        <v>550</v>
      </c>
      <c r="D74" t="s">
        <v>265</v>
      </c>
      <c r="E74" t="s">
        <v>81</v>
      </c>
      <c r="F74" t="s">
        <v>59</v>
      </c>
      <c r="G74" t="s">
        <v>82</v>
      </c>
      <c r="H74" t="s">
        <v>551</v>
      </c>
      <c r="I74" t="s">
        <v>62</v>
      </c>
      <c r="J74" t="s">
        <v>32</v>
      </c>
      <c r="K74" t="s">
        <v>33</v>
      </c>
      <c r="L74" t="s">
        <v>552</v>
      </c>
      <c r="M74" t="s">
        <v>553</v>
      </c>
      <c r="N74" t="s">
        <v>554</v>
      </c>
      <c r="O74">
        <v>260.74560574558569</v>
      </c>
      <c r="P74">
        <v>260.2</v>
      </c>
      <c r="Q74">
        <v>259.64999999999998</v>
      </c>
      <c r="R74" t="s">
        <v>75</v>
      </c>
      <c r="S74" t="s">
        <v>38</v>
      </c>
      <c r="T74" t="s">
        <v>38</v>
      </c>
      <c r="U74" t="s">
        <v>39</v>
      </c>
      <c r="W74" t="s">
        <v>40</v>
      </c>
    </row>
    <row r="75" spans="1:23" x14ac:dyDescent="0.3">
      <c r="A75" t="s">
        <v>23</v>
      </c>
      <c r="B75" t="s">
        <v>555</v>
      </c>
      <c r="C75" t="s">
        <v>556</v>
      </c>
      <c r="D75" t="s">
        <v>168</v>
      </c>
      <c r="E75" t="s">
        <v>154</v>
      </c>
      <c r="F75" t="s">
        <v>59</v>
      </c>
      <c r="G75" t="s">
        <v>113</v>
      </c>
      <c r="H75" t="s">
        <v>557</v>
      </c>
      <c r="I75" t="s">
        <v>62</v>
      </c>
      <c r="J75" t="s">
        <v>63</v>
      </c>
      <c r="K75" t="s">
        <v>33</v>
      </c>
      <c r="L75" t="s">
        <v>558</v>
      </c>
      <c r="M75" t="s">
        <v>559</v>
      </c>
      <c r="N75" t="s">
        <v>560</v>
      </c>
      <c r="O75">
        <v>41251.754502832853</v>
      </c>
      <c r="P75">
        <v>41007.980000000003</v>
      </c>
      <c r="Q75">
        <v>40919.7912</v>
      </c>
      <c r="R75" t="s">
        <v>37</v>
      </c>
      <c r="S75" t="s">
        <v>38</v>
      </c>
      <c r="T75" t="s">
        <v>38</v>
      </c>
      <c r="U75" t="s">
        <v>39</v>
      </c>
      <c r="W75" t="s">
        <v>40</v>
      </c>
    </row>
    <row r="76" spans="1:23" x14ac:dyDescent="0.3">
      <c r="A76" t="s">
        <v>23</v>
      </c>
      <c r="B76" t="s">
        <v>561</v>
      </c>
      <c r="C76" t="s">
        <v>562</v>
      </c>
      <c r="D76" t="s">
        <v>563</v>
      </c>
      <c r="E76" t="s">
        <v>44</v>
      </c>
      <c r="F76" t="s">
        <v>28</v>
      </c>
      <c r="G76" t="s">
        <v>137</v>
      </c>
      <c r="H76" t="s">
        <v>564</v>
      </c>
      <c r="I76" t="s">
        <v>62</v>
      </c>
      <c r="J76" t="s">
        <v>32</v>
      </c>
      <c r="K76" t="s">
        <v>33</v>
      </c>
      <c r="L76" t="s">
        <v>565</v>
      </c>
      <c r="M76" t="s">
        <v>566</v>
      </c>
      <c r="N76" t="s">
        <v>567</v>
      </c>
      <c r="O76">
        <v>1620.890098985089</v>
      </c>
      <c r="P76">
        <v>1618.25</v>
      </c>
      <c r="Q76">
        <v>1617.1748</v>
      </c>
      <c r="R76" t="s">
        <v>125</v>
      </c>
      <c r="S76" t="s">
        <v>38</v>
      </c>
      <c r="T76" t="s">
        <v>38</v>
      </c>
      <c r="U76" t="s">
        <v>39</v>
      </c>
      <c r="W76" t="s">
        <v>40</v>
      </c>
    </row>
    <row r="77" spans="1:23" x14ac:dyDescent="0.3">
      <c r="A77" t="s">
        <v>23</v>
      </c>
      <c r="B77" t="s">
        <v>568</v>
      </c>
      <c r="C77" t="s">
        <v>569</v>
      </c>
      <c r="D77" t="s">
        <v>182</v>
      </c>
      <c r="E77" t="s">
        <v>27</v>
      </c>
      <c r="F77" t="s">
        <v>28</v>
      </c>
      <c r="G77" t="s">
        <v>29</v>
      </c>
      <c r="H77" t="s">
        <v>570</v>
      </c>
      <c r="I77" t="s">
        <v>184</v>
      </c>
      <c r="J77" t="s">
        <v>185</v>
      </c>
      <c r="K77" t="s">
        <v>33</v>
      </c>
      <c r="L77" t="s">
        <v>571</v>
      </c>
      <c r="M77" t="s">
        <v>572</v>
      </c>
      <c r="N77" t="s">
        <v>573</v>
      </c>
      <c r="O77">
        <v>1343.3254191944229</v>
      </c>
      <c r="P77">
        <v>1345.46</v>
      </c>
      <c r="Q77">
        <v>1345.884</v>
      </c>
      <c r="R77" t="s">
        <v>67</v>
      </c>
      <c r="S77" t="s">
        <v>38</v>
      </c>
      <c r="T77" t="s">
        <v>38</v>
      </c>
      <c r="U77" t="s">
        <v>39</v>
      </c>
      <c r="W77" t="s">
        <v>40</v>
      </c>
    </row>
    <row r="78" spans="1:23" x14ac:dyDescent="0.3">
      <c r="A78" t="s">
        <v>23</v>
      </c>
      <c r="B78" t="s">
        <v>574</v>
      </c>
      <c r="C78" t="s">
        <v>575</v>
      </c>
      <c r="D78" t="s">
        <v>198</v>
      </c>
      <c r="E78" t="s">
        <v>90</v>
      </c>
      <c r="F78" t="s">
        <v>91</v>
      </c>
      <c r="G78" t="s">
        <v>92</v>
      </c>
      <c r="H78" t="s">
        <v>576</v>
      </c>
      <c r="I78" t="s">
        <v>102</v>
      </c>
      <c r="J78" t="s">
        <v>32</v>
      </c>
      <c r="K78" t="s">
        <v>33</v>
      </c>
      <c r="L78" t="s">
        <v>577</v>
      </c>
      <c r="M78" t="s">
        <v>578</v>
      </c>
      <c r="N78" t="s">
        <v>579</v>
      </c>
      <c r="O78">
        <v>35.85232215253049</v>
      </c>
      <c r="P78">
        <v>5.81</v>
      </c>
      <c r="Q78">
        <v>5.1344000000000003</v>
      </c>
      <c r="R78" t="s">
        <v>37</v>
      </c>
      <c r="S78" t="s">
        <v>106</v>
      </c>
      <c r="T78" t="s">
        <v>106</v>
      </c>
      <c r="U78" t="s">
        <v>133</v>
      </c>
      <c r="V78" t="s">
        <v>580</v>
      </c>
      <c r="W78" t="s">
        <v>40</v>
      </c>
    </row>
    <row r="79" spans="1:23" x14ac:dyDescent="0.3">
      <c r="A79" t="s">
        <v>23</v>
      </c>
      <c r="B79" t="s">
        <v>581</v>
      </c>
      <c r="C79" t="s">
        <v>582</v>
      </c>
      <c r="D79" t="s">
        <v>26</v>
      </c>
      <c r="E79" t="s">
        <v>27</v>
      </c>
      <c r="F79" t="s">
        <v>28</v>
      </c>
      <c r="G79" t="s">
        <v>29</v>
      </c>
      <c r="H79" t="s">
        <v>583</v>
      </c>
      <c r="I79" t="s">
        <v>584</v>
      </c>
      <c r="J79" t="s">
        <v>32</v>
      </c>
      <c r="K79" t="s">
        <v>33</v>
      </c>
      <c r="L79" t="s">
        <v>585</v>
      </c>
      <c r="M79" t="s">
        <v>586</v>
      </c>
      <c r="N79" t="s">
        <v>587</v>
      </c>
      <c r="O79">
        <v>4949.6194229920402</v>
      </c>
      <c r="P79">
        <v>2610.64</v>
      </c>
      <c r="Q79">
        <v>2576.7836000000002</v>
      </c>
      <c r="R79" t="s">
        <v>37</v>
      </c>
      <c r="S79" t="s">
        <v>38</v>
      </c>
      <c r="T79" t="s">
        <v>38</v>
      </c>
      <c r="U79" t="s">
        <v>39</v>
      </c>
      <c r="W79" t="s">
        <v>40</v>
      </c>
    </row>
    <row r="80" spans="1:23" x14ac:dyDescent="0.3">
      <c r="A80" t="s">
        <v>23</v>
      </c>
      <c r="B80" t="s">
        <v>588</v>
      </c>
      <c r="C80" t="s">
        <v>589</v>
      </c>
      <c r="D80" t="s">
        <v>590</v>
      </c>
      <c r="E80" t="s">
        <v>44</v>
      </c>
      <c r="F80" t="s">
        <v>28</v>
      </c>
      <c r="G80" t="s">
        <v>137</v>
      </c>
      <c r="H80" t="s">
        <v>591</v>
      </c>
      <c r="I80" t="s">
        <v>249</v>
      </c>
      <c r="J80" t="s">
        <v>32</v>
      </c>
      <c r="K80" t="s">
        <v>33</v>
      </c>
      <c r="L80" t="s">
        <v>592</v>
      </c>
      <c r="M80" t="s">
        <v>593</v>
      </c>
      <c r="N80" t="s">
        <v>594</v>
      </c>
      <c r="O80">
        <v>2225.5551225955219</v>
      </c>
      <c r="P80">
        <v>2035.9</v>
      </c>
      <c r="Q80">
        <v>2027.6279999999999</v>
      </c>
      <c r="R80" t="s">
        <v>67</v>
      </c>
      <c r="S80" t="s">
        <v>38</v>
      </c>
      <c r="T80" t="s">
        <v>38</v>
      </c>
      <c r="U80" t="s">
        <v>39</v>
      </c>
      <c r="W80" t="s">
        <v>40</v>
      </c>
    </row>
    <row r="81" spans="1:23" x14ac:dyDescent="0.3">
      <c r="A81" t="s">
        <v>23</v>
      </c>
      <c r="B81" t="s">
        <v>595</v>
      </c>
      <c r="C81" t="s">
        <v>596</v>
      </c>
      <c r="D81" t="s">
        <v>597</v>
      </c>
      <c r="E81" t="s">
        <v>90</v>
      </c>
      <c r="F81" t="s">
        <v>91</v>
      </c>
      <c r="G81" t="s">
        <v>92</v>
      </c>
      <c r="H81" t="s">
        <v>598</v>
      </c>
      <c r="I81" t="s">
        <v>62</v>
      </c>
      <c r="J81" t="s">
        <v>32</v>
      </c>
      <c r="K81" t="s">
        <v>33</v>
      </c>
      <c r="L81" t="s">
        <v>599</v>
      </c>
      <c r="M81" t="s">
        <v>600</v>
      </c>
      <c r="N81" t="s">
        <v>601</v>
      </c>
      <c r="O81">
        <v>305.48738981630919</v>
      </c>
      <c r="P81">
        <v>253.86</v>
      </c>
      <c r="Q81">
        <v>252.79839999999999</v>
      </c>
      <c r="R81" t="s">
        <v>75</v>
      </c>
      <c r="S81" t="s">
        <v>38</v>
      </c>
      <c r="T81" t="s">
        <v>38</v>
      </c>
      <c r="U81" t="s">
        <v>39</v>
      </c>
      <c r="W81" t="s">
        <v>40</v>
      </c>
    </row>
    <row r="82" spans="1:23" x14ac:dyDescent="0.3">
      <c r="A82" t="s">
        <v>23</v>
      </c>
      <c r="B82" t="s">
        <v>602</v>
      </c>
      <c r="C82" t="s">
        <v>603</v>
      </c>
      <c r="D82" t="s">
        <v>89</v>
      </c>
      <c r="E82" t="s">
        <v>90</v>
      </c>
      <c r="F82" t="s">
        <v>91</v>
      </c>
      <c r="G82" t="s">
        <v>92</v>
      </c>
      <c r="H82" t="s">
        <v>604</v>
      </c>
      <c r="I82" t="s">
        <v>94</v>
      </c>
      <c r="J82" t="s">
        <v>32</v>
      </c>
      <c r="K82" t="s">
        <v>33</v>
      </c>
      <c r="L82" t="s">
        <v>605</v>
      </c>
      <c r="M82" t="s">
        <v>606</v>
      </c>
      <c r="N82" t="s">
        <v>607</v>
      </c>
      <c r="O82">
        <v>2402.983749278872</v>
      </c>
      <c r="P82">
        <v>2165.44</v>
      </c>
      <c r="Q82">
        <v>2155.9928</v>
      </c>
      <c r="R82" t="s">
        <v>67</v>
      </c>
      <c r="S82" t="s">
        <v>38</v>
      </c>
      <c r="T82" t="s">
        <v>38</v>
      </c>
      <c r="U82" t="s">
        <v>39</v>
      </c>
      <c r="W82" t="s">
        <v>40</v>
      </c>
    </row>
    <row r="83" spans="1:23" x14ac:dyDescent="0.3">
      <c r="A83" t="s">
        <v>23</v>
      </c>
      <c r="B83" t="s">
        <v>608</v>
      </c>
      <c r="C83" t="s">
        <v>609</v>
      </c>
      <c r="D83" t="s">
        <v>70</v>
      </c>
      <c r="E83" t="s">
        <v>44</v>
      </c>
      <c r="F83" t="s">
        <v>28</v>
      </c>
      <c r="G83" t="s">
        <v>45</v>
      </c>
      <c r="H83" t="s">
        <v>610</v>
      </c>
      <c r="I83" t="s">
        <v>72</v>
      </c>
      <c r="J83" t="s">
        <v>32</v>
      </c>
      <c r="K83" t="s">
        <v>33</v>
      </c>
      <c r="L83" t="s">
        <v>611</v>
      </c>
      <c r="M83" t="s">
        <v>612</v>
      </c>
      <c r="N83" t="s">
        <v>613</v>
      </c>
      <c r="O83">
        <v>10185.543408458239</v>
      </c>
      <c r="P83">
        <v>7081.57</v>
      </c>
      <c r="Q83">
        <v>7037.8728000000001</v>
      </c>
      <c r="R83" t="s">
        <v>75</v>
      </c>
      <c r="S83" t="s">
        <v>38</v>
      </c>
      <c r="T83" t="s">
        <v>38</v>
      </c>
      <c r="U83" t="s">
        <v>39</v>
      </c>
      <c r="W83" t="s">
        <v>40</v>
      </c>
    </row>
    <row r="84" spans="1:23" x14ac:dyDescent="0.3">
      <c r="A84" t="s">
        <v>23</v>
      </c>
      <c r="B84" t="s">
        <v>614</v>
      </c>
      <c r="C84" t="s">
        <v>615</v>
      </c>
      <c r="D84" t="s">
        <v>616</v>
      </c>
      <c r="E84" t="s">
        <v>616</v>
      </c>
      <c r="F84" t="s">
        <v>28</v>
      </c>
      <c r="G84" t="s">
        <v>45</v>
      </c>
      <c r="H84" t="s">
        <v>617</v>
      </c>
      <c r="I84" t="s">
        <v>147</v>
      </c>
      <c r="J84" t="s">
        <v>250</v>
      </c>
      <c r="K84" t="s">
        <v>33</v>
      </c>
      <c r="L84" t="s">
        <v>618</v>
      </c>
      <c r="M84" t="s">
        <v>619</v>
      </c>
      <c r="N84" t="s">
        <v>620</v>
      </c>
      <c r="O84">
        <v>1122.104180532604</v>
      </c>
      <c r="P84">
        <v>412.63</v>
      </c>
      <c r="Q84">
        <v>400.95519999999999</v>
      </c>
      <c r="R84" t="s">
        <v>125</v>
      </c>
      <c r="S84" t="s">
        <v>51</v>
      </c>
      <c r="T84" t="s">
        <v>51</v>
      </c>
      <c r="U84" t="s">
        <v>143</v>
      </c>
      <c r="V84" t="s">
        <v>53</v>
      </c>
      <c r="W84" t="s">
        <v>40</v>
      </c>
    </row>
    <row r="85" spans="1:23" x14ac:dyDescent="0.3">
      <c r="A85" t="s">
        <v>23</v>
      </c>
      <c r="B85" t="s">
        <v>621</v>
      </c>
      <c r="C85" t="s">
        <v>622</v>
      </c>
      <c r="D85" t="s">
        <v>239</v>
      </c>
      <c r="E85" t="s">
        <v>27</v>
      </c>
      <c r="F85" t="s">
        <v>28</v>
      </c>
      <c r="G85" t="s">
        <v>29</v>
      </c>
      <c r="H85" t="s">
        <v>623</v>
      </c>
      <c r="I85" t="s">
        <v>624</v>
      </c>
      <c r="J85" t="s">
        <v>185</v>
      </c>
      <c r="K85" t="s">
        <v>33</v>
      </c>
      <c r="L85" t="s">
        <v>625</v>
      </c>
      <c r="M85" t="s">
        <v>626</v>
      </c>
      <c r="N85" t="s">
        <v>627</v>
      </c>
      <c r="O85">
        <v>1777.299996766691</v>
      </c>
      <c r="P85">
        <v>2457.4499999999998</v>
      </c>
      <c r="Q85">
        <v>2462.3627999999999</v>
      </c>
      <c r="R85" t="s">
        <v>37</v>
      </c>
      <c r="S85" t="s">
        <v>38</v>
      </c>
      <c r="T85" t="s">
        <v>38</v>
      </c>
      <c r="U85" t="s">
        <v>39</v>
      </c>
      <c r="W85" t="s">
        <v>40</v>
      </c>
    </row>
    <row r="86" spans="1:23" x14ac:dyDescent="0.3">
      <c r="A86" t="s">
        <v>23</v>
      </c>
      <c r="B86" t="s">
        <v>628</v>
      </c>
      <c r="C86" t="s">
        <v>629</v>
      </c>
      <c r="D86" t="s">
        <v>43</v>
      </c>
      <c r="E86" t="s">
        <v>44</v>
      </c>
      <c r="F86" t="s">
        <v>28</v>
      </c>
      <c r="G86" t="s">
        <v>137</v>
      </c>
      <c r="H86" t="s">
        <v>630</v>
      </c>
      <c r="I86" t="s">
        <v>249</v>
      </c>
      <c r="J86" t="s">
        <v>32</v>
      </c>
      <c r="K86" t="s">
        <v>33</v>
      </c>
      <c r="L86" t="s">
        <v>631</v>
      </c>
      <c r="M86" t="s">
        <v>632</v>
      </c>
      <c r="N86" t="s">
        <v>633</v>
      </c>
      <c r="O86">
        <v>2522.832481029945</v>
      </c>
      <c r="P86">
        <v>1173.08</v>
      </c>
      <c r="Q86">
        <v>1210.0876000000001</v>
      </c>
      <c r="R86" t="s">
        <v>37</v>
      </c>
      <c r="S86" t="s">
        <v>51</v>
      </c>
      <c r="T86" t="s">
        <v>51</v>
      </c>
      <c r="U86" t="s">
        <v>143</v>
      </c>
      <c r="V86" t="s">
        <v>53</v>
      </c>
      <c r="W86" t="s">
        <v>40</v>
      </c>
    </row>
    <row r="87" spans="1:23" x14ac:dyDescent="0.3">
      <c r="A87" t="s">
        <v>23</v>
      </c>
      <c r="B87" t="s">
        <v>634</v>
      </c>
      <c r="C87" t="s">
        <v>635</v>
      </c>
      <c r="D87" t="s">
        <v>219</v>
      </c>
      <c r="E87" t="s">
        <v>27</v>
      </c>
      <c r="F87" t="s">
        <v>28</v>
      </c>
      <c r="G87" t="s">
        <v>29</v>
      </c>
      <c r="H87" t="s">
        <v>636</v>
      </c>
      <c r="I87" t="s">
        <v>395</v>
      </c>
      <c r="J87" t="s">
        <v>185</v>
      </c>
      <c r="K87" t="s">
        <v>33</v>
      </c>
      <c r="L87" t="s">
        <v>637</v>
      </c>
      <c r="M87" t="s">
        <v>638</v>
      </c>
      <c r="N87" t="s">
        <v>639</v>
      </c>
      <c r="O87">
        <v>1058.0109055538239</v>
      </c>
      <c r="P87">
        <v>1246.79</v>
      </c>
      <c r="Q87">
        <v>1242.8516</v>
      </c>
      <c r="R87" t="s">
        <v>125</v>
      </c>
      <c r="S87" t="s">
        <v>38</v>
      </c>
      <c r="T87" t="s">
        <v>38</v>
      </c>
      <c r="U87" t="s">
        <v>39</v>
      </c>
      <c r="W87" t="s">
        <v>40</v>
      </c>
    </row>
    <row r="88" spans="1:23" x14ac:dyDescent="0.3">
      <c r="A88" t="s">
        <v>23</v>
      </c>
      <c r="B88" t="s">
        <v>640</v>
      </c>
      <c r="C88" t="s">
        <v>641</v>
      </c>
      <c r="D88" t="s">
        <v>247</v>
      </c>
      <c r="E88" t="s">
        <v>44</v>
      </c>
      <c r="F88" t="s">
        <v>28</v>
      </c>
      <c r="G88" t="s">
        <v>45</v>
      </c>
      <c r="H88" t="s">
        <v>642</v>
      </c>
      <c r="I88" t="s">
        <v>241</v>
      </c>
      <c r="J88" t="s">
        <v>32</v>
      </c>
      <c r="K88" t="s">
        <v>33</v>
      </c>
      <c r="L88" t="s">
        <v>643</v>
      </c>
      <c r="M88" t="s">
        <v>644</v>
      </c>
      <c r="N88" t="s">
        <v>645</v>
      </c>
      <c r="O88">
        <v>630.60246178834086</v>
      </c>
      <c r="P88">
        <v>599.59</v>
      </c>
      <c r="Q88">
        <v>596.55880000000002</v>
      </c>
      <c r="R88" t="s">
        <v>67</v>
      </c>
      <c r="S88" t="s">
        <v>38</v>
      </c>
      <c r="T88" t="s">
        <v>38</v>
      </c>
      <c r="U88" t="s">
        <v>39</v>
      </c>
      <c r="W88" t="s">
        <v>40</v>
      </c>
    </row>
    <row r="89" spans="1:23" x14ac:dyDescent="0.3">
      <c r="A89" t="s">
        <v>23</v>
      </c>
      <c r="B89" t="s">
        <v>646</v>
      </c>
      <c r="C89" t="s">
        <v>647</v>
      </c>
      <c r="D89" t="s">
        <v>247</v>
      </c>
      <c r="E89" t="s">
        <v>44</v>
      </c>
      <c r="F89" t="s">
        <v>28</v>
      </c>
      <c r="G89" t="s">
        <v>45</v>
      </c>
      <c r="K89" t="s">
        <v>33</v>
      </c>
      <c r="O89">
        <v>539.88755899583634</v>
      </c>
      <c r="P89">
        <v>429.35</v>
      </c>
      <c r="Q89">
        <v>426.72800000000001</v>
      </c>
      <c r="R89" t="s">
        <v>125</v>
      </c>
      <c r="S89" t="s">
        <v>38</v>
      </c>
      <c r="T89" t="s">
        <v>38</v>
      </c>
      <c r="U89" t="s">
        <v>39</v>
      </c>
      <c r="W89" t="s">
        <v>40</v>
      </c>
    </row>
    <row r="90" spans="1:23" x14ac:dyDescent="0.3">
      <c r="A90" t="s">
        <v>23</v>
      </c>
      <c r="B90" t="s">
        <v>648</v>
      </c>
      <c r="C90" t="s">
        <v>649</v>
      </c>
      <c r="D90" t="s">
        <v>43</v>
      </c>
      <c r="E90" t="s">
        <v>44</v>
      </c>
      <c r="F90" t="s">
        <v>28</v>
      </c>
      <c r="G90" t="s">
        <v>45</v>
      </c>
      <c r="H90" t="s">
        <v>650</v>
      </c>
      <c r="I90" t="s">
        <v>249</v>
      </c>
      <c r="J90" t="s">
        <v>32</v>
      </c>
      <c r="K90" t="s">
        <v>33</v>
      </c>
      <c r="L90" t="s">
        <v>651</v>
      </c>
      <c r="M90" t="s">
        <v>652</v>
      </c>
      <c r="N90" t="s">
        <v>653</v>
      </c>
      <c r="O90">
        <v>2316.0950932053511</v>
      </c>
      <c r="P90">
        <v>1809.04</v>
      </c>
      <c r="Q90">
        <v>1809.8715999999999</v>
      </c>
      <c r="R90" t="s">
        <v>37</v>
      </c>
      <c r="S90" t="s">
        <v>38</v>
      </c>
      <c r="T90" t="s">
        <v>38</v>
      </c>
      <c r="U90" t="s">
        <v>39</v>
      </c>
      <c r="W90" t="s">
        <v>40</v>
      </c>
    </row>
    <row r="91" spans="1:23" x14ac:dyDescent="0.3">
      <c r="A91" t="s">
        <v>23</v>
      </c>
      <c r="B91" t="s">
        <v>654</v>
      </c>
      <c r="C91" t="s">
        <v>655</v>
      </c>
      <c r="D91" t="s">
        <v>656</v>
      </c>
      <c r="E91" t="s">
        <v>90</v>
      </c>
      <c r="F91" t="s">
        <v>91</v>
      </c>
      <c r="G91" t="s">
        <v>92</v>
      </c>
      <c r="H91" t="s">
        <v>657</v>
      </c>
      <c r="I91" t="s">
        <v>102</v>
      </c>
      <c r="J91" t="s">
        <v>32</v>
      </c>
      <c r="K91" t="s">
        <v>33</v>
      </c>
      <c r="L91" t="s">
        <v>658</v>
      </c>
      <c r="M91" t="s">
        <v>659</v>
      </c>
      <c r="N91" t="s">
        <v>660</v>
      </c>
      <c r="O91">
        <v>869.14706631449735</v>
      </c>
      <c r="P91">
        <v>393.4</v>
      </c>
      <c r="Q91">
        <v>388.69880000000001</v>
      </c>
      <c r="R91" t="s">
        <v>37</v>
      </c>
      <c r="S91" t="s">
        <v>51</v>
      </c>
      <c r="T91" t="s">
        <v>51</v>
      </c>
      <c r="U91" t="s">
        <v>143</v>
      </c>
      <c r="V91" t="s">
        <v>504</v>
      </c>
      <c r="W91" t="s">
        <v>40</v>
      </c>
    </row>
    <row r="92" spans="1:23" x14ac:dyDescent="0.3">
      <c r="A92" t="s">
        <v>23</v>
      </c>
      <c r="B92" t="s">
        <v>661</v>
      </c>
      <c r="C92" t="s">
        <v>662</v>
      </c>
      <c r="D92" t="s">
        <v>198</v>
      </c>
      <c r="E92" t="s">
        <v>90</v>
      </c>
      <c r="F92" t="s">
        <v>91</v>
      </c>
      <c r="G92" t="s">
        <v>92</v>
      </c>
      <c r="H92" t="s">
        <v>663</v>
      </c>
      <c r="I92" t="s">
        <v>102</v>
      </c>
      <c r="J92" t="s">
        <v>32</v>
      </c>
      <c r="K92" t="s">
        <v>33</v>
      </c>
      <c r="L92" t="s">
        <v>664</v>
      </c>
      <c r="M92" t="s">
        <v>665</v>
      </c>
      <c r="N92" t="s">
        <v>666</v>
      </c>
      <c r="O92">
        <v>40.573224582650298</v>
      </c>
      <c r="P92">
        <v>19.54</v>
      </c>
      <c r="Q92">
        <v>19.376000000000001</v>
      </c>
      <c r="R92" t="s">
        <v>37</v>
      </c>
      <c r="S92" t="s">
        <v>106</v>
      </c>
      <c r="T92" t="s">
        <v>106</v>
      </c>
      <c r="U92" t="s">
        <v>133</v>
      </c>
      <c r="V92" t="s">
        <v>108</v>
      </c>
      <c r="W92" t="s">
        <v>40</v>
      </c>
    </row>
    <row r="93" spans="1:23" x14ac:dyDescent="0.3">
      <c r="A93" t="s">
        <v>23</v>
      </c>
      <c r="B93" t="s">
        <v>667</v>
      </c>
      <c r="C93" t="s">
        <v>668</v>
      </c>
      <c r="D93" t="s">
        <v>175</v>
      </c>
      <c r="E93" t="s">
        <v>90</v>
      </c>
      <c r="F93" t="s">
        <v>91</v>
      </c>
      <c r="G93" t="s">
        <v>92</v>
      </c>
      <c r="H93" t="s">
        <v>669</v>
      </c>
      <c r="I93" t="s">
        <v>102</v>
      </c>
      <c r="J93" t="s">
        <v>32</v>
      </c>
      <c r="K93" t="s">
        <v>33</v>
      </c>
      <c r="L93" t="s">
        <v>670</v>
      </c>
      <c r="M93" t="s">
        <v>671</v>
      </c>
      <c r="N93" t="s">
        <v>672</v>
      </c>
      <c r="O93">
        <v>1268.1621137703371</v>
      </c>
      <c r="P93">
        <v>1250.47</v>
      </c>
      <c r="Q93">
        <v>1249.8432</v>
      </c>
      <c r="R93" t="s">
        <v>37</v>
      </c>
      <c r="S93" t="s">
        <v>38</v>
      </c>
      <c r="T93" t="s">
        <v>38</v>
      </c>
      <c r="U93" t="s">
        <v>39</v>
      </c>
      <c r="W93" t="s">
        <v>40</v>
      </c>
    </row>
    <row r="94" spans="1:23" x14ac:dyDescent="0.3">
      <c r="A94" t="s">
        <v>23</v>
      </c>
      <c r="B94" t="s">
        <v>673</v>
      </c>
      <c r="C94" t="s">
        <v>674</v>
      </c>
      <c r="D94" t="s">
        <v>310</v>
      </c>
      <c r="E94" t="s">
        <v>154</v>
      </c>
      <c r="F94" t="s">
        <v>59</v>
      </c>
      <c r="G94" t="s">
        <v>113</v>
      </c>
      <c r="H94" t="s">
        <v>675</v>
      </c>
      <c r="I94" t="s">
        <v>31</v>
      </c>
      <c r="J94" t="s">
        <v>32</v>
      </c>
      <c r="K94" t="s">
        <v>33</v>
      </c>
      <c r="L94" t="s">
        <v>676</v>
      </c>
      <c r="M94" t="s">
        <v>677</v>
      </c>
      <c r="N94" t="s">
        <v>678</v>
      </c>
      <c r="O94">
        <v>42273.573292670349</v>
      </c>
      <c r="P94">
        <v>39885.35</v>
      </c>
      <c r="Q94">
        <v>40004.131999999998</v>
      </c>
      <c r="R94" t="s">
        <v>75</v>
      </c>
      <c r="S94" t="s">
        <v>38</v>
      </c>
      <c r="T94" t="s">
        <v>38</v>
      </c>
      <c r="U94" t="s">
        <v>39</v>
      </c>
      <c r="W94" t="s">
        <v>40</v>
      </c>
    </row>
    <row r="95" spans="1:23" x14ac:dyDescent="0.3">
      <c r="A95" t="s">
        <v>23</v>
      </c>
      <c r="B95" t="s">
        <v>679</v>
      </c>
      <c r="C95" t="s">
        <v>680</v>
      </c>
      <c r="D95" t="s">
        <v>681</v>
      </c>
      <c r="E95" t="s">
        <v>44</v>
      </c>
      <c r="F95" t="s">
        <v>28</v>
      </c>
      <c r="G95" t="s">
        <v>137</v>
      </c>
      <c r="H95" t="s">
        <v>682</v>
      </c>
      <c r="I95" t="s">
        <v>62</v>
      </c>
      <c r="J95" t="s">
        <v>683</v>
      </c>
      <c r="K95" t="s">
        <v>33</v>
      </c>
      <c r="L95" t="s">
        <v>684</v>
      </c>
      <c r="M95" t="s">
        <v>685</v>
      </c>
      <c r="N95" t="s">
        <v>686</v>
      </c>
      <c r="O95">
        <v>762.44854750123181</v>
      </c>
      <c r="P95">
        <v>762.34</v>
      </c>
      <c r="Q95">
        <v>762.2912</v>
      </c>
      <c r="R95" t="s">
        <v>67</v>
      </c>
      <c r="S95" t="s">
        <v>38</v>
      </c>
      <c r="T95" t="s">
        <v>38</v>
      </c>
      <c r="U95" t="s">
        <v>39</v>
      </c>
      <c r="W95" t="s">
        <v>40</v>
      </c>
    </row>
    <row r="96" spans="1:23" x14ac:dyDescent="0.3">
      <c r="A96" t="s">
        <v>23</v>
      </c>
      <c r="B96" t="s">
        <v>687</v>
      </c>
      <c r="C96" t="s">
        <v>688</v>
      </c>
      <c r="D96" t="s">
        <v>205</v>
      </c>
      <c r="E96" t="s">
        <v>81</v>
      </c>
      <c r="F96" t="s">
        <v>59</v>
      </c>
      <c r="G96" t="s">
        <v>82</v>
      </c>
      <c r="H96" t="s">
        <v>689</v>
      </c>
      <c r="I96" t="s">
        <v>139</v>
      </c>
      <c r="J96" t="s">
        <v>32</v>
      </c>
      <c r="K96" t="s">
        <v>33</v>
      </c>
      <c r="L96" t="s">
        <v>690</v>
      </c>
      <c r="M96" t="s">
        <v>691</v>
      </c>
      <c r="N96" t="s">
        <v>692</v>
      </c>
      <c r="O96">
        <v>793.32415166656074</v>
      </c>
      <c r="P96">
        <v>772.52</v>
      </c>
      <c r="Q96">
        <v>769.28480000000002</v>
      </c>
      <c r="R96" t="s">
        <v>75</v>
      </c>
      <c r="S96" t="s">
        <v>38</v>
      </c>
      <c r="T96" t="s">
        <v>38</v>
      </c>
      <c r="U96" t="s">
        <v>39</v>
      </c>
      <c r="W96" t="s">
        <v>40</v>
      </c>
    </row>
    <row r="97" spans="1:23" x14ac:dyDescent="0.3">
      <c r="A97" t="s">
        <v>23</v>
      </c>
      <c r="B97" t="s">
        <v>693</v>
      </c>
      <c r="C97" t="s">
        <v>694</v>
      </c>
      <c r="D97" t="s">
        <v>695</v>
      </c>
      <c r="E97" t="s">
        <v>90</v>
      </c>
      <c r="F97" t="s">
        <v>91</v>
      </c>
      <c r="G97" t="s">
        <v>92</v>
      </c>
      <c r="H97" t="s">
        <v>696</v>
      </c>
      <c r="I97" t="s">
        <v>102</v>
      </c>
      <c r="J97" t="s">
        <v>32</v>
      </c>
      <c r="K97" t="s">
        <v>33</v>
      </c>
      <c r="L97" t="s">
        <v>697</v>
      </c>
      <c r="M97" t="s">
        <v>698</v>
      </c>
      <c r="N97" t="s">
        <v>699</v>
      </c>
      <c r="O97">
        <v>344.33047618806751</v>
      </c>
      <c r="P97">
        <v>293.60000000000002</v>
      </c>
      <c r="Q97">
        <v>292.82479999999998</v>
      </c>
      <c r="R97" t="s">
        <v>67</v>
      </c>
      <c r="S97" t="s">
        <v>51</v>
      </c>
      <c r="T97" t="s">
        <v>51</v>
      </c>
      <c r="U97" t="s">
        <v>143</v>
      </c>
      <c r="V97" t="s">
        <v>108</v>
      </c>
      <c r="W97" t="s">
        <v>40</v>
      </c>
    </row>
    <row r="98" spans="1:23" x14ac:dyDescent="0.3">
      <c r="A98" t="s">
        <v>23</v>
      </c>
      <c r="B98" t="s">
        <v>700</v>
      </c>
      <c r="C98" t="s">
        <v>701</v>
      </c>
      <c r="D98" t="s">
        <v>519</v>
      </c>
      <c r="E98" t="s">
        <v>81</v>
      </c>
      <c r="F98" t="s">
        <v>59</v>
      </c>
      <c r="G98" t="s">
        <v>82</v>
      </c>
      <c r="H98" t="s">
        <v>702</v>
      </c>
      <c r="I98" t="s">
        <v>102</v>
      </c>
      <c r="J98" t="s">
        <v>32</v>
      </c>
      <c r="K98" t="s">
        <v>33</v>
      </c>
      <c r="L98" t="s">
        <v>703</v>
      </c>
      <c r="M98" t="s">
        <v>704</v>
      </c>
      <c r="N98" t="s">
        <v>705</v>
      </c>
      <c r="O98">
        <v>2.855843510510073</v>
      </c>
      <c r="P98">
        <v>0.59</v>
      </c>
      <c r="Q98">
        <v>0.62360000000000004</v>
      </c>
      <c r="R98" t="s">
        <v>75</v>
      </c>
      <c r="S98" t="s">
        <v>106</v>
      </c>
      <c r="T98" t="s">
        <v>106</v>
      </c>
      <c r="U98" t="s">
        <v>133</v>
      </c>
      <c r="V98" t="s">
        <v>706</v>
      </c>
      <c r="W98" t="s">
        <v>40</v>
      </c>
    </row>
    <row r="99" spans="1:23" x14ac:dyDescent="0.3">
      <c r="A99" t="s">
        <v>23</v>
      </c>
      <c r="B99" t="s">
        <v>707</v>
      </c>
      <c r="C99" t="s">
        <v>708</v>
      </c>
      <c r="D99" t="s">
        <v>656</v>
      </c>
      <c r="E99" t="s">
        <v>90</v>
      </c>
      <c r="F99" t="s">
        <v>91</v>
      </c>
      <c r="G99" t="s">
        <v>92</v>
      </c>
      <c r="H99" t="s">
        <v>709</v>
      </c>
      <c r="I99" t="s">
        <v>102</v>
      </c>
      <c r="J99" t="s">
        <v>32</v>
      </c>
      <c r="K99" t="s">
        <v>33</v>
      </c>
      <c r="L99" t="s">
        <v>710</v>
      </c>
      <c r="M99" t="s">
        <v>711</v>
      </c>
      <c r="N99" t="s">
        <v>712</v>
      </c>
      <c r="O99">
        <v>186.75624065561789</v>
      </c>
      <c r="P99">
        <v>145.06</v>
      </c>
      <c r="Q99">
        <v>144.44640000000001</v>
      </c>
      <c r="R99" t="s">
        <v>37</v>
      </c>
      <c r="S99" t="s">
        <v>38</v>
      </c>
      <c r="T99" t="s">
        <v>38</v>
      </c>
      <c r="U99" t="s">
        <v>39</v>
      </c>
      <c r="W99" t="s">
        <v>40</v>
      </c>
    </row>
    <row r="100" spans="1:23" x14ac:dyDescent="0.3">
      <c r="A100" t="s">
        <v>23</v>
      </c>
      <c r="B100" t="s">
        <v>713</v>
      </c>
      <c r="C100" t="s">
        <v>714</v>
      </c>
      <c r="D100" t="s">
        <v>198</v>
      </c>
      <c r="E100" t="s">
        <v>90</v>
      </c>
      <c r="F100" t="s">
        <v>91</v>
      </c>
      <c r="G100" t="s">
        <v>92</v>
      </c>
      <c r="H100" t="s">
        <v>715</v>
      </c>
      <c r="I100" t="s">
        <v>102</v>
      </c>
      <c r="J100" t="s">
        <v>32</v>
      </c>
      <c r="K100" t="s">
        <v>33</v>
      </c>
      <c r="L100" t="s">
        <v>716</v>
      </c>
      <c r="M100" t="s">
        <v>717</v>
      </c>
      <c r="N100" t="s">
        <v>718</v>
      </c>
      <c r="O100">
        <v>16.932957451586539</v>
      </c>
      <c r="P100">
        <v>14.22</v>
      </c>
      <c r="Q100">
        <v>14.137600000000001</v>
      </c>
      <c r="R100" t="s">
        <v>67</v>
      </c>
      <c r="S100" t="s">
        <v>38</v>
      </c>
      <c r="T100" t="s">
        <v>38</v>
      </c>
      <c r="U100" t="s">
        <v>39</v>
      </c>
      <c r="W100" t="s">
        <v>40</v>
      </c>
    </row>
    <row r="101" spans="1:23" x14ac:dyDescent="0.3">
      <c r="A101" t="s">
        <v>23</v>
      </c>
      <c r="B101" t="s">
        <v>719</v>
      </c>
      <c r="C101" t="s">
        <v>720</v>
      </c>
      <c r="D101" t="s">
        <v>175</v>
      </c>
      <c r="E101" t="s">
        <v>90</v>
      </c>
      <c r="F101" t="s">
        <v>91</v>
      </c>
      <c r="G101" t="s">
        <v>92</v>
      </c>
      <c r="H101" t="s">
        <v>721</v>
      </c>
      <c r="I101" t="s">
        <v>102</v>
      </c>
      <c r="J101" t="s">
        <v>32</v>
      </c>
      <c r="K101" t="s">
        <v>33</v>
      </c>
      <c r="L101" t="s">
        <v>722</v>
      </c>
      <c r="M101" t="s">
        <v>723</v>
      </c>
      <c r="N101" t="s">
        <v>724</v>
      </c>
      <c r="O101">
        <v>2095.8522432573741</v>
      </c>
      <c r="P101">
        <v>1815.4</v>
      </c>
      <c r="Q101">
        <v>1809.9760000000001</v>
      </c>
      <c r="R101" t="s">
        <v>37</v>
      </c>
      <c r="S101" t="s">
        <v>38</v>
      </c>
      <c r="T101" t="s">
        <v>38</v>
      </c>
      <c r="U101" t="s">
        <v>39</v>
      </c>
      <c r="W101" t="s">
        <v>40</v>
      </c>
    </row>
    <row r="102" spans="1:23" x14ac:dyDescent="0.3">
      <c r="A102" t="s">
        <v>23</v>
      </c>
      <c r="B102" t="s">
        <v>725</v>
      </c>
      <c r="C102" t="s">
        <v>726</v>
      </c>
      <c r="D102" t="s">
        <v>198</v>
      </c>
      <c r="E102" t="s">
        <v>90</v>
      </c>
      <c r="F102" t="s">
        <v>91</v>
      </c>
      <c r="G102" t="s">
        <v>92</v>
      </c>
      <c r="H102" t="s">
        <v>727</v>
      </c>
      <c r="I102" t="s">
        <v>102</v>
      </c>
      <c r="J102" t="s">
        <v>32</v>
      </c>
      <c r="K102" t="s">
        <v>33</v>
      </c>
      <c r="L102" t="s">
        <v>728</v>
      </c>
      <c r="M102" t="s">
        <v>729</v>
      </c>
      <c r="N102" t="s">
        <v>730</v>
      </c>
      <c r="O102">
        <v>316.86263868420951</v>
      </c>
      <c r="P102">
        <v>206.36</v>
      </c>
      <c r="Q102">
        <v>203.67519999999999</v>
      </c>
      <c r="R102" t="s">
        <v>125</v>
      </c>
      <c r="S102" t="s">
        <v>51</v>
      </c>
      <c r="T102" t="s">
        <v>51</v>
      </c>
      <c r="U102" t="s">
        <v>143</v>
      </c>
      <c r="V102" t="s">
        <v>504</v>
      </c>
      <c r="W102" t="s">
        <v>40</v>
      </c>
    </row>
    <row r="103" spans="1:23" x14ac:dyDescent="0.3">
      <c r="A103" t="s">
        <v>23</v>
      </c>
      <c r="B103" t="s">
        <v>731</v>
      </c>
      <c r="C103" t="s">
        <v>732</v>
      </c>
      <c r="D103" t="s">
        <v>279</v>
      </c>
      <c r="E103" t="s">
        <v>90</v>
      </c>
      <c r="F103" t="s">
        <v>91</v>
      </c>
      <c r="G103" t="s">
        <v>92</v>
      </c>
      <c r="H103" t="s">
        <v>733</v>
      </c>
      <c r="I103" t="s">
        <v>121</v>
      </c>
      <c r="J103" t="s">
        <v>32</v>
      </c>
      <c r="K103" t="s">
        <v>33</v>
      </c>
      <c r="L103" t="s">
        <v>734</v>
      </c>
      <c r="M103" t="s">
        <v>735</v>
      </c>
      <c r="N103" t="s">
        <v>736</v>
      </c>
      <c r="O103">
        <v>1014.175111713079</v>
      </c>
      <c r="P103">
        <v>803.54</v>
      </c>
      <c r="Q103">
        <v>800.37360000000001</v>
      </c>
      <c r="R103" t="s">
        <v>37</v>
      </c>
      <c r="S103" t="s">
        <v>38</v>
      </c>
      <c r="T103" t="s">
        <v>38</v>
      </c>
      <c r="U103" t="s">
        <v>39</v>
      </c>
      <c r="W103" t="s">
        <v>40</v>
      </c>
    </row>
    <row r="104" spans="1:23" x14ac:dyDescent="0.3">
      <c r="A104" t="s">
        <v>23</v>
      </c>
      <c r="B104" t="s">
        <v>737</v>
      </c>
      <c r="C104" t="s">
        <v>738</v>
      </c>
      <c r="D104" t="s">
        <v>89</v>
      </c>
      <c r="E104" t="s">
        <v>90</v>
      </c>
      <c r="F104" t="s">
        <v>91</v>
      </c>
      <c r="G104" t="s">
        <v>92</v>
      </c>
      <c r="H104" t="s">
        <v>739</v>
      </c>
      <c r="I104" t="s">
        <v>102</v>
      </c>
      <c r="J104" t="s">
        <v>32</v>
      </c>
      <c r="K104" t="s">
        <v>33</v>
      </c>
      <c r="L104" t="s">
        <v>740</v>
      </c>
      <c r="M104" t="s">
        <v>741</v>
      </c>
      <c r="N104" t="s">
        <v>742</v>
      </c>
      <c r="O104">
        <v>151.68488740736129</v>
      </c>
      <c r="P104">
        <v>31.66</v>
      </c>
      <c r="Q104">
        <v>29.771599999999999</v>
      </c>
      <c r="R104" t="s">
        <v>37</v>
      </c>
      <c r="S104" t="s">
        <v>106</v>
      </c>
      <c r="T104" t="s">
        <v>106</v>
      </c>
      <c r="U104" t="s">
        <v>133</v>
      </c>
      <c r="V104" t="s">
        <v>53</v>
      </c>
      <c r="W104" t="s">
        <v>40</v>
      </c>
    </row>
    <row r="105" spans="1:23" x14ac:dyDescent="0.3">
      <c r="A105" t="s">
        <v>23</v>
      </c>
      <c r="B105" t="s">
        <v>743</v>
      </c>
      <c r="C105" t="s">
        <v>744</v>
      </c>
      <c r="D105" t="s">
        <v>198</v>
      </c>
      <c r="E105" t="s">
        <v>90</v>
      </c>
      <c r="F105" t="s">
        <v>91</v>
      </c>
      <c r="G105" t="s">
        <v>92</v>
      </c>
      <c r="H105" t="s">
        <v>745</v>
      </c>
      <c r="I105" t="s">
        <v>102</v>
      </c>
      <c r="J105" t="s">
        <v>32</v>
      </c>
      <c r="K105" t="s">
        <v>33</v>
      </c>
      <c r="L105" t="s">
        <v>746</v>
      </c>
      <c r="M105" t="s">
        <v>747</v>
      </c>
      <c r="N105" t="s">
        <v>748</v>
      </c>
      <c r="O105">
        <v>97.842866175727053</v>
      </c>
      <c r="P105">
        <v>91.65</v>
      </c>
      <c r="Q105">
        <v>91.305199999999999</v>
      </c>
      <c r="R105" t="s">
        <v>37</v>
      </c>
      <c r="S105" t="s">
        <v>38</v>
      </c>
      <c r="T105" t="s">
        <v>38</v>
      </c>
      <c r="U105" t="s">
        <v>39</v>
      </c>
      <c r="W105" t="s">
        <v>40</v>
      </c>
    </row>
    <row r="106" spans="1:23" x14ac:dyDescent="0.3">
      <c r="A106" t="s">
        <v>23</v>
      </c>
      <c r="B106" t="s">
        <v>749</v>
      </c>
      <c r="C106" t="s">
        <v>750</v>
      </c>
      <c r="D106" t="s">
        <v>191</v>
      </c>
      <c r="E106" t="s">
        <v>90</v>
      </c>
      <c r="F106" t="s">
        <v>91</v>
      </c>
      <c r="G106" t="s">
        <v>92</v>
      </c>
      <c r="H106" t="s">
        <v>751</v>
      </c>
      <c r="I106" t="s">
        <v>121</v>
      </c>
      <c r="J106" t="s">
        <v>32</v>
      </c>
      <c r="K106" t="s">
        <v>33</v>
      </c>
      <c r="L106" t="s">
        <v>752</v>
      </c>
      <c r="M106" t="s">
        <v>753</v>
      </c>
      <c r="N106" t="s">
        <v>754</v>
      </c>
      <c r="O106">
        <v>1236.5127645484349</v>
      </c>
      <c r="P106">
        <v>1200.54</v>
      </c>
      <c r="Q106">
        <v>1199.1568</v>
      </c>
      <c r="R106" t="s">
        <v>75</v>
      </c>
      <c r="S106" t="s">
        <v>38</v>
      </c>
      <c r="T106" t="s">
        <v>38</v>
      </c>
      <c r="U106" t="s">
        <v>39</v>
      </c>
      <c r="W106" t="s">
        <v>40</v>
      </c>
    </row>
    <row r="107" spans="1:23" x14ac:dyDescent="0.3">
      <c r="A107" t="s">
        <v>23</v>
      </c>
      <c r="B107" t="s">
        <v>755</v>
      </c>
      <c r="C107" t="s">
        <v>756</v>
      </c>
      <c r="D107" t="s">
        <v>89</v>
      </c>
      <c r="E107" t="s">
        <v>90</v>
      </c>
      <c r="F107" t="s">
        <v>91</v>
      </c>
      <c r="G107" t="s">
        <v>92</v>
      </c>
      <c r="H107" t="s">
        <v>757</v>
      </c>
      <c r="I107" t="s">
        <v>94</v>
      </c>
      <c r="J107" t="s">
        <v>32</v>
      </c>
      <c r="K107" t="s">
        <v>33</v>
      </c>
      <c r="L107" t="s">
        <v>758</v>
      </c>
      <c r="M107" t="s">
        <v>759</v>
      </c>
      <c r="N107" t="s">
        <v>760</v>
      </c>
      <c r="O107">
        <v>388.82149776524051</v>
      </c>
      <c r="P107">
        <v>388.46</v>
      </c>
      <c r="Q107">
        <v>388.29559999999998</v>
      </c>
      <c r="R107" t="s">
        <v>75</v>
      </c>
      <c r="S107" t="s">
        <v>38</v>
      </c>
      <c r="T107" t="s">
        <v>38</v>
      </c>
      <c r="U107" t="s">
        <v>39</v>
      </c>
      <c r="W107" t="s">
        <v>40</v>
      </c>
    </row>
    <row r="108" spans="1:23" x14ac:dyDescent="0.3">
      <c r="A108" t="s">
        <v>23</v>
      </c>
      <c r="B108" t="s">
        <v>761</v>
      </c>
      <c r="C108" t="s">
        <v>762</v>
      </c>
      <c r="D108" t="s">
        <v>198</v>
      </c>
      <c r="E108" t="s">
        <v>90</v>
      </c>
      <c r="F108" t="s">
        <v>91</v>
      </c>
      <c r="G108" t="s">
        <v>92</v>
      </c>
      <c r="H108" t="s">
        <v>763</v>
      </c>
      <c r="I108" t="s">
        <v>102</v>
      </c>
      <c r="J108" t="s">
        <v>32</v>
      </c>
      <c r="K108" t="s">
        <v>33</v>
      </c>
      <c r="L108" t="s">
        <v>764</v>
      </c>
      <c r="M108" t="s">
        <v>765</v>
      </c>
      <c r="N108" t="s">
        <v>766</v>
      </c>
      <c r="O108">
        <v>107.45951948521341</v>
      </c>
      <c r="P108">
        <v>100.8</v>
      </c>
      <c r="Q108">
        <v>100.306</v>
      </c>
      <c r="R108" t="s">
        <v>67</v>
      </c>
      <c r="S108" t="s">
        <v>38</v>
      </c>
      <c r="T108" t="s">
        <v>106</v>
      </c>
      <c r="U108" t="s">
        <v>767</v>
      </c>
      <c r="V108" t="s">
        <v>108</v>
      </c>
      <c r="W108" t="s">
        <v>54</v>
      </c>
    </row>
    <row r="109" spans="1:23" x14ac:dyDescent="0.3">
      <c r="A109" t="s">
        <v>23</v>
      </c>
      <c r="B109" t="s">
        <v>768</v>
      </c>
      <c r="C109" t="s">
        <v>769</v>
      </c>
      <c r="D109" t="s">
        <v>89</v>
      </c>
      <c r="E109" t="s">
        <v>90</v>
      </c>
      <c r="F109" t="s">
        <v>91</v>
      </c>
      <c r="G109" t="s">
        <v>92</v>
      </c>
      <c r="H109" t="s">
        <v>770</v>
      </c>
      <c r="I109" t="s">
        <v>139</v>
      </c>
      <c r="J109" t="s">
        <v>32</v>
      </c>
      <c r="K109" t="s">
        <v>33</v>
      </c>
      <c r="L109" t="s">
        <v>771</v>
      </c>
      <c r="M109" t="s">
        <v>772</v>
      </c>
      <c r="N109" t="s">
        <v>773</v>
      </c>
      <c r="O109">
        <v>118.72048685734531</v>
      </c>
      <c r="P109">
        <v>118.67</v>
      </c>
      <c r="Q109">
        <v>118.6628</v>
      </c>
      <c r="R109" t="s">
        <v>67</v>
      </c>
      <c r="S109" t="s">
        <v>38</v>
      </c>
      <c r="T109" t="s">
        <v>38</v>
      </c>
      <c r="U109" t="s">
        <v>39</v>
      </c>
      <c r="W109" t="s">
        <v>40</v>
      </c>
    </row>
    <row r="110" spans="1:23" x14ac:dyDescent="0.3">
      <c r="A110" t="s">
        <v>23</v>
      </c>
      <c r="B110" t="s">
        <v>774</v>
      </c>
      <c r="C110" t="s">
        <v>775</v>
      </c>
      <c r="D110" t="s">
        <v>198</v>
      </c>
      <c r="E110" t="s">
        <v>90</v>
      </c>
      <c r="F110" t="s">
        <v>91</v>
      </c>
      <c r="G110" t="s">
        <v>92</v>
      </c>
      <c r="H110" t="s">
        <v>776</v>
      </c>
      <c r="I110" t="s">
        <v>102</v>
      </c>
      <c r="J110" t="s">
        <v>32</v>
      </c>
      <c r="K110" t="s">
        <v>33</v>
      </c>
      <c r="L110" t="s">
        <v>777</v>
      </c>
      <c r="M110" t="s">
        <v>778</v>
      </c>
      <c r="N110" t="s">
        <v>779</v>
      </c>
      <c r="O110">
        <v>97.686239901259242</v>
      </c>
      <c r="P110">
        <v>43.99</v>
      </c>
      <c r="Q110">
        <v>43.4236</v>
      </c>
      <c r="R110" t="s">
        <v>37</v>
      </c>
      <c r="S110" t="s">
        <v>106</v>
      </c>
      <c r="T110" t="s">
        <v>106</v>
      </c>
      <c r="U110" t="s">
        <v>133</v>
      </c>
      <c r="V110" t="s">
        <v>108</v>
      </c>
      <c r="W110" t="s">
        <v>40</v>
      </c>
    </row>
    <row r="111" spans="1:23" x14ac:dyDescent="0.3">
      <c r="A111" t="s">
        <v>23</v>
      </c>
      <c r="B111" t="s">
        <v>780</v>
      </c>
      <c r="C111" t="s">
        <v>781</v>
      </c>
      <c r="D111" t="s">
        <v>279</v>
      </c>
      <c r="E111" t="s">
        <v>90</v>
      </c>
      <c r="F111" t="s">
        <v>91</v>
      </c>
      <c r="G111" t="s">
        <v>92</v>
      </c>
      <c r="H111" t="s">
        <v>782</v>
      </c>
      <c r="I111" t="s">
        <v>102</v>
      </c>
      <c r="J111" t="s">
        <v>32</v>
      </c>
      <c r="K111" t="s">
        <v>33</v>
      </c>
      <c r="L111" t="s">
        <v>783</v>
      </c>
      <c r="M111" t="s">
        <v>784</v>
      </c>
      <c r="N111" t="s">
        <v>785</v>
      </c>
      <c r="O111">
        <v>180.0534870775536</v>
      </c>
      <c r="P111">
        <v>54.49</v>
      </c>
      <c r="Q111">
        <v>52.908799999999999</v>
      </c>
      <c r="R111" t="s">
        <v>37</v>
      </c>
      <c r="S111" t="s">
        <v>106</v>
      </c>
      <c r="T111" t="s">
        <v>106</v>
      </c>
      <c r="U111" t="s">
        <v>133</v>
      </c>
      <c r="V111" t="s">
        <v>53</v>
      </c>
      <c r="W111" t="s">
        <v>40</v>
      </c>
    </row>
    <row r="112" spans="1:23" x14ac:dyDescent="0.3">
      <c r="A112" t="s">
        <v>23</v>
      </c>
      <c r="B112" t="s">
        <v>786</v>
      </c>
      <c r="C112" t="s">
        <v>787</v>
      </c>
      <c r="D112" t="s">
        <v>175</v>
      </c>
      <c r="E112" t="s">
        <v>90</v>
      </c>
      <c r="F112" t="s">
        <v>91</v>
      </c>
      <c r="G112" t="s">
        <v>92</v>
      </c>
      <c r="H112" t="s">
        <v>788</v>
      </c>
      <c r="I112" t="s">
        <v>102</v>
      </c>
      <c r="J112" t="s">
        <v>32</v>
      </c>
      <c r="K112" t="s">
        <v>33</v>
      </c>
      <c r="L112" t="s">
        <v>789</v>
      </c>
      <c r="M112" t="s">
        <v>790</v>
      </c>
      <c r="N112" t="s">
        <v>791</v>
      </c>
      <c r="O112">
        <v>75.133847692828184</v>
      </c>
      <c r="P112">
        <v>63.92</v>
      </c>
      <c r="Q112">
        <v>63.683199999999999</v>
      </c>
      <c r="R112" t="s">
        <v>37</v>
      </c>
      <c r="S112" t="s">
        <v>38</v>
      </c>
      <c r="T112" t="s">
        <v>38</v>
      </c>
      <c r="U112" t="s">
        <v>39</v>
      </c>
      <c r="W112" t="s">
        <v>40</v>
      </c>
    </row>
    <row r="113" spans="1:23" x14ac:dyDescent="0.3">
      <c r="A113" t="s">
        <v>23</v>
      </c>
      <c r="B113" t="s">
        <v>792</v>
      </c>
      <c r="C113" t="s">
        <v>793</v>
      </c>
      <c r="D113" t="s">
        <v>198</v>
      </c>
      <c r="E113" t="s">
        <v>90</v>
      </c>
      <c r="F113" t="s">
        <v>91</v>
      </c>
      <c r="G113" t="s">
        <v>92</v>
      </c>
      <c r="H113" t="s">
        <v>794</v>
      </c>
      <c r="I113" t="s">
        <v>102</v>
      </c>
      <c r="J113" t="s">
        <v>32</v>
      </c>
      <c r="K113" t="s">
        <v>33</v>
      </c>
      <c r="L113" t="s">
        <v>795</v>
      </c>
      <c r="M113" t="s">
        <v>796</v>
      </c>
      <c r="N113" t="s">
        <v>797</v>
      </c>
      <c r="O113">
        <v>84.001564392002578</v>
      </c>
      <c r="P113">
        <v>36.64</v>
      </c>
      <c r="Q113">
        <v>35.829599999999999</v>
      </c>
      <c r="R113" t="s">
        <v>125</v>
      </c>
      <c r="S113" t="s">
        <v>106</v>
      </c>
      <c r="T113" t="s">
        <v>106</v>
      </c>
      <c r="U113" t="s">
        <v>133</v>
      </c>
      <c r="V113" t="s">
        <v>798</v>
      </c>
      <c r="W113" t="s">
        <v>40</v>
      </c>
    </row>
    <row r="114" spans="1:23" x14ac:dyDescent="0.3">
      <c r="A114" t="s">
        <v>23</v>
      </c>
      <c r="B114" t="s">
        <v>799</v>
      </c>
      <c r="C114" t="s">
        <v>800</v>
      </c>
      <c r="D114" t="s">
        <v>279</v>
      </c>
      <c r="E114" t="s">
        <v>90</v>
      </c>
      <c r="F114" t="s">
        <v>91</v>
      </c>
      <c r="G114" t="s">
        <v>92</v>
      </c>
      <c r="H114" t="s">
        <v>801</v>
      </c>
      <c r="I114" t="s">
        <v>102</v>
      </c>
      <c r="J114" t="s">
        <v>32</v>
      </c>
      <c r="K114" t="s">
        <v>33</v>
      </c>
      <c r="L114" t="s">
        <v>802</v>
      </c>
      <c r="M114" t="s">
        <v>803</v>
      </c>
      <c r="N114" t="s">
        <v>804</v>
      </c>
      <c r="O114">
        <v>428.00143564249271</v>
      </c>
      <c r="P114">
        <v>201.72</v>
      </c>
      <c r="Q114">
        <v>198.90799999999999</v>
      </c>
      <c r="R114" t="s">
        <v>125</v>
      </c>
      <c r="S114" t="s">
        <v>106</v>
      </c>
      <c r="T114" t="s">
        <v>106</v>
      </c>
      <c r="U114" t="s">
        <v>133</v>
      </c>
      <c r="V114" t="s">
        <v>53</v>
      </c>
      <c r="W114" t="s">
        <v>40</v>
      </c>
    </row>
    <row r="115" spans="1:23" x14ac:dyDescent="0.3">
      <c r="A115" t="s">
        <v>23</v>
      </c>
      <c r="B115" t="s">
        <v>805</v>
      </c>
      <c r="C115" t="s">
        <v>806</v>
      </c>
      <c r="D115" t="s">
        <v>89</v>
      </c>
      <c r="E115" t="s">
        <v>90</v>
      </c>
      <c r="F115" t="s">
        <v>91</v>
      </c>
      <c r="G115" t="s">
        <v>92</v>
      </c>
      <c r="H115" t="s">
        <v>807</v>
      </c>
      <c r="I115" t="s">
        <v>94</v>
      </c>
      <c r="J115" t="s">
        <v>32</v>
      </c>
      <c r="K115" t="s">
        <v>33</v>
      </c>
      <c r="L115" t="s">
        <v>808</v>
      </c>
      <c r="M115" t="s">
        <v>809</v>
      </c>
      <c r="N115" t="s">
        <v>810</v>
      </c>
      <c r="O115">
        <v>563.62420948790441</v>
      </c>
      <c r="P115">
        <v>250.17</v>
      </c>
      <c r="Q115">
        <v>243.7328</v>
      </c>
      <c r="R115" t="s">
        <v>37</v>
      </c>
      <c r="S115" t="s">
        <v>51</v>
      </c>
      <c r="T115" t="s">
        <v>51</v>
      </c>
      <c r="U115" t="s">
        <v>143</v>
      </c>
      <c r="V115" t="s">
        <v>811</v>
      </c>
      <c r="W115" t="s">
        <v>40</v>
      </c>
    </row>
    <row r="116" spans="1:23" x14ac:dyDescent="0.3">
      <c r="A116" t="s">
        <v>23</v>
      </c>
      <c r="B116" t="s">
        <v>812</v>
      </c>
      <c r="C116" t="s">
        <v>813</v>
      </c>
      <c r="D116" t="s">
        <v>198</v>
      </c>
      <c r="E116" t="s">
        <v>90</v>
      </c>
      <c r="F116" t="s">
        <v>91</v>
      </c>
      <c r="G116" t="s">
        <v>92</v>
      </c>
      <c r="H116" t="s">
        <v>814</v>
      </c>
      <c r="I116" t="s">
        <v>102</v>
      </c>
      <c r="J116" t="s">
        <v>32</v>
      </c>
      <c r="K116" t="s">
        <v>33</v>
      </c>
      <c r="L116" t="s">
        <v>815</v>
      </c>
      <c r="M116" t="s">
        <v>816</v>
      </c>
      <c r="N116" t="s">
        <v>817</v>
      </c>
      <c r="O116">
        <v>12.627087710984959</v>
      </c>
      <c r="P116">
        <v>5.59</v>
      </c>
      <c r="Q116">
        <v>5.3592000000000004</v>
      </c>
      <c r="R116" t="s">
        <v>67</v>
      </c>
      <c r="S116" t="s">
        <v>76</v>
      </c>
      <c r="T116" t="s">
        <v>106</v>
      </c>
      <c r="U116" t="s">
        <v>107</v>
      </c>
      <c r="V116" t="s">
        <v>706</v>
      </c>
      <c r="W116" t="s">
        <v>54</v>
      </c>
    </row>
    <row r="117" spans="1:23" x14ac:dyDescent="0.3">
      <c r="A117" t="s">
        <v>23</v>
      </c>
      <c r="B117" t="s">
        <v>818</v>
      </c>
      <c r="C117" t="s">
        <v>819</v>
      </c>
      <c r="D117" t="s">
        <v>198</v>
      </c>
      <c r="E117" t="s">
        <v>90</v>
      </c>
      <c r="F117" t="s">
        <v>91</v>
      </c>
      <c r="G117" t="s">
        <v>92</v>
      </c>
      <c r="H117" t="s">
        <v>820</v>
      </c>
      <c r="I117" t="s">
        <v>102</v>
      </c>
      <c r="J117" t="s">
        <v>32</v>
      </c>
      <c r="K117" t="s">
        <v>33</v>
      </c>
      <c r="L117" t="s">
        <v>821</v>
      </c>
      <c r="M117" t="s">
        <v>822</v>
      </c>
      <c r="N117" t="s">
        <v>823</v>
      </c>
      <c r="O117">
        <v>266.61991460000093</v>
      </c>
      <c r="P117">
        <v>149.78</v>
      </c>
      <c r="Q117">
        <v>148.1284</v>
      </c>
      <c r="R117" t="s">
        <v>37</v>
      </c>
      <c r="S117" t="s">
        <v>106</v>
      </c>
      <c r="T117" t="s">
        <v>106</v>
      </c>
      <c r="U117" t="s">
        <v>133</v>
      </c>
      <c r="V117" t="s">
        <v>108</v>
      </c>
      <c r="W117" t="s">
        <v>40</v>
      </c>
    </row>
    <row r="118" spans="1:23" x14ac:dyDescent="0.3">
      <c r="A118" t="s">
        <v>23</v>
      </c>
      <c r="B118" t="s">
        <v>824</v>
      </c>
      <c r="C118" t="s">
        <v>825</v>
      </c>
      <c r="D118" t="s">
        <v>279</v>
      </c>
      <c r="E118" t="s">
        <v>90</v>
      </c>
      <c r="F118" t="s">
        <v>91</v>
      </c>
      <c r="G118" t="s">
        <v>92</v>
      </c>
      <c r="H118" t="s">
        <v>826</v>
      </c>
      <c r="I118" t="s">
        <v>102</v>
      </c>
      <c r="J118" t="s">
        <v>32</v>
      </c>
      <c r="K118" t="s">
        <v>33</v>
      </c>
      <c r="L118" t="s">
        <v>827</v>
      </c>
      <c r="M118" t="s">
        <v>828</v>
      </c>
      <c r="N118" t="s">
        <v>829</v>
      </c>
      <c r="O118">
        <v>37.522505622037222</v>
      </c>
      <c r="P118">
        <v>37.49</v>
      </c>
      <c r="Q118">
        <v>37.485999999999997</v>
      </c>
      <c r="R118" t="s">
        <v>67</v>
      </c>
      <c r="S118" t="s">
        <v>38</v>
      </c>
      <c r="T118" t="s">
        <v>38</v>
      </c>
      <c r="U118" t="s">
        <v>39</v>
      </c>
      <c r="W118" t="s">
        <v>40</v>
      </c>
    </row>
    <row r="119" spans="1:23" x14ac:dyDescent="0.3">
      <c r="A119" t="s">
        <v>23</v>
      </c>
      <c r="B119" t="s">
        <v>830</v>
      </c>
      <c r="C119" t="s">
        <v>831</v>
      </c>
      <c r="D119" t="s">
        <v>168</v>
      </c>
      <c r="E119" t="s">
        <v>154</v>
      </c>
      <c r="F119" t="s">
        <v>59</v>
      </c>
      <c r="G119" t="s">
        <v>113</v>
      </c>
      <c r="H119" t="s">
        <v>832</v>
      </c>
      <c r="I119" t="s">
        <v>62</v>
      </c>
      <c r="J119" t="s">
        <v>32</v>
      </c>
      <c r="K119" t="s">
        <v>33</v>
      </c>
      <c r="M119" t="s">
        <v>833</v>
      </c>
      <c r="N119" t="s">
        <v>834</v>
      </c>
      <c r="O119">
        <v>2677.147083987189</v>
      </c>
      <c r="P119">
        <v>2672.98</v>
      </c>
      <c r="Q119">
        <v>2670.2676000000001</v>
      </c>
      <c r="R119" t="s">
        <v>75</v>
      </c>
      <c r="S119" t="s">
        <v>38</v>
      </c>
      <c r="T119" t="s">
        <v>38</v>
      </c>
      <c r="U119" t="s">
        <v>39</v>
      </c>
      <c r="W119" t="s">
        <v>40</v>
      </c>
    </row>
    <row r="120" spans="1:23" x14ac:dyDescent="0.3">
      <c r="A120" t="s">
        <v>23</v>
      </c>
      <c r="B120" t="s">
        <v>835</v>
      </c>
      <c r="C120" t="s">
        <v>836</v>
      </c>
      <c r="D120" t="s">
        <v>175</v>
      </c>
      <c r="E120" t="s">
        <v>90</v>
      </c>
      <c r="F120" t="s">
        <v>91</v>
      </c>
      <c r="G120" t="s">
        <v>92</v>
      </c>
      <c r="H120" t="s">
        <v>837</v>
      </c>
      <c r="I120" t="s">
        <v>94</v>
      </c>
      <c r="J120" t="s">
        <v>32</v>
      </c>
      <c r="K120" t="s">
        <v>33</v>
      </c>
      <c r="L120" t="s">
        <v>838</v>
      </c>
      <c r="M120" t="s">
        <v>839</v>
      </c>
      <c r="N120" t="s">
        <v>840</v>
      </c>
      <c r="O120">
        <v>276.39330600037812</v>
      </c>
      <c r="P120">
        <v>264.87</v>
      </c>
      <c r="Q120">
        <v>264.25599999999997</v>
      </c>
      <c r="R120" t="s">
        <v>37</v>
      </c>
      <c r="S120" t="s">
        <v>38</v>
      </c>
      <c r="T120" t="s">
        <v>38</v>
      </c>
      <c r="U120" t="s">
        <v>39</v>
      </c>
      <c r="W120" t="s">
        <v>40</v>
      </c>
    </row>
    <row r="121" spans="1:23" x14ac:dyDescent="0.3">
      <c r="A121" t="s">
        <v>23</v>
      </c>
      <c r="B121" t="s">
        <v>841</v>
      </c>
      <c r="C121" t="s">
        <v>842</v>
      </c>
      <c r="D121" t="s">
        <v>89</v>
      </c>
      <c r="E121" t="s">
        <v>90</v>
      </c>
      <c r="F121" t="s">
        <v>91</v>
      </c>
      <c r="G121" t="s">
        <v>92</v>
      </c>
      <c r="H121" t="s">
        <v>843</v>
      </c>
      <c r="I121" t="s">
        <v>94</v>
      </c>
      <c r="J121" t="s">
        <v>32</v>
      </c>
      <c r="K121" t="s">
        <v>33</v>
      </c>
      <c r="L121" t="s">
        <v>844</v>
      </c>
      <c r="M121" t="s">
        <v>845</v>
      </c>
      <c r="N121" t="s">
        <v>846</v>
      </c>
      <c r="O121">
        <v>207.13159403276771</v>
      </c>
      <c r="P121">
        <v>65.67</v>
      </c>
      <c r="Q121">
        <v>64.186400000000006</v>
      </c>
      <c r="R121" t="s">
        <v>75</v>
      </c>
      <c r="S121" t="s">
        <v>51</v>
      </c>
      <c r="T121" t="s">
        <v>51</v>
      </c>
      <c r="U121" t="s">
        <v>143</v>
      </c>
      <c r="V121" t="s">
        <v>53</v>
      </c>
      <c r="W121" t="s">
        <v>40</v>
      </c>
    </row>
    <row r="122" spans="1:23" x14ac:dyDescent="0.3">
      <c r="A122" t="s">
        <v>23</v>
      </c>
      <c r="B122" t="s">
        <v>847</v>
      </c>
      <c r="C122" t="s">
        <v>848</v>
      </c>
      <c r="D122" t="s">
        <v>89</v>
      </c>
      <c r="E122" t="s">
        <v>90</v>
      </c>
      <c r="F122" t="s">
        <v>91</v>
      </c>
      <c r="G122" t="s">
        <v>92</v>
      </c>
      <c r="H122" t="s">
        <v>849</v>
      </c>
      <c r="I122" t="s">
        <v>94</v>
      </c>
      <c r="J122" t="s">
        <v>32</v>
      </c>
      <c r="K122" t="s">
        <v>33</v>
      </c>
      <c r="L122" t="s">
        <v>844</v>
      </c>
      <c r="M122" t="s">
        <v>850</v>
      </c>
      <c r="N122" t="s">
        <v>851</v>
      </c>
      <c r="O122">
        <v>1347.798468705708</v>
      </c>
      <c r="P122">
        <v>1108.5899999999999</v>
      </c>
      <c r="Q122">
        <v>1104.1063999999999</v>
      </c>
      <c r="R122" t="s">
        <v>37</v>
      </c>
      <c r="S122" t="s">
        <v>38</v>
      </c>
      <c r="T122" t="s">
        <v>38</v>
      </c>
      <c r="U122" t="s">
        <v>39</v>
      </c>
      <c r="W122" t="s">
        <v>40</v>
      </c>
    </row>
    <row r="123" spans="1:23" x14ac:dyDescent="0.3">
      <c r="A123" t="s">
        <v>23</v>
      </c>
      <c r="B123" t="s">
        <v>852</v>
      </c>
      <c r="C123" t="s">
        <v>853</v>
      </c>
      <c r="D123" t="s">
        <v>247</v>
      </c>
      <c r="E123" t="s">
        <v>44</v>
      </c>
      <c r="F123" t="s">
        <v>28</v>
      </c>
      <c r="G123" t="s">
        <v>45</v>
      </c>
      <c r="H123" t="s">
        <v>854</v>
      </c>
      <c r="I123" t="s">
        <v>241</v>
      </c>
      <c r="J123" t="s">
        <v>185</v>
      </c>
      <c r="K123" t="s">
        <v>33</v>
      </c>
      <c r="L123" t="s">
        <v>855</v>
      </c>
      <c r="M123" t="s">
        <v>856</v>
      </c>
      <c r="N123" t="s">
        <v>857</v>
      </c>
      <c r="O123">
        <v>464.25934263182398</v>
      </c>
      <c r="P123">
        <v>369.15</v>
      </c>
      <c r="Q123">
        <v>368.40800000000002</v>
      </c>
      <c r="R123" t="s">
        <v>125</v>
      </c>
      <c r="S123" t="s">
        <v>38</v>
      </c>
      <c r="T123" t="s">
        <v>38</v>
      </c>
      <c r="U123" t="s">
        <v>39</v>
      </c>
      <c r="W123" t="s">
        <v>40</v>
      </c>
    </row>
    <row r="124" spans="1:23" x14ac:dyDescent="0.3">
      <c r="A124" t="s">
        <v>23</v>
      </c>
      <c r="B124" t="s">
        <v>858</v>
      </c>
      <c r="C124" t="s">
        <v>859</v>
      </c>
      <c r="D124" t="s">
        <v>80</v>
      </c>
      <c r="E124" t="s">
        <v>81</v>
      </c>
      <c r="F124" t="s">
        <v>28</v>
      </c>
      <c r="G124" t="s">
        <v>29</v>
      </c>
      <c r="H124" t="s">
        <v>860</v>
      </c>
      <c r="I124" t="s">
        <v>62</v>
      </c>
      <c r="J124" t="s">
        <v>32</v>
      </c>
      <c r="K124" t="s">
        <v>33</v>
      </c>
      <c r="L124" t="s">
        <v>861</v>
      </c>
      <c r="M124" t="s">
        <v>862</v>
      </c>
      <c r="N124" t="s">
        <v>863</v>
      </c>
      <c r="O124">
        <v>286.97276470632778</v>
      </c>
      <c r="P124">
        <v>286.97000000000003</v>
      </c>
      <c r="Q124">
        <v>286.69119999999998</v>
      </c>
      <c r="R124" t="s">
        <v>67</v>
      </c>
      <c r="S124" t="s">
        <v>38</v>
      </c>
      <c r="T124" t="s">
        <v>38</v>
      </c>
      <c r="U124" t="s">
        <v>39</v>
      </c>
      <c r="W124" t="s">
        <v>40</v>
      </c>
    </row>
    <row r="125" spans="1:23" x14ac:dyDescent="0.3">
      <c r="A125" t="s">
        <v>23</v>
      </c>
      <c r="B125" t="s">
        <v>864</v>
      </c>
      <c r="C125" t="s">
        <v>865</v>
      </c>
      <c r="D125" t="s">
        <v>239</v>
      </c>
      <c r="E125" t="s">
        <v>27</v>
      </c>
      <c r="F125" t="s">
        <v>28</v>
      </c>
      <c r="G125" t="s">
        <v>29</v>
      </c>
      <c r="H125" t="s">
        <v>866</v>
      </c>
      <c r="I125" t="s">
        <v>257</v>
      </c>
      <c r="J125" t="s">
        <v>32</v>
      </c>
      <c r="K125" t="s">
        <v>33</v>
      </c>
      <c r="L125" t="s">
        <v>867</v>
      </c>
      <c r="M125" t="s">
        <v>868</v>
      </c>
      <c r="N125" t="s">
        <v>869</v>
      </c>
      <c r="O125">
        <v>1093.189288068425</v>
      </c>
      <c r="P125">
        <v>196.6</v>
      </c>
      <c r="Q125">
        <v>183.07480000000001</v>
      </c>
      <c r="R125" t="s">
        <v>37</v>
      </c>
      <c r="S125" t="s">
        <v>106</v>
      </c>
      <c r="T125" t="s">
        <v>106</v>
      </c>
      <c r="U125" t="s">
        <v>133</v>
      </c>
      <c r="V125" t="s">
        <v>53</v>
      </c>
      <c r="W125" t="s">
        <v>40</v>
      </c>
    </row>
    <row r="126" spans="1:23" x14ac:dyDescent="0.3">
      <c r="A126" t="s">
        <v>23</v>
      </c>
      <c r="B126" t="s">
        <v>870</v>
      </c>
      <c r="C126" t="s">
        <v>871</v>
      </c>
      <c r="D126" t="s">
        <v>872</v>
      </c>
      <c r="E126" t="s">
        <v>873</v>
      </c>
      <c r="F126" t="s">
        <v>28</v>
      </c>
      <c r="G126" t="s">
        <v>45</v>
      </c>
      <c r="H126" t="s">
        <v>874</v>
      </c>
      <c r="I126" t="s">
        <v>147</v>
      </c>
      <c r="J126" t="s">
        <v>250</v>
      </c>
      <c r="K126" t="s">
        <v>33</v>
      </c>
      <c r="M126" t="s">
        <v>816</v>
      </c>
      <c r="N126" t="s">
        <v>875</v>
      </c>
      <c r="O126">
        <v>265.34321229914201</v>
      </c>
      <c r="P126">
        <v>244.51</v>
      </c>
      <c r="Q126">
        <v>244.07</v>
      </c>
      <c r="R126" t="s">
        <v>67</v>
      </c>
      <c r="S126" t="s">
        <v>38</v>
      </c>
      <c r="T126" t="s">
        <v>38</v>
      </c>
      <c r="U126" t="s">
        <v>39</v>
      </c>
      <c r="W126" t="s">
        <v>40</v>
      </c>
    </row>
    <row r="127" spans="1:23" x14ac:dyDescent="0.3">
      <c r="A127" t="s">
        <v>23</v>
      </c>
      <c r="B127" t="s">
        <v>876</v>
      </c>
      <c r="C127" t="s">
        <v>877</v>
      </c>
      <c r="D127" t="s">
        <v>239</v>
      </c>
      <c r="E127" t="s">
        <v>27</v>
      </c>
      <c r="F127" t="s">
        <v>28</v>
      </c>
      <c r="G127" t="s">
        <v>29</v>
      </c>
      <c r="H127" t="s">
        <v>878</v>
      </c>
      <c r="I127" t="s">
        <v>395</v>
      </c>
      <c r="J127" t="s">
        <v>185</v>
      </c>
      <c r="K127" t="s">
        <v>33</v>
      </c>
      <c r="L127" t="s">
        <v>879</v>
      </c>
      <c r="M127" t="s">
        <v>880</v>
      </c>
      <c r="N127" t="s">
        <v>881</v>
      </c>
      <c r="O127">
        <v>6124.0567902125704</v>
      </c>
      <c r="P127">
        <v>5385.12</v>
      </c>
      <c r="Q127">
        <v>5329.0375999999997</v>
      </c>
      <c r="R127" t="s">
        <v>37</v>
      </c>
      <c r="S127" t="s">
        <v>51</v>
      </c>
      <c r="T127" t="s">
        <v>51</v>
      </c>
      <c r="U127" t="s">
        <v>143</v>
      </c>
      <c r="V127" t="s">
        <v>53</v>
      </c>
      <c r="W127" t="s">
        <v>40</v>
      </c>
    </row>
    <row r="128" spans="1:23" x14ac:dyDescent="0.3">
      <c r="A128" t="s">
        <v>23</v>
      </c>
      <c r="B128" t="s">
        <v>882</v>
      </c>
      <c r="C128" t="s">
        <v>883</v>
      </c>
      <c r="D128" t="s">
        <v>43</v>
      </c>
      <c r="E128" t="s">
        <v>44</v>
      </c>
      <c r="F128" t="s">
        <v>28</v>
      </c>
      <c r="G128" t="s">
        <v>137</v>
      </c>
      <c r="H128" t="s">
        <v>884</v>
      </c>
      <c r="I128" t="s">
        <v>47</v>
      </c>
      <c r="J128" t="s">
        <v>32</v>
      </c>
      <c r="K128" t="s">
        <v>33</v>
      </c>
      <c r="L128" t="s">
        <v>885</v>
      </c>
      <c r="M128" t="s">
        <v>886</v>
      </c>
      <c r="N128" t="s">
        <v>887</v>
      </c>
      <c r="O128">
        <v>10110.90760390596</v>
      </c>
      <c r="P128">
        <v>6367.8</v>
      </c>
      <c r="Q128">
        <v>6219.6940000000004</v>
      </c>
      <c r="R128" t="s">
        <v>37</v>
      </c>
      <c r="S128" t="s">
        <v>38</v>
      </c>
      <c r="T128" t="s">
        <v>51</v>
      </c>
      <c r="U128" t="s">
        <v>52</v>
      </c>
      <c r="V128" t="s">
        <v>53</v>
      </c>
      <c r="W128" t="s">
        <v>54</v>
      </c>
    </row>
    <row r="129" spans="1:23" x14ac:dyDescent="0.3">
      <c r="A129" t="s">
        <v>23</v>
      </c>
      <c r="B129" t="s">
        <v>888</v>
      </c>
      <c r="C129" t="s">
        <v>889</v>
      </c>
      <c r="D129" t="s">
        <v>872</v>
      </c>
      <c r="E129" t="s">
        <v>873</v>
      </c>
      <c r="F129" t="s">
        <v>890</v>
      </c>
      <c r="G129" t="s">
        <v>891</v>
      </c>
      <c r="H129" t="s">
        <v>892</v>
      </c>
      <c r="I129" t="s">
        <v>249</v>
      </c>
      <c r="J129" t="s">
        <v>185</v>
      </c>
      <c r="K129" t="s">
        <v>33</v>
      </c>
      <c r="M129" t="s">
        <v>816</v>
      </c>
      <c r="N129" t="s">
        <v>893</v>
      </c>
      <c r="O129">
        <v>378.95369934371098</v>
      </c>
      <c r="P129">
        <v>289.32</v>
      </c>
      <c r="Q129">
        <v>288.714</v>
      </c>
      <c r="R129" t="s">
        <v>67</v>
      </c>
      <c r="S129" t="s">
        <v>38</v>
      </c>
      <c r="T129" t="s">
        <v>38</v>
      </c>
      <c r="U129" t="s">
        <v>39</v>
      </c>
      <c r="W129" t="s">
        <v>40</v>
      </c>
    </row>
    <row r="130" spans="1:23" x14ac:dyDescent="0.3">
      <c r="A130" t="s">
        <v>23</v>
      </c>
      <c r="B130" t="s">
        <v>894</v>
      </c>
      <c r="C130" t="s">
        <v>895</v>
      </c>
      <c r="D130" t="s">
        <v>279</v>
      </c>
      <c r="E130" t="s">
        <v>90</v>
      </c>
      <c r="F130" t="s">
        <v>91</v>
      </c>
      <c r="G130" t="s">
        <v>92</v>
      </c>
      <c r="H130" t="s">
        <v>896</v>
      </c>
      <c r="I130" t="s">
        <v>121</v>
      </c>
      <c r="J130" t="s">
        <v>32</v>
      </c>
      <c r="K130" t="s">
        <v>33</v>
      </c>
      <c r="L130" t="s">
        <v>897</v>
      </c>
      <c r="M130" t="s">
        <v>898</v>
      </c>
      <c r="N130" t="s">
        <v>899</v>
      </c>
      <c r="O130">
        <v>1300.9720962343849</v>
      </c>
      <c r="P130">
        <v>1109.52</v>
      </c>
      <c r="Q130">
        <v>1106.7156</v>
      </c>
      <c r="R130" t="s">
        <v>37</v>
      </c>
      <c r="S130" t="s">
        <v>38</v>
      </c>
      <c r="T130" t="s">
        <v>38</v>
      </c>
      <c r="U130" t="s">
        <v>39</v>
      </c>
      <c r="W130" t="s">
        <v>40</v>
      </c>
    </row>
    <row r="131" spans="1:23" x14ac:dyDescent="0.3">
      <c r="A131" t="s">
        <v>23</v>
      </c>
      <c r="B131" t="s">
        <v>900</v>
      </c>
      <c r="C131" t="s">
        <v>901</v>
      </c>
      <c r="D131" t="s">
        <v>175</v>
      </c>
      <c r="E131" t="s">
        <v>90</v>
      </c>
      <c r="F131" t="s">
        <v>91</v>
      </c>
      <c r="G131" t="s">
        <v>92</v>
      </c>
      <c r="H131" t="s">
        <v>902</v>
      </c>
      <c r="I131" t="s">
        <v>102</v>
      </c>
      <c r="J131" t="s">
        <v>32</v>
      </c>
      <c r="K131" t="s">
        <v>33</v>
      </c>
      <c r="L131" t="s">
        <v>903</v>
      </c>
      <c r="M131" t="s">
        <v>904</v>
      </c>
      <c r="N131" t="s">
        <v>905</v>
      </c>
      <c r="O131">
        <v>50.830296614967331</v>
      </c>
      <c r="P131">
        <v>50.77</v>
      </c>
      <c r="Q131">
        <v>50.786799999999999</v>
      </c>
      <c r="R131" t="s">
        <v>67</v>
      </c>
      <c r="S131" t="s">
        <v>38</v>
      </c>
      <c r="T131" t="s">
        <v>38</v>
      </c>
      <c r="U131" t="s">
        <v>39</v>
      </c>
      <c r="W131" t="s">
        <v>40</v>
      </c>
    </row>
    <row r="132" spans="1:23" x14ac:dyDescent="0.3">
      <c r="A132" t="s">
        <v>23</v>
      </c>
      <c r="B132" t="s">
        <v>906</v>
      </c>
      <c r="C132" t="s">
        <v>907</v>
      </c>
      <c r="D132" t="s">
        <v>57</v>
      </c>
      <c r="E132" t="s">
        <v>58</v>
      </c>
      <c r="F132" t="s">
        <v>59</v>
      </c>
      <c r="G132" t="s">
        <v>60</v>
      </c>
      <c r="H132" t="s">
        <v>908</v>
      </c>
      <c r="I132" t="s">
        <v>62</v>
      </c>
      <c r="J132" t="s">
        <v>63</v>
      </c>
      <c r="K132" t="s">
        <v>33</v>
      </c>
      <c r="L132" t="s">
        <v>909</v>
      </c>
      <c r="M132" t="s">
        <v>910</v>
      </c>
      <c r="N132" t="s">
        <v>911</v>
      </c>
      <c r="O132">
        <v>107.8058168388811</v>
      </c>
      <c r="P132">
        <v>107.25</v>
      </c>
      <c r="Q132">
        <v>107.1832</v>
      </c>
      <c r="R132" t="s">
        <v>67</v>
      </c>
      <c r="S132" t="s">
        <v>38</v>
      </c>
      <c r="T132" t="s">
        <v>38</v>
      </c>
      <c r="U132" t="s">
        <v>39</v>
      </c>
      <c r="W132" t="s">
        <v>40</v>
      </c>
    </row>
    <row r="133" spans="1:23" x14ac:dyDescent="0.3">
      <c r="A133" t="s">
        <v>23</v>
      </c>
      <c r="B133" t="s">
        <v>912</v>
      </c>
      <c r="C133" t="s">
        <v>913</v>
      </c>
      <c r="D133" t="s">
        <v>219</v>
      </c>
      <c r="E133" t="s">
        <v>27</v>
      </c>
      <c r="F133" t="s">
        <v>28</v>
      </c>
      <c r="G133" t="s">
        <v>29</v>
      </c>
      <c r="H133" t="s">
        <v>914</v>
      </c>
      <c r="I133" t="s">
        <v>139</v>
      </c>
      <c r="J133" t="s">
        <v>32</v>
      </c>
      <c r="K133" t="s">
        <v>33</v>
      </c>
      <c r="L133" t="s">
        <v>915</v>
      </c>
      <c r="M133" t="s">
        <v>916</v>
      </c>
      <c r="N133" t="s">
        <v>917</v>
      </c>
      <c r="O133">
        <v>5281.6423145616918</v>
      </c>
      <c r="P133">
        <v>2178.5</v>
      </c>
      <c r="Q133">
        <v>2135.8667999999998</v>
      </c>
      <c r="R133" t="s">
        <v>75</v>
      </c>
      <c r="S133" t="s">
        <v>51</v>
      </c>
      <c r="T133" t="s">
        <v>51</v>
      </c>
      <c r="U133" t="s">
        <v>143</v>
      </c>
      <c r="V133" t="s">
        <v>53</v>
      </c>
      <c r="W133" t="s">
        <v>40</v>
      </c>
    </row>
    <row r="134" spans="1:23" x14ac:dyDescent="0.3">
      <c r="A134" t="s">
        <v>23</v>
      </c>
      <c r="B134" t="s">
        <v>918</v>
      </c>
      <c r="C134" t="s">
        <v>919</v>
      </c>
      <c r="D134" t="s">
        <v>920</v>
      </c>
      <c r="E134" t="s">
        <v>112</v>
      </c>
      <c r="F134" t="s">
        <v>921</v>
      </c>
      <c r="G134" t="s">
        <v>922</v>
      </c>
      <c r="H134" t="s">
        <v>923</v>
      </c>
      <c r="I134" t="s">
        <v>72</v>
      </c>
      <c r="J134" t="s">
        <v>32</v>
      </c>
      <c r="K134" t="s">
        <v>33</v>
      </c>
      <c r="L134" t="s">
        <v>924</v>
      </c>
      <c r="M134" t="s">
        <v>925</v>
      </c>
      <c r="N134" t="s">
        <v>926</v>
      </c>
      <c r="O134">
        <v>12.975516672825959</v>
      </c>
      <c r="P134">
        <v>11.98</v>
      </c>
      <c r="Q134">
        <v>12.001200000000001</v>
      </c>
      <c r="R134" t="s">
        <v>67</v>
      </c>
      <c r="S134" t="s">
        <v>38</v>
      </c>
      <c r="T134" t="s">
        <v>38</v>
      </c>
      <c r="U134" t="s">
        <v>39</v>
      </c>
      <c r="W134" t="s">
        <v>40</v>
      </c>
    </row>
    <row r="135" spans="1:23" x14ac:dyDescent="0.3">
      <c r="A135" t="s">
        <v>23</v>
      </c>
      <c r="B135" t="s">
        <v>927</v>
      </c>
      <c r="C135" t="s">
        <v>928</v>
      </c>
      <c r="D135" t="s">
        <v>182</v>
      </c>
      <c r="E135" t="s">
        <v>27</v>
      </c>
      <c r="F135" t="s">
        <v>28</v>
      </c>
      <c r="G135" t="s">
        <v>29</v>
      </c>
      <c r="H135" t="s">
        <v>929</v>
      </c>
      <c r="I135" t="s">
        <v>139</v>
      </c>
      <c r="J135" t="s">
        <v>32</v>
      </c>
      <c r="K135" t="s">
        <v>33</v>
      </c>
      <c r="L135" t="s">
        <v>930</v>
      </c>
      <c r="M135" t="s">
        <v>931</v>
      </c>
      <c r="N135" t="s">
        <v>932</v>
      </c>
      <c r="O135">
        <v>158.3267541667779</v>
      </c>
      <c r="P135">
        <v>153.97999999999999</v>
      </c>
      <c r="Q135">
        <v>153.55879999999999</v>
      </c>
      <c r="R135" t="s">
        <v>75</v>
      </c>
      <c r="S135" t="s">
        <v>38</v>
      </c>
      <c r="T135" t="s">
        <v>38</v>
      </c>
      <c r="U135" t="s">
        <v>39</v>
      </c>
      <c r="W135" t="s">
        <v>40</v>
      </c>
    </row>
    <row r="136" spans="1:23" x14ac:dyDescent="0.3">
      <c r="A136" t="s">
        <v>23</v>
      </c>
      <c r="B136" t="s">
        <v>933</v>
      </c>
      <c r="C136" t="s">
        <v>934</v>
      </c>
      <c r="D136" t="s">
        <v>247</v>
      </c>
      <c r="E136" t="s">
        <v>44</v>
      </c>
      <c r="F136" t="s">
        <v>28</v>
      </c>
      <c r="G136" t="s">
        <v>137</v>
      </c>
      <c r="H136" t="s">
        <v>935</v>
      </c>
      <c r="I136" t="s">
        <v>249</v>
      </c>
      <c r="J136" t="s">
        <v>250</v>
      </c>
      <c r="K136" t="s">
        <v>33</v>
      </c>
      <c r="L136" t="s">
        <v>936</v>
      </c>
      <c r="M136" t="s">
        <v>937</v>
      </c>
      <c r="N136" t="s">
        <v>938</v>
      </c>
      <c r="O136">
        <v>1337.154916282298</v>
      </c>
      <c r="P136">
        <v>1333.99</v>
      </c>
      <c r="Q136">
        <v>1343.6088</v>
      </c>
      <c r="R136" t="s">
        <v>67</v>
      </c>
      <c r="S136" t="s">
        <v>38</v>
      </c>
      <c r="T136" t="s">
        <v>38</v>
      </c>
      <c r="U136" t="s">
        <v>39</v>
      </c>
      <c r="W136" t="s">
        <v>40</v>
      </c>
    </row>
    <row r="137" spans="1:23" x14ac:dyDescent="0.3">
      <c r="A137" t="s">
        <v>23</v>
      </c>
      <c r="B137" t="s">
        <v>939</v>
      </c>
      <c r="C137" t="s">
        <v>940</v>
      </c>
      <c r="D137" t="s">
        <v>519</v>
      </c>
      <c r="E137" t="s">
        <v>81</v>
      </c>
      <c r="F137" t="s">
        <v>59</v>
      </c>
      <c r="G137" t="s">
        <v>82</v>
      </c>
      <c r="H137" t="s">
        <v>941</v>
      </c>
      <c r="I137" t="s">
        <v>102</v>
      </c>
      <c r="J137" t="s">
        <v>32</v>
      </c>
      <c r="K137" t="s">
        <v>33</v>
      </c>
      <c r="L137" t="s">
        <v>942</v>
      </c>
      <c r="M137" t="s">
        <v>943</v>
      </c>
      <c r="N137" t="s">
        <v>944</v>
      </c>
      <c r="O137">
        <v>1320.8710582415481</v>
      </c>
      <c r="P137">
        <v>1301.1400000000001</v>
      </c>
      <c r="Q137">
        <v>1298.8276000000001</v>
      </c>
      <c r="R137" t="s">
        <v>67</v>
      </c>
      <c r="S137" t="s">
        <v>38</v>
      </c>
      <c r="T137" t="s">
        <v>38</v>
      </c>
      <c r="U137" t="s">
        <v>39</v>
      </c>
      <c r="W137" t="s">
        <v>40</v>
      </c>
    </row>
    <row r="138" spans="1:23" x14ac:dyDescent="0.3">
      <c r="A138" t="s">
        <v>23</v>
      </c>
      <c r="B138" t="s">
        <v>945</v>
      </c>
      <c r="C138" t="s">
        <v>946</v>
      </c>
      <c r="D138" t="s">
        <v>89</v>
      </c>
      <c r="E138" t="s">
        <v>90</v>
      </c>
      <c r="F138" t="s">
        <v>91</v>
      </c>
      <c r="G138" t="s">
        <v>92</v>
      </c>
      <c r="H138" t="s">
        <v>947</v>
      </c>
      <c r="I138" t="s">
        <v>102</v>
      </c>
      <c r="J138" t="s">
        <v>32</v>
      </c>
      <c r="K138" t="s">
        <v>33</v>
      </c>
      <c r="L138" t="s">
        <v>948</v>
      </c>
      <c r="M138" t="s">
        <v>949</v>
      </c>
      <c r="N138" t="s">
        <v>950</v>
      </c>
      <c r="O138">
        <v>1571.1193917110679</v>
      </c>
      <c r="P138">
        <v>1054.06</v>
      </c>
      <c r="Q138">
        <v>1047.6220000000001</v>
      </c>
      <c r="R138" t="s">
        <v>67</v>
      </c>
      <c r="S138" t="s">
        <v>38</v>
      </c>
      <c r="T138" t="s">
        <v>38</v>
      </c>
      <c r="U138" t="s">
        <v>39</v>
      </c>
      <c r="W138" t="s">
        <v>40</v>
      </c>
    </row>
    <row r="139" spans="1:23" x14ac:dyDescent="0.3">
      <c r="A139" t="s">
        <v>23</v>
      </c>
      <c r="B139" t="s">
        <v>951</v>
      </c>
      <c r="C139" t="s">
        <v>952</v>
      </c>
      <c r="D139" t="s">
        <v>590</v>
      </c>
      <c r="E139" t="s">
        <v>44</v>
      </c>
      <c r="F139" t="s">
        <v>28</v>
      </c>
      <c r="G139" t="s">
        <v>137</v>
      </c>
      <c r="H139" t="s">
        <v>953</v>
      </c>
      <c r="I139" t="s">
        <v>249</v>
      </c>
      <c r="J139" t="s">
        <v>32</v>
      </c>
      <c r="K139" t="s">
        <v>33</v>
      </c>
      <c r="L139" t="s">
        <v>954</v>
      </c>
      <c r="M139" t="s">
        <v>955</v>
      </c>
      <c r="N139" t="s">
        <v>956</v>
      </c>
      <c r="O139">
        <v>310.46106877991878</v>
      </c>
      <c r="P139">
        <v>310.23</v>
      </c>
      <c r="Q139">
        <v>310.31079999999997</v>
      </c>
      <c r="R139" t="s">
        <v>67</v>
      </c>
      <c r="S139" t="s">
        <v>38</v>
      </c>
      <c r="T139" t="s">
        <v>38</v>
      </c>
      <c r="U139" t="s">
        <v>39</v>
      </c>
      <c r="W139" t="s">
        <v>40</v>
      </c>
    </row>
    <row r="140" spans="1:23" x14ac:dyDescent="0.3">
      <c r="A140" t="s">
        <v>23</v>
      </c>
      <c r="B140" t="s">
        <v>957</v>
      </c>
      <c r="C140" t="s">
        <v>958</v>
      </c>
      <c r="D140" t="s">
        <v>959</v>
      </c>
      <c r="E140" t="s">
        <v>81</v>
      </c>
      <c r="F140" t="s">
        <v>59</v>
      </c>
      <c r="G140" t="s">
        <v>82</v>
      </c>
      <c r="H140" t="s">
        <v>960</v>
      </c>
      <c r="I140" t="s">
        <v>121</v>
      </c>
      <c r="J140" t="s">
        <v>32</v>
      </c>
      <c r="K140" t="s">
        <v>33</v>
      </c>
      <c r="L140" t="s">
        <v>961</v>
      </c>
      <c r="M140" t="s">
        <v>962</v>
      </c>
      <c r="N140" t="s">
        <v>963</v>
      </c>
      <c r="O140">
        <v>3107.991977546872</v>
      </c>
      <c r="P140">
        <v>2899.27</v>
      </c>
      <c r="Q140">
        <v>2890.8323999999998</v>
      </c>
      <c r="R140" t="s">
        <v>37</v>
      </c>
      <c r="S140" t="s">
        <v>38</v>
      </c>
      <c r="T140" t="s">
        <v>38</v>
      </c>
      <c r="U140" t="s">
        <v>39</v>
      </c>
      <c r="W140" t="s">
        <v>40</v>
      </c>
    </row>
    <row r="141" spans="1:23" x14ac:dyDescent="0.3">
      <c r="A141" t="s">
        <v>23</v>
      </c>
      <c r="B141" t="s">
        <v>964</v>
      </c>
      <c r="C141" t="s">
        <v>965</v>
      </c>
      <c r="D141" t="s">
        <v>265</v>
      </c>
      <c r="E141" t="s">
        <v>81</v>
      </c>
      <c r="F141" t="s">
        <v>28</v>
      </c>
      <c r="G141" t="s">
        <v>137</v>
      </c>
      <c r="H141" t="s">
        <v>966</v>
      </c>
      <c r="I141" t="s">
        <v>62</v>
      </c>
      <c r="J141" t="s">
        <v>63</v>
      </c>
      <c r="K141" t="s">
        <v>33</v>
      </c>
      <c r="L141" t="s">
        <v>967</v>
      </c>
      <c r="M141" t="s">
        <v>968</v>
      </c>
      <c r="N141" t="s">
        <v>969</v>
      </c>
      <c r="O141">
        <v>817.71978683796101</v>
      </c>
      <c r="P141">
        <v>812.85</v>
      </c>
      <c r="Q141">
        <v>812.33079999999995</v>
      </c>
      <c r="R141" t="s">
        <v>37</v>
      </c>
      <c r="S141" t="s">
        <v>38</v>
      </c>
      <c r="T141" t="s">
        <v>38</v>
      </c>
      <c r="U141" t="s">
        <v>39</v>
      </c>
      <c r="W141" t="s">
        <v>40</v>
      </c>
    </row>
    <row r="142" spans="1:23" x14ac:dyDescent="0.3">
      <c r="A142" t="s">
        <v>23</v>
      </c>
      <c r="B142" t="s">
        <v>970</v>
      </c>
      <c r="C142" t="s">
        <v>971</v>
      </c>
      <c r="D142" t="s">
        <v>26</v>
      </c>
      <c r="E142" t="s">
        <v>27</v>
      </c>
      <c r="F142" t="s">
        <v>28</v>
      </c>
      <c r="G142" t="s">
        <v>29</v>
      </c>
      <c r="H142" t="s">
        <v>972</v>
      </c>
      <c r="I142" t="s">
        <v>584</v>
      </c>
      <c r="J142" t="s">
        <v>32</v>
      </c>
      <c r="K142" t="s">
        <v>33</v>
      </c>
      <c r="L142" t="s">
        <v>973</v>
      </c>
      <c r="M142" t="s">
        <v>974</v>
      </c>
      <c r="N142" t="s">
        <v>975</v>
      </c>
      <c r="O142">
        <v>1571.9833787517071</v>
      </c>
      <c r="P142">
        <v>1295.9000000000001</v>
      </c>
      <c r="Q142">
        <v>1286.2911999999999</v>
      </c>
      <c r="R142" t="s">
        <v>37</v>
      </c>
      <c r="S142" t="s">
        <v>38</v>
      </c>
      <c r="T142" t="s">
        <v>38</v>
      </c>
      <c r="U142" t="s">
        <v>39</v>
      </c>
      <c r="W142" t="s">
        <v>40</v>
      </c>
    </row>
    <row r="143" spans="1:23" x14ac:dyDescent="0.3">
      <c r="A143" t="s">
        <v>23</v>
      </c>
      <c r="B143" t="s">
        <v>976</v>
      </c>
      <c r="C143" t="s">
        <v>977</v>
      </c>
      <c r="D143" t="s">
        <v>26</v>
      </c>
      <c r="E143" t="s">
        <v>27</v>
      </c>
      <c r="F143" t="s">
        <v>28</v>
      </c>
      <c r="G143" t="s">
        <v>29</v>
      </c>
      <c r="H143" t="s">
        <v>978</v>
      </c>
      <c r="I143" t="s">
        <v>584</v>
      </c>
      <c r="J143" t="s">
        <v>32</v>
      </c>
      <c r="K143" t="s">
        <v>33</v>
      </c>
      <c r="L143" t="s">
        <v>979</v>
      </c>
      <c r="M143" t="s">
        <v>980</v>
      </c>
      <c r="N143" t="s">
        <v>981</v>
      </c>
      <c r="O143">
        <v>7074.3610315951091</v>
      </c>
      <c r="P143">
        <v>5354.99</v>
      </c>
      <c r="Q143">
        <v>5306.8680000000004</v>
      </c>
      <c r="R143" t="s">
        <v>37</v>
      </c>
      <c r="S143" t="s">
        <v>38</v>
      </c>
      <c r="T143" t="s">
        <v>38</v>
      </c>
      <c r="U143" t="s">
        <v>39</v>
      </c>
      <c r="W143" t="s">
        <v>40</v>
      </c>
    </row>
    <row r="144" spans="1:23" x14ac:dyDescent="0.3">
      <c r="A144" t="s">
        <v>23</v>
      </c>
      <c r="B144" t="s">
        <v>982</v>
      </c>
      <c r="C144" t="s">
        <v>983</v>
      </c>
      <c r="D144" t="s">
        <v>136</v>
      </c>
      <c r="E144" t="s">
        <v>112</v>
      </c>
      <c r="F144" t="s">
        <v>91</v>
      </c>
      <c r="G144" t="s">
        <v>984</v>
      </c>
      <c r="H144" t="s">
        <v>985</v>
      </c>
      <c r="I144" t="s">
        <v>986</v>
      </c>
      <c r="J144" t="s">
        <v>987</v>
      </c>
      <c r="K144" t="s">
        <v>33</v>
      </c>
      <c r="L144" t="s">
        <v>988</v>
      </c>
      <c r="M144" t="s">
        <v>989</v>
      </c>
      <c r="N144" t="s">
        <v>990</v>
      </c>
      <c r="O144">
        <v>1273.9289335033809</v>
      </c>
      <c r="P144">
        <v>861.07</v>
      </c>
      <c r="Q144">
        <v>859.42520000000002</v>
      </c>
      <c r="R144" t="s">
        <v>67</v>
      </c>
      <c r="S144" t="s">
        <v>38</v>
      </c>
      <c r="T144" t="s">
        <v>38</v>
      </c>
      <c r="U144" t="s">
        <v>39</v>
      </c>
      <c r="W144" t="s">
        <v>40</v>
      </c>
    </row>
    <row r="145" spans="1:23" x14ac:dyDescent="0.3">
      <c r="A145" t="s">
        <v>23</v>
      </c>
      <c r="B145" t="s">
        <v>991</v>
      </c>
      <c r="C145" t="s">
        <v>992</v>
      </c>
      <c r="D145" t="s">
        <v>590</v>
      </c>
      <c r="E145" t="s">
        <v>44</v>
      </c>
      <c r="F145" t="s">
        <v>28</v>
      </c>
      <c r="G145" t="s">
        <v>137</v>
      </c>
      <c r="H145" t="s">
        <v>993</v>
      </c>
      <c r="I145" t="s">
        <v>47</v>
      </c>
      <c r="J145" t="s">
        <v>994</v>
      </c>
      <c r="K145" t="s">
        <v>33</v>
      </c>
      <c r="L145" t="s">
        <v>995</v>
      </c>
      <c r="M145" t="s">
        <v>996</v>
      </c>
      <c r="N145" t="s">
        <v>997</v>
      </c>
      <c r="O145">
        <v>8796.4062436210115</v>
      </c>
      <c r="P145">
        <v>8061.97</v>
      </c>
      <c r="Q145">
        <v>8133.1067999999996</v>
      </c>
      <c r="R145" t="s">
        <v>125</v>
      </c>
      <c r="S145" t="s">
        <v>38</v>
      </c>
      <c r="T145" t="s">
        <v>38</v>
      </c>
      <c r="U145" t="s">
        <v>39</v>
      </c>
      <c r="W145" t="s">
        <v>40</v>
      </c>
    </row>
    <row r="146" spans="1:23" x14ac:dyDescent="0.3">
      <c r="A146" t="s">
        <v>23</v>
      </c>
      <c r="B146" t="s">
        <v>998</v>
      </c>
      <c r="C146" t="s">
        <v>999</v>
      </c>
      <c r="D146" t="s">
        <v>57</v>
      </c>
      <c r="E146" t="s">
        <v>58</v>
      </c>
      <c r="F146" t="s">
        <v>59</v>
      </c>
      <c r="G146" t="s">
        <v>60</v>
      </c>
      <c r="H146" t="s">
        <v>1000</v>
      </c>
      <c r="I146" t="s">
        <v>62</v>
      </c>
      <c r="J146" t="s">
        <v>63</v>
      </c>
      <c r="K146" t="s">
        <v>33</v>
      </c>
      <c r="L146" t="s">
        <v>1001</v>
      </c>
      <c r="M146" t="s">
        <v>1002</v>
      </c>
      <c r="N146" t="s">
        <v>1003</v>
      </c>
      <c r="O146">
        <v>361.42885107329408</v>
      </c>
      <c r="P146">
        <v>361.41</v>
      </c>
      <c r="Q146">
        <v>361.39479999999998</v>
      </c>
      <c r="R146" t="s">
        <v>67</v>
      </c>
      <c r="S146" t="s">
        <v>38</v>
      </c>
      <c r="T146" t="s">
        <v>38</v>
      </c>
      <c r="U146" t="s">
        <v>39</v>
      </c>
      <c r="W146" t="s">
        <v>40</v>
      </c>
    </row>
    <row r="147" spans="1:23" x14ac:dyDescent="0.3">
      <c r="A147" t="s">
        <v>23</v>
      </c>
      <c r="B147" t="s">
        <v>1004</v>
      </c>
      <c r="C147" t="s">
        <v>1005</v>
      </c>
      <c r="D147" t="s">
        <v>265</v>
      </c>
      <c r="E147" t="s">
        <v>81</v>
      </c>
      <c r="F147" t="s">
        <v>59</v>
      </c>
      <c r="G147" t="s">
        <v>82</v>
      </c>
      <c r="H147" t="s">
        <v>1006</v>
      </c>
      <c r="I147" t="s">
        <v>62</v>
      </c>
      <c r="J147" t="s">
        <v>32</v>
      </c>
      <c r="K147" t="s">
        <v>33</v>
      </c>
      <c r="L147" t="s">
        <v>1007</v>
      </c>
      <c r="M147" t="s">
        <v>1008</v>
      </c>
      <c r="N147" t="s">
        <v>1009</v>
      </c>
      <c r="O147">
        <v>612.1469621524634</v>
      </c>
      <c r="P147">
        <v>612.05999999999995</v>
      </c>
      <c r="Q147">
        <v>611.92600000000004</v>
      </c>
      <c r="R147" t="s">
        <v>75</v>
      </c>
      <c r="S147" t="s">
        <v>38</v>
      </c>
      <c r="T147" t="s">
        <v>38</v>
      </c>
      <c r="U147" t="s">
        <v>39</v>
      </c>
      <c r="W147" t="s">
        <v>40</v>
      </c>
    </row>
    <row r="148" spans="1:23" x14ac:dyDescent="0.3">
      <c r="A148" t="s">
        <v>23</v>
      </c>
      <c r="B148" t="s">
        <v>1010</v>
      </c>
      <c r="C148" t="s">
        <v>1011</v>
      </c>
      <c r="D148" t="s">
        <v>80</v>
      </c>
      <c r="E148" t="s">
        <v>81</v>
      </c>
      <c r="F148" t="s">
        <v>59</v>
      </c>
      <c r="G148" t="s">
        <v>82</v>
      </c>
      <c r="H148" t="s">
        <v>1012</v>
      </c>
      <c r="I148" t="s">
        <v>62</v>
      </c>
      <c r="J148" t="s">
        <v>32</v>
      </c>
      <c r="K148" t="s">
        <v>33</v>
      </c>
      <c r="L148" t="s">
        <v>1013</v>
      </c>
      <c r="M148" t="s">
        <v>1014</v>
      </c>
      <c r="N148" t="s">
        <v>1015</v>
      </c>
      <c r="O148">
        <v>536.0846818795452</v>
      </c>
      <c r="P148">
        <v>526.53</v>
      </c>
      <c r="Q148">
        <v>524.91679999999997</v>
      </c>
      <c r="R148" t="s">
        <v>75</v>
      </c>
      <c r="S148" t="s">
        <v>38</v>
      </c>
      <c r="T148" t="s">
        <v>38</v>
      </c>
      <c r="U148" t="s">
        <v>39</v>
      </c>
      <c r="W148" t="s">
        <v>40</v>
      </c>
    </row>
    <row r="149" spans="1:23" x14ac:dyDescent="0.3">
      <c r="A149" t="s">
        <v>23</v>
      </c>
      <c r="B149" t="s">
        <v>1016</v>
      </c>
      <c r="C149" t="s">
        <v>1017</v>
      </c>
      <c r="D149" t="s">
        <v>519</v>
      </c>
      <c r="E149" t="s">
        <v>81</v>
      </c>
      <c r="F149" t="s">
        <v>59</v>
      </c>
      <c r="G149" t="s">
        <v>82</v>
      </c>
      <c r="H149" t="s">
        <v>816</v>
      </c>
      <c r="I149" t="s">
        <v>121</v>
      </c>
      <c r="J149" t="s">
        <v>32</v>
      </c>
      <c r="K149" t="s">
        <v>33</v>
      </c>
      <c r="M149" t="s">
        <v>816</v>
      </c>
      <c r="O149">
        <v>142.76806813670521</v>
      </c>
      <c r="P149">
        <v>140.34</v>
      </c>
      <c r="Q149">
        <v>140.2304</v>
      </c>
      <c r="R149" t="s">
        <v>75</v>
      </c>
      <c r="S149" t="s">
        <v>38</v>
      </c>
      <c r="T149" t="s">
        <v>38</v>
      </c>
      <c r="U149" t="s">
        <v>39</v>
      </c>
      <c r="W149" t="s">
        <v>40</v>
      </c>
    </row>
    <row r="150" spans="1:23" x14ac:dyDescent="0.3">
      <c r="A150" t="s">
        <v>23</v>
      </c>
      <c r="B150" t="s">
        <v>1018</v>
      </c>
      <c r="C150" t="s">
        <v>1019</v>
      </c>
      <c r="D150" t="s">
        <v>681</v>
      </c>
      <c r="E150" t="s">
        <v>44</v>
      </c>
      <c r="F150" t="s">
        <v>28</v>
      </c>
      <c r="G150" t="s">
        <v>45</v>
      </c>
      <c r="H150" t="s">
        <v>1020</v>
      </c>
      <c r="I150" t="s">
        <v>62</v>
      </c>
      <c r="J150" t="s">
        <v>683</v>
      </c>
      <c r="K150" t="s">
        <v>33</v>
      </c>
      <c r="L150" t="s">
        <v>1021</v>
      </c>
      <c r="M150" t="s">
        <v>1022</v>
      </c>
      <c r="N150" t="s">
        <v>1023</v>
      </c>
      <c r="O150">
        <v>37063.178657550408</v>
      </c>
      <c r="P150">
        <v>37027.99</v>
      </c>
      <c r="Q150">
        <v>37004.611199999999</v>
      </c>
      <c r="R150" t="s">
        <v>125</v>
      </c>
      <c r="S150" t="s">
        <v>38</v>
      </c>
      <c r="T150" t="s">
        <v>38</v>
      </c>
      <c r="U150" t="s">
        <v>39</v>
      </c>
      <c r="W150" t="s">
        <v>40</v>
      </c>
    </row>
    <row r="151" spans="1:23" x14ac:dyDescent="0.3">
      <c r="A151" t="s">
        <v>23</v>
      </c>
      <c r="B151" t="s">
        <v>1024</v>
      </c>
      <c r="C151" t="s">
        <v>1025</v>
      </c>
      <c r="D151" t="s">
        <v>1026</v>
      </c>
      <c r="E151" t="s">
        <v>112</v>
      </c>
      <c r="F151" t="s">
        <v>921</v>
      </c>
      <c r="G151" t="s">
        <v>922</v>
      </c>
      <c r="H151" t="s">
        <v>1027</v>
      </c>
      <c r="I151" t="s">
        <v>72</v>
      </c>
      <c r="J151" t="s">
        <v>250</v>
      </c>
      <c r="K151" t="s">
        <v>33</v>
      </c>
      <c r="M151" t="s">
        <v>1028</v>
      </c>
      <c r="N151" t="s">
        <v>1029</v>
      </c>
      <c r="O151">
        <v>28.087826878308711</v>
      </c>
      <c r="P151">
        <v>26.17</v>
      </c>
      <c r="Q151">
        <v>26.400400000000001</v>
      </c>
      <c r="R151" t="s">
        <v>67</v>
      </c>
      <c r="S151" t="s">
        <v>38</v>
      </c>
      <c r="T151" t="s">
        <v>38</v>
      </c>
      <c r="U151" t="s">
        <v>39</v>
      </c>
      <c r="W151" t="s">
        <v>40</v>
      </c>
    </row>
    <row r="152" spans="1:23" x14ac:dyDescent="0.3">
      <c r="A152" t="s">
        <v>23</v>
      </c>
      <c r="B152" t="s">
        <v>1030</v>
      </c>
      <c r="C152" t="s">
        <v>1031</v>
      </c>
      <c r="D152" t="s">
        <v>111</v>
      </c>
      <c r="E152" t="s">
        <v>112</v>
      </c>
      <c r="F152" t="s">
        <v>59</v>
      </c>
      <c r="G152" t="s">
        <v>82</v>
      </c>
      <c r="H152" t="s">
        <v>1032</v>
      </c>
      <c r="I152" t="s">
        <v>1033</v>
      </c>
      <c r="J152" t="s">
        <v>683</v>
      </c>
      <c r="K152" t="s">
        <v>33</v>
      </c>
      <c r="M152" t="s">
        <v>1034</v>
      </c>
      <c r="N152" t="s">
        <v>1035</v>
      </c>
      <c r="O152">
        <v>1920.729340958746</v>
      </c>
      <c r="P152">
        <v>2133.1999999999998</v>
      </c>
      <c r="Q152">
        <v>1914.6479999999999</v>
      </c>
      <c r="R152" t="s">
        <v>125</v>
      </c>
      <c r="S152" t="s">
        <v>38</v>
      </c>
      <c r="T152" t="s">
        <v>38</v>
      </c>
      <c r="U152" t="s">
        <v>39</v>
      </c>
      <c r="W152" t="s">
        <v>40</v>
      </c>
    </row>
    <row r="153" spans="1:23" x14ac:dyDescent="0.3">
      <c r="A153" t="s">
        <v>23</v>
      </c>
      <c r="B153" t="s">
        <v>1036</v>
      </c>
      <c r="C153" t="s">
        <v>1037</v>
      </c>
      <c r="D153" t="s">
        <v>959</v>
      </c>
      <c r="E153" t="s">
        <v>81</v>
      </c>
      <c r="F153" t="s">
        <v>91</v>
      </c>
      <c r="G153" t="s">
        <v>92</v>
      </c>
      <c r="H153" t="s">
        <v>1038</v>
      </c>
      <c r="I153" t="s">
        <v>62</v>
      </c>
      <c r="J153" t="s">
        <v>32</v>
      </c>
      <c r="K153" t="s">
        <v>33</v>
      </c>
      <c r="L153" t="s">
        <v>1039</v>
      </c>
      <c r="M153" t="s">
        <v>1040</v>
      </c>
      <c r="N153" t="s">
        <v>1041</v>
      </c>
      <c r="O153">
        <v>396.84595843909619</v>
      </c>
      <c r="P153">
        <v>391.79</v>
      </c>
      <c r="Q153">
        <v>391.52519999999998</v>
      </c>
      <c r="R153" t="s">
        <v>75</v>
      </c>
      <c r="S153" t="s">
        <v>38</v>
      </c>
      <c r="T153" t="s">
        <v>38</v>
      </c>
      <c r="U153" t="s">
        <v>39</v>
      </c>
      <c r="W153" t="s">
        <v>40</v>
      </c>
    </row>
    <row r="154" spans="1:23" x14ac:dyDescent="0.3">
      <c r="A154" t="s">
        <v>23</v>
      </c>
      <c r="B154" t="s">
        <v>1042</v>
      </c>
      <c r="C154" t="s">
        <v>1043</v>
      </c>
      <c r="D154" t="s">
        <v>57</v>
      </c>
      <c r="E154" t="s">
        <v>58</v>
      </c>
      <c r="F154" t="s">
        <v>59</v>
      </c>
      <c r="G154" t="s">
        <v>60</v>
      </c>
      <c r="H154" t="s">
        <v>1044</v>
      </c>
      <c r="I154" t="s">
        <v>62</v>
      </c>
      <c r="J154" t="s">
        <v>63</v>
      </c>
      <c r="K154" t="s">
        <v>33</v>
      </c>
      <c r="L154" t="s">
        <v>1045</v>
      </c>
      <c r="M154" t="s">
        <v>1046</v>
      </c>
      <c r="N154" t="s">
        <v>1047</v>
      </c>
      <c r="O154">
        <v>2094.668605736766</v>
      </c>
      <c r="P154">
        <v>2085.67</v>
      </c>
      <c r="Q154">
        <v>2084.326</v>
      </c>
      <c r="R154" t="s">
        <v>75</v>
      </c>
      <c r="S154" t="s">
        <v>38</v>
      </c>
      <c r="T154" t="s">
        <v>38</v>
      </c>
      <c r="U154" t="s">
        <v>39</v>
      </c>
      <c r="W154" t="s">
        <v>40</v>
      </c>
    </row>
    <row r="155" spans="1:23" x14ac:dyDescent="0.3">
      <c r="A155" t="s">
        <v>23</v>
      </c>
      <c r="B155" t="s">
        <v>1048</v>
      </c>
      <c r="C155" t="s">
        <v>1049</v>
      </c>
      <c r="D155" t="s">
        <v>175</v>
      </c>
      <c r="E155" t="s">
        <v>90</v>
      </c>
      <c r="F155" t="s">
        <v>91</v>
      </c>
      <c r="G155" t="s">
        <v>92</v>
      </c>
      <c r="H155" t="s">
        <v>1050</v>
      </c>
      <c r="I155" t="s">
        <v>102</v>
      </c>
      <c r="J155" t="s">
        <v>32</v>
      </c>
      <c r="K155" t="s">
        <v>33</v>
      </c>
      <c r="L155" t="s">
        <v>1051</v>
      </c>
      <c r="M155" t="s">
        <v>1052</v>
      </c>
      <c r="N155" t="s">
        <v>1053</v>
      </c>
      <c r="O155">
        <v>304.18223103180048</v>
      </c>
      <c r="P155">
        <v>287.45999999999998</v>
      </c>
      <c r="Q155">
        <v>287.02</v>
      </c>
      <c r="R155" t="s">
        <v>67</v>
      </c>
      <c r="S155" t="s">
        <v>38</v>
      </c>
      <c r="T155" t="s">
        <v>38</v>
      </c>
      <c r="U155" t="s">
        <v>39</v>
      </c>
      <c r="W155" t="s">
        <v>40</v>
      </c>
    </row>
    <row r="156" spans="1:23" x14ac:dyDescent="0.3">
      <c r="A156" t="s">
        <v>23</v>
      </c>
      <c r="B156" t="s">
        <v>1054</v>
      </c>
      <c r="C156" t="s">
        <v>1055</v>
      </c>
      <c r="D156" t="s">
        <v>590</v>
      </c>
      <c r="E156" t="s">
        <v>44</v>
      </c>
      <c r="F156" t="s">
        <v>28</v>
      </c>
      <c r="G156" t="s">
        <v>137</v>
      </c>
      <c r="H156" t="s">
        <v>1056</v>
      </c>
      <c r="I156" t="s">
        <v>249</v>
      </c>
      <c r="J156" t="s">
        <v>32</v>
      </c>
      <c r="K156" t="s">
        <v>33</v>
      </c>
      <c r="L156" t="s">
        <v>1057</v>
      </c>
      <c r="M156" t="s">
        <v>1058</v>
      </c>
      <c r="N156" t="s">
        <v>1059</v>
      </c>
      <c r="O156">
        <v>3154.1059037599262</v>
      </c>
      <c r="P156">
        <v>2451.5500000000002</v>
      </c>
      <c r="Q156">
        <v>2431.5623999999998</v>
      </c>
      <c r="R156" t="s">
        <v>67</v>
      </c>
      <c r="S156" t="s">
        <v>38</v>
      </c>
      <c r="T156" t="s">
        <v>38</v>
      </c>
      <c r="U156" t="s">
        <v>39</v>
      </c>
      <c r="W156" t="s">
        <v>40</v>
      </c>
    </row>
    <row r="157" spans="1:23" x14ac:dyDescent="0.3">
      <c r="A157" t="s">
        <v>23</v>
      </c>
      <c r="B157" t="s">
        <v>1060</v>
      </c>
      <c r="C157" t="s">
        <v>1061</v>
      </c>
      <c r="D157" t="s">
        <v>279</v>
      </c>
      <c r="E157" t="s">
        <v>90</v>
      </c>
      <c r="F157" t="s">
        <v>91</v>
      </c>
      <c r="G157" t="s">
        <v>92</v>
      </c>
      <c r="H157" t="s">
        <v>1062</v>
      </c>
      <c r="I157" t="s">
        <v>102</v>
      </c>
      <c r="J157" t="s">
        <v>32</v>
      </c>
      <c r="K157" t="s">
        <v>33</v>
      </c>
      <c r="L157" t="s">
        <v>1063</v>
      </c>
      <c r="M157" t="s">
        <v>1064</v>
      </c>
      <c r="N157" t="s">
        <v>1065</v>
      </c>
      <c r="O157">
        <v>2055.6640327735458</v>
      </c>
      <c r="P157">
        <v>775.97</v>
      </c>
      <c r="Q157">
        <v>757.06</v>
      </c>
      <c r="R157" t="s">
        <v>75</v>
      </c>
      <c r="S157" t="s">
        <v>51</v>
      </c>
      <c r="T157" t="s">
        <v>51</v>
      </c>
      <c r="U157" t="s">
        <v>143</v>
      </c>
      <c r="V157" t="s">
        <v>53</v>
      </c>
      <c r="W157" t="s">
        <v>40</v>
      </c>
    </row>
    <row r="158" spans="1:23" x14ac:dyDescent="0.3">
      <c r="A158" t="s">
        <v>23</v>
      </c>
      <c r="B158" t="s">
        <v>1066</v>
      </c>
      <c r="C158" t="s">
        <v>1067</v>
      </c>
      <c r="D158" t="s">
        <v>247</v>
      </c>
      <c r="E158" t="s">
        <v>44</v>
      </c>
      <c r="F158" t="s">
        <v>28</v>
      </c>
      <c r="G158" t="s">
        <v>45</v>
      </c>
      <c r="H158" t="s">
        <v>1068</v>
      </c>
      <c r="I158" t="s">
        <v>147</v>
      </c>
      <c r="J158" t="s">
        <v>250</v>
      </c>
      <c r="K158" t="s">
        <v>33</v>
      </c>
      <c r="L158" t="s">
        <v>1069</v>
      </c>
      <c r="M158" t="s">
        <v>1070</v>
      </c>
      <c r="N158" t="s">
        <v>1071</v>
      </c>
      <c r="O158">
        <v>152.94428056420509</v>
      </c>
      <c r="P158">
        <v>83.75</v>
      </c>
      <c r="Q158">
        <v>80.793999999999997</v>
      </c>
      <c r="R158" t="s">
        <v>125</v>
      </c>
      <c r="S158" t="s">
        <v>106</v>
      </c>
      <c r="T158" t="s">
        <v>106</v>
      </c>
      <c r="U158" t="s">
        <v>133</v>
      </c>
      <c r="V158" t="s">
        <v>53</v>
      </c>
      <c r="W158" t="s">
        <v>40</v>
      </c>
    </row>
    <row r="159" spans="1:23" x14ac:dyDescent="0.3">
      <c r="A159" t="s">
        <v>23</v>
      </c>
      <c r="B159" t="s">
        <v>1072</v>
      </c>
      <c r="C159" t="s">
        <v>1073</v>
      </c>
      <c r="D159" t="s">
        <v>616</v>
      </c>
      <c r="E159" t="s">
        <v>616</v>
      </c>
      <c r="F159" t="s">
        <v>28</v>
      </c>
      <c r="G159" t="s">
        <v>45</v>
      </c>
      <c r="H159" t="s">
        <v>1074</v>
      </c>
      <c r="I159" t="s">
        <v>72</v>
      </c>
      <c r="J159" t="s">
        <v>32</v>
      </c>
      <c r="K159" t="s">
        <v>33</v>
      </c>
      <c r="L159" t="s">
        <v>1075</v>
      </c>
      <c r="M159" t="s">
        <v>1076</v>
      </c>
      <c r="N159" t="s">
        <v>1077</v>
      </c>
      <c r="O159">
        <v>1299.90553218639</v>
      </c>
      <c r="P159">
        <v>647.97</v>
      </c>
      <c r="Q159">
        <v>641.178</v>
      </c>
      <c r="R159" t="s">
        <v>37</v>
      </c>
      <c r="S159" t="s">
        <v>76</v>
      </c>
      <c r="T159" t="s">
        <v>76</v>
      </c>
      <c r="U159" t="s">
        <v>261</v>
      </c>
      <c r="V159" t="s">
        <v>262</v>
      </c>
      <c r="W159" t="s">
        <v>40</v>
      </c>
    </row>
    <row r="160" spans="1:23" x14ac:dyDescent="0.3">
      <c r="A160" t="s">
        <v>23</v>
      </c>
      <c r="B160" t="s">
        <v>1078</v>
      </c>
      <c r="C160" t="s">
        <v>1079</v>
      </c>
      <c r="D160" t="s">
        <v>191</v>
      </c>
      <c r="E160" t="s">
        <v>90</v>
      </c>
      <c r="F160" t="s">
        <v>91</v>
      </c>
      <c r="G160" t="s">
        <v>92</v>
      </c>
      <c r="H160" t="s">
        <v>1080</v>
      </c>
      <c r="I160" t="s">
        <v>121</v>
      </c>
      <c r="J160" t="s">
        <v>32</v>
      </c>
      <c r="K160" t="s">
        <v>33</v>
      </c>
      <c r="L160" t="s">
        <v>1081</v>
      </c>
      <c r="M160" t="s">
        <v>1082</v>
      </c>
      <c r="N160" t="s">
        <v>1083</v>
      </c>
      <c r="O160">
        <v>3217.4700676685961</v>
      </c>
      <c r="P160">
        <v>3152.35</v>
      </c>
      <c r="Q160">
        <v>3148.2543999999998</v>
      </c>
      <c r="R160" t="s">
        <v>37</v>
      </c>
      <c r="S160" t="s">
        <v>38</v>
      </c>
      <c r="T160" t="s">
        <v>38</v>
      </c>
      <c r="U160" t="s">
        <v>39</v>
      </c>
      <c r="W160" t="s">
        <v>40</v>
      </c>
    </row>
    <row r="161" spans="1:23" x14ac:dyDescent="0.3">
      <c r="A161" t="s">
        <v>23</v>
      </c>
      <c r="B161" t="s">
        <v>1084</v>
      </c>
      <c r="C161" t="s">
        <v>1085</v>
      </c>
      <c r="D161" t="s">
        <v>182</v>
      </c>
      <c r="E161" t="s">
        <v>27</v>
      </c>
      <c r="F161" t="s">
        <v>28</v>
      </c>
      <c r="G161" t="s">
        <v>29</v>
      </c>
      <c r="H161" t="s">
        <v>1086</v>
      </c>
      <c r="I161" t="s">
        <v>139</v>
      </c>
      <c r="J161" t="s">
        <v>32</v>
      </c>
      <c r="K161" t="s">
        <v>33</v>
      </c>
      <c r="L161" t="s">
        <v>1087</v>
      </c>
      <c r="M161" t="s">
        <v>1088</v>
      </c>
      <c r="N161" t="s">
        <v>1089</v>
      </c>
      <c r="O161">
        <v>2966.2451847220018</v>
      </c>
      <c r="P161">
        <v>2408.59</v>
      </c>
      <c r="Q161">
        <v>2409.3244</v>
      </c>
      <c r="R161" t="s">
        <v>75</v>
      </c>
      <c r="S161" t="s">
        <v>38</v>
      </c>
      <c r="T161" t="s">
        <v>38</v>
      </c>
      <c r="U161" t="s">
        <v>39</v>
      </c>
      <c r="W161" t="s">
        <v>40</v>
      </c>
    </row>
    <row r="162" spans="1:23" x14ac:dyDescent="0.3">
      <c r="A162" t="s">
        <v>23</v>
      </c>
      <c r="B162" t="s">
        <v>1090</v>
      </c>
      <c r="C162" t="s">
        <v>1091</v>
      </c>
      <c r="D162" t="s">
        <v>205</v>
      </c>
      <c r="E162" t="s">
        <v>81</v>
      </c>
      <c r="F162" t="s">
        <v>59</v>
      </c>
      <c r="G162" t="s">
        <v>82</v>
      </c>
      <c r="H162" t="s">
        <v>1092</v>
      </c>
      <c r="I162" t="s">
        <v>102</v>
      </c>
      <c r="J162" t="s">
        <v>32</v>
      </c>
      <c r="K162" t="s">
        <v>33</v>
      </c>
      <c r="L162" t="s">
        <v>1093</v>
      </c>
      <c r="M162" t="s">
        <v>1094</v>
      </c>
      <c r="N162" t="s">
        <v>1095</v>
      </c>
      <c r="O162">
        <v>653.36897240123483</v>
      </c>
      <c r="P162">
        <v>501.74</v>
      </c>
      <c r="Q162">
        <v>496.28680000000003</v>
      </c>
      <c r="R162" t="s">
        <v>37</v>
      </c>
      <c r="S162" t="s">
        <v>38</v>
      </c>
      <c r="T162" t="s">
        <v>38</v>
      </c>
      <c r="U162" t="s">
        <v>39</v>
      </c>
      <c r="W162" t="s">
        <v>40</v>
      </c>
    </row>
    <row r="163" spans="1:23" x14ac:dyDescent="0.3">
      <c r="A163" t="s">
        <v>23</v>
      </c>
      <c r="B163" t="s">
        <v>1096</v>
      </c>
      <c r="C163" t="s">
        <v>1097</v>
      </c>
      <c r="D163" t="s">
        <v>597</v>
      </c>
      <c r="E163" t="s">
        <v>90</v>
      </c>
      <c r="F163" t="s">
        <v>91</v>
      </c>
      <c r="G163" t="s">
        <v>92</v>
      </c>
      <c r="H163" t="s">
        <v>1098</v>
      </c>
      <c r="I163" t="s">
        <v>62</v>
      </c>
      <c r="J163" t="s">
        <v>32</v>
      </c>
      <c r="K163" t="s">
        <v>33</v>
      </c>
      <c r="L163" t="s">
        <v>1099</v>
      </c>
      <c r="M163" t="s">
        <v>1100</v>
      </c>
      <c r="N163" t="s">
        <v>1101</v>
      </c>
      <c r="O163">
        <v>64.816050291044419</v>
      </c>
      <c r="P163">
        <v>64.05</v>
      </c>
      <c r="Q163">
        <v>64.012799999999999</v>
      </c>
      <c r="R163" t="s">
        <v>75</v>
      </c>
      <c r="S163" t="s">
        <v>38</v>
      </c>
      <c r="T163" t="s">
        <v>38</v>
      </c>
      <c r="U163" t="s">
        <v>39</v>
      </c>
      <c r="W163" t="s">
        <v>40</v>
      </c>
    </row>
    <row r="164" spans="1:23" x14ac:dyDescent="0.3">
      <c r="A164" t="s">
        <v>23</v>
      </c>
      <c r="B164" t="s">
        <v>1102</v>
      </c>
      <c r="C164" t="s">
        <v>1103</v>
      </c>
      <c r="D164" t="s">
        <v>616</v>
      </c>
      <c r="E164" t="s">
        <v>616</v>
      </c>
      <c r="F164" t="s">
        <v>28</v>
      </c>
      <c r="G164" t="s">
        <v>45</v>
      </c>
      <c r="H164" t="s">
        <v>1104</v>
      </c>
      <c r="I164" t="s">
        <v>147</v>
      </c>
      <c r="J164" t="s">
        <v>250</v>
      </c>
      <c r="K164" t="s">
        <v>33</v>
      </c>
      <c r="L164" t="s">
        <v>1105</v>
      </c>
      <c r="M164" t="s">
        <v>1106</v>
      </c>
      <c r="N164" t="s">
        <v>1107</v>
      </c>
      <c r="O164">
        <v>2355.5373201279799</v>
      </c>
      <c r="P164">
        <v>863.22</v>
      </c>
      <c r="Q164">
        <v>832.92719999999997</v>
      </c>
      <c r="R164" t="s">
        <v>125</v>
      </c>
      <c r="S164" t="s">
        <v>51</v>
      </c>
      <c r="T164" t="s">
        <v>51</v>
      </c>
      <c r="U164" t="s">
        <v>143</v>
      </c>
      <c r="V164" t="s">
        <v>53</v>
      </c>
      <c r="W164" t="s">
        <v>40</v>
      </c>
    </row>
    <row r="165" spans="1:23" x14ac:dyDescent="0.3">
      <c r="A165" t="s">
        <v>23</v>
      </c>
      <c r="B165" t="s">
        <v>1108</v>
      </c>
      <c r="C165" t="s">
        <v>1109</v>
      </c>
      <c r="D165" t="s">
        <v>219</v>
      </c>
      <c r="E165" t="s">
        <v>27</v>
      </c>
      <c r="F165" t="s">
        <v>28</v>
      </c>
      <c r="G165" t="s">
        <v>29</v>
      </c>
      <c r="H165" t="s">
        <v>1110</v>
      </c>
      <c r="I165" t="s">
        <v>147</v>
      </c>
      <c r="J165" t="s">
        <v>32</v>
      </c>
      <c r="K165" t="s">
        <v>33</v>
      </c>
      <c r="L165" t="s">
        <v>1111</v>
      </c>
      <c r="M165" t="s">
        <v>1112</v>
      </c>
      <c r="N165" t="s">
        <v>1113</v>
      </c>
      <c r="O165">
        <v>5227.4643666380152</v>
      </c>
      <c r="P165">
        <v>3281.68</v>
      </c>
      <c r="Q165">
        <v>3303.5868</v>
      </c>
      <c r="R165" t="s">
        <v>37</v>
      </c>
      <c r="S165" t="s">
        <v>38</v>
      </c>
      <c r="T165" t="s">
        <v>38</v>
      </c>
      <c r="U165" t="s">
        <v>39</v>
      </c>
      <c r="W165" t="s">
        <v>40</v>
      </c>
    </row>
    <row r="166" spans="1:23" x14ac:dyDescent="0.3">
      <c r="A166" t="s">
        <v>23</v>
      </c>
      <c r="B166" t="s">
        <v>1114</v>
      </c>
      <c r="C166" t="s">
        <v>1115</v>
      </c>
      <c r="D166" t="s">
        <v>265</v>
      </c>
      <c r="E166" t="s">
        <v>81</v>
      </c>
      <c r="F166" t="s">
        <v>59</v>
      </c>
      <c r="G166" t="s">
        <v>82</v>
      </c>
      <c r="H166" t="s">
        <v>1116</v>
      </c>
      <c r="I166" t="s">
        <v>62</v>
      </c>
      <c r="J166" t="s">
        <v>32</v>
      </c>
      <c r="K166" t="s">
        <v>33</v>
      </c>
      <c r="L166" t="s">
        <v>1117</v>
      </c>
      <c r="M166" t="s">
        <v>1118</v>
      </c>
      <c r="N166" t="s">
        <v>1119</v>
      </c>
      <c r="O166">
        <v>836.2444526676743</v>
      </c>
      <c r="P166">
        <v>828.05</v>
      </c>
      <c r="Q166">
        <v>827.19280000000003</v>
      </c>
      <c r="R166" t="s">
        <v>125</v>
      </c>
      <c r="S166" t="s">
        <v>38</v>
      </c>
      <c r="T166" t="s">
        <v>38</v>
      </c>
      <c r="U166" t="s">
        <v>39</v>
      </c>
      <c r="W166" t="s">
        <v>40</v>
      </c>
    </row>
    <row r="167" spans="1:23" x14ac:dyDescent="0.3">
      <c r="A167" t="s">
        <v>23</v>
      </c>
      <c r="B167" t="s">
        <v>1120</v>
      </c>
      <c r="C167" t="s">
        <v>1121</v>
      </c>
      <c r="D167" t="s">
        <v>247</v>
      </c>
      <c r="E167" t="s">
        <v>44</v>
      </c>
      <c r="F167" t="s">
        <v>28</v>
      </c>
      <c r="G167" t="s">
        <v>45</v>
      </c>
      <c r="H167" t="s">
        <v>1122</v>
      </c>
      <c r="I167" t="s">
        <v>147</v>
      </c>
      <c r="J167" t="s">
        <v>250</v>
      </c>
      <c r="K167" t="s">
        <v>33</v>
      </c>
      <c r="L167" t="s">
        <v>1123</v>
      </c>
      <c r="M167" t="s">
        <v>1124</v>
      </c>
      <c r="N167" t="s">
        <v>1125</v>
      </c>
      <c r="O167">
        <v>1124.38349279555</v>
      </c>
      <c r="P167">
        <v>872.99</v>
      </c>
      <c r="Q167">
        <v>865.32680000000005</v>
      </c>
      <c r="R167" t="s">
        <v>125</v>
      </c>
      <c r="S167" t="s">
        <v>38</v>
      </c>
      <c r="T167" t="s">
        <v>38</v>
      </c>
      <c r="U167" t="s">
        <v>39</v>
      </c>
      <c r="W167" t="s">
        <v>40</v>
      </c>
    </row>
    <row r="168" spans="1:23" x14ac:dyDescent="0.3">
      <c r="A168" t="s">
        <v>23</v>
      </c>
      <c r="B168" t="s">
        <v>1126</v>
      </c>
      <c r="C168" t="s">
        <v>1127</v>
      </c>
      <c r="D168" t="s">
        <v>198</v>
      </c>
      <c r="E168" t="s">
        <v>90</v>
      </c>
      <c r="F168" t="s">
        <v>91</v>
      </c>
      <c r="G168" t="s">
        <v>92</v>
      </c>
      <c r="H168" t="s">
        <v>1128</v>
      </c>
      <c r="I168" t="s">
        <v>102</v>
      </c>
      <c r="J168" t="s">
        <v>32</v>
      </c>
      <c r="K168" t="s">
        <v>33</v>
      </c>
      <c r="L168" t="s">
        <v>1129</v>
      </c>
      <c r="M168" t="s">
        <v>1130</v>
      </c>
      <c r="N168" t="s">
        <v>283</v>
      </c>
      <c r="O168">
        <v>531.49533650472688</v>
      </c>
      <c r="P168">
        <v>521.23</v>
      </c>
      <c r="Q168">
        <v>520.85199999999998</v>
      </c>
      <c r="R168" t="s">
        <v>67</v>
      </c>
      <c r="S168" t="s">
        <v>38</v>
      </c>
      <c r="T168" t="s">
        <v>38</v>
      </c>
      <c r="U168" t="s">
        <v>39</v>
      </c>
      <c r="W168" t="s">
        <v>40</v>
      </c>
    </row>
    <row r="169" spans="1:23" x14ac:dyDescent="0.3">
      <c r="A169" t="s">
        <v>23</v>
      </c>
      <c r="B169" t="s">
        <v>1131</v>
      </c>
      <c r="C169" t="s">
        <v>1132</v>
      </c>
      <c r="D169" t="s">
        <v>198</v>
      </c>
      <c r="E169" t="s">
        <v>90</v>
      </c>
      <c r="F169" t="s">
        <v>91</v>
      </c>
      <c r="G169" t="s">
        <v>92</v>
      </c>
      <c r="H169" t="s">
        <v>1133</v>
      </c>
      <c r="I169" t="s">
        <v>102</v>
      </c>
      <c r="J169" t="s">
        <v>32</v>
      </c>
      <c r="K169" t="s">
        <v>33</v>
      </c>
      <c r="L169" t="s">
        <v>1134</v>
      </c>
      <c r="M169" t="s">
        <v>1135</v>
      </c>
      <c r="N169" t="s">
        <v>1136</v>
      </c>
      <c r="O169">
        <v>1009.605867617687</v>
      </c>
      <c r="P169">
        <v>644.63</v>
      </c>
      <c r="Q169">
        <v>638.34839999999997</v>
      </c>
      <c r="R169" t="s">
        <v>37</v>
      </c>
      <c r="S169" t="s">
        <v>38</v>
      </c>
      <c r="T169" t="s">
        <v>51</v>
      </c>
      <c r="U169" t="s">
        <v>52</v>
      </c>
      <c r="V169" t="s">
        <v>108</v>
      </c>
      <c r="W169" t="s">
        <v>54</v>
      </c>
    </row>
    <row r="170" spans="1:23" x14ac:dyDescent="0.3">
      <c r="A170" t="s">
        <v>23</v>
      </c>
      <c r="B170" t="s">
        <v>1137</v>
      </c>
      <c r="C170" t="s">
        <v>1138</v>
      </c>
      <c r="D170" t="s">
        <v>616</v>
      </c>
      <c r="E170" t="s">
        <v>616</v>
      </c>
      <c r="F170" t="s">
        <v>28</v>
      </c>
      <c r="G170" t="s">
        <v>45</v>
      </c>
      <c r="H170" t="s">
        <v>1139</v>
      </c>
      <c r="I170" t="s">
        <v>139</v>
      </c>
      <c r="J170" t="s">
        <v>32</v>
      </c>
      <c r="K170" t="s">
        <v>33</v>
      </c>
      <c r="L170" t="s">
        <v>1140</v>
      </c>
      <c r="M170" t="s">
        <v>1141</v>
      </c>
      <c r="N170" t="s">
        <v>1142</v>
      </c>
      <c r="O170">
        <v>1650.3646501099761</v>
      </c>
      <c r="P170">
        <v>908.12</v>
      </c>
      <c r="Q170">
        <v>899.27160000000003</v>
      </c>
      <c r="R170" t="s">
        <v>37</v>
      </c>
      <c r="S170" t="s">
        <v>51</v>
      </c>
      <c r="T170" t="s">
        <v>51</v>
      </c>
      <c r="U170" t="s">
        <v>143</v>
      </c>
      <c r="V170" t="s">
        <v>53</v>
      </c>
      <c r="W170" t="s">
        <v>40</v>
      </c>
    </row>
    <row r="171" spans="1:23" x14ac:dyDescent="0.3">
      <c r="A171" t="s">
        <v>23</v>
      </c>
      <c r="B171" t="s">
        <v>1143</v>
      </c>
      <c r="C171" t="s">
        <v>1144</v>
      </c>
      <c r="D171" t="s">
        <v>265</v>
      </c>
      <c r="E171" t="s">
        <v>81</v>
      </c>
      <c r="F171" t="s">
        <v>59</v>
      </c>
      <c r="G171" t="s">
        <v>82</v>
      </c>
      <c r="H171" t="s">
        <v>1145</v>
      </c>
      <c r="I171" t="s">
        <v>62</v>
      </c>
      <c r="J171" t="s">
        <v>32</v>
      </c>
      <c r="K171" t="s">
        <v>33</v>
      </c>
      <c r="L171" t="s">
        <v>1146</v>
      </c>
      <c r="M171" t="s">
        <v>1147</v>
      </c>
      <c r="N171" t="s">
        <v>1148</v>
      </c>
      <c r="O171">
        <v>170.77730599287031</v>
      </c>
      <c r="P171">
        <v>170.77</v>
      </c>
      <c r="Q171">
        <v>170.738</v>
      </c>
      <c r="R171" t="s">
        <v>67</v>
      </c>
      <c r="S171" t="s">
        <v>38</v>
      </c>
      <c r="T171" t="s">
        <v>38</v>
      </c>
      <c r="U171" t="s">
        <v>39</v>
      </c>
      <c r="W171" t="s">
        <v>40</v>
      </c>
    </row>
    <row r="172" spans="1:23" x14ac:dyDescent="0.3">
      <c r="A172" t="s">
        <v>23</v>
      </c>
      <c r="B172" t="s">
        <v>1149</v>
      </c>
      <c r="C172" t="s">
        <v>1150</v>
      </c>
      <c r="D172" t="s">
        <v>219</v>
      </c>
      <c r="E172" t="s">
        <v>27</v>
      </c>
      <c r="F172" t="s">
        <v>28</v>
      </c>
      <c r="G172" t="s">
        <v>29</v>
      </c>
      <c r="H172" t="s">
        <v>1151</v>
      </c>
      <c r="I172" t="s">
        <v>139</v>
      </c>
      <c r="J172" t="s">
        <v>32</v>
      </c>
      <c r="K172" t="s">
        <v>33</v>
      </c>
      <c r="L172" t="s">
        <v>1152</v>
      </c>
      <c r="M172" t="s">
        <v>1153</v>
      </c>
      <c r="N172" t="s">
        <v>1154</v>
      </c>
      <c r="O172">
        <v>6137.2502388644634</v>
      </c>
      <c r="P172">
        <v>3739.96</v>
      </c>
      <c r="Q172">
        <v>3707.9951999999998</v>
      </c>
      <c r="R172" t="s">
        <v>75</v>
      </c>
      <c r="S172" t="s">
        <v>38</v>
      </c>
      <c r="T172" t="s">
        <v>38</v>
      </c>
      <c r="U172" t="s">
        <v>39</v>
      </c>
      <c r="W172" t="s">
        <v>40</v>
      </c>
    </row>
    <row r="173" spans="1:23" x14ac:dyDescent="0.3">
      <c r="A173" t="s">
        <v>23</v>
      </c>
      <c r="B173" t="s">
        <v>1155</v>
      </c>
      <c r="C173" t="s">
        <v>1156</v>
      </c>
      <c r="D173" t="s">
        <v>695</v>
      </c>
      <c r="E173" t="s">
        <v>90</v>
      </c>
      <c r="F173" t="s">
        <v>91</v>
      </c>
      <c r="G173" t="s">
        <v>92</v>
      </c>
      <c r="H173" t="s">
        <v>1157</v>
      </c>
      <c r="I173" t="s">
        <v>102</v>
      </c>
      <c r="J173" t="s">
        <v>32</v>
      </c>
      <c r="K173" t="s">
        <v>33</v>
      </c>
      <c r="L173" t="s">
        <v>1158</v>
      </c>
      <c r="M173" t="s">
        <v>1159</v>
      </c>
      <c r="N173" t="s">
        <v>1160</v>
      </c>
      <c r="O173">
        <v>298.89662359517632</v>
      </c>
      <c r="P173">
        <v>80.02</v>
      </c>
      <c r="Q173">
        <v>78.336399999999998</v>
      </c>
      <c r="R173" t="s">
        <v>37</v>
      </c>
      <c r="S173" t="s">
        <v>106</v>
      </c>
      <c r="T173" t="s">
        <v>106</v>
      </c>
      <c r="U173" t="s">
        <v>133</v>
      </c>
      <c r="V173" t="s">
        <v>504</v>
      </c>
      <c r="W173" t="s">
        <v>40</v>
      </c>
    </row>
    <row r="174" spans="1:23" x14ac:dyDescent="0.3">
      <c r="A174" t="s">
        <v>23</v>
      </c>
      <c r="B174" t="s">
        <v>1161</v>
      </c>
      <c r="C174" t="s">
        <v>1162</v>
      </c>
      <c r="D174" t="s">
        <v>1163</v>
      </c>
      <c r="E174" t="s">
        <v>90</v>
      </c>
      <c r="F174" t="s">
        <v>91</v>
      </c>
      <c r="G174" t="s">
        <v>92</v>
      </c>
      <c r="H174" t="s">
        <v>1164</v>
      </c>
      <c r="I174" t="s">
        <v>102</v>
      </c>
      <c r="J174" t="s">
        <v>32</v>
      </c>
      <c r="K174" t="s">
        <v>33</v>
      </c>
      <c r="L174" t="s">
        <v>1165</v>
      </c>
      <c r="M174" t="s">
        <v>1166</v>
      </c>
      <c r="N174" t="s">
        <v>1167</v>
      </c>
      <c r="O174">
        <v>247.4418225844496</v>
      </c>
      <c r="P174">
        <v>120.71</v>
      </c>
      <c r="Q174">
        <v>119.584</v>
      </c>
      <c r="R174" t="s">
        <v>37</v>
      </c>
      <c r="S174" t="s">
        <v>106</v>
      </c>
      <c r="T174" t="s">
        <v>106</v>
      </c>
      <c r="U174" t="s">
        <v>133</v>
      </c>
      <c r="V174" t="s">
        <v>108</v>
      </c>
      <c r="W174" t="s">
        <v>40</v>
      </c>
    </row>
    <row r="175" spans="1:23" x14ac:dyDescent="0.3">
      <c r="A175" t="s">
        <v>23</v>
      </c>
      <c r="B175" t="s">
        <v>1168</v>
      </c>
      <c r="C175" t="s">
        <v>1169</v>
      </c>
      <c r="D175" t="s">
        <v>959</v>
      </c>
      <c r="E175" t="s">
        <v>81</v>
      </c>
      <c r="F175" t="s">
        <v>59</v>
      </c>
      <c r="G175" t="s">
        <v>82</v>
      </c>
      <c r="H175" t="s">
        <v>1170</v>
      </c>
      <c r="I175" t="s">
        <v>62</v>
      </c>
      <c r="J175" t="s">
        <v>32</v>
      </c>
      <c r="K175" t="s">
        <v>33</v>
      </c>
      <c r="L175" t="s">
        <v>1171</v>
      </c>
      <c r="M175" t="s">
        <v>1172</v>
      </c>
      <c r="N175" t="s">
        <v>1173</v>
      </c>
      <c r="O175">
        <v>653.34043536582146</v>
      </c>
      <c r="P175">
        <v>652.04999999999995</v>
      </c>
      <c r="Q175">
        <v>650.53920000000005</v>
      </c>
      <c r="R175" t="s">
        <v>75</v>
      </c>
      <c r="S175" t="s">
        <v>38</v>
      </c>
      <c r="T175" t="s">
        <v>38</v>
      </c>
      <c r="U175" t="s">
        <v>39</v>
      </c>
      <c r="W175" t="s">
        <v>40</v>
      </c>
    </row>
    <row r="176" spans="1:23" x14ac:dyDescent="0.3">
      <c r="A176" t="s">
        <v>23</v>
      </c>
      <c r="B176" t="s">
        <v>1174</v>
      </c>
      <c r="C176" t="s">
        <v>1175</v>
      </c>
      <c r="D176" t="s">
        <v>247</v>
      </c>
      <c r="E176" t="s">
        <v>44</v>
      </c>
      <c r="F176" t="s">
        <v>28</v>
      </c>
      <c r="G176" t="s">
        <v>45</v>
      </c>
      <c r="H176" t="s">
        <v>1176</v>
      </c>
      <c r="I176" t="s">
        <v>241</v>
      </c>
      <c r="J176" t="s">
        <v>32</v>
      </c>
      <c r="K176" t="s">
        <v>33</v>
      </c>
      <c r="L176" t="s">
        <v>1177</v>
      </c>
      <c r="M176" t="s">
        <v>1178</v>
      </c>
      <c r="N176" t="s">
        <v>1179</v>
      </c>
      <c r="O176">
        <v>760.25642838181773</v>
      </c>
      <c r="P176">
        <v>758.02</v>
      </c>
      <c r="Q176">
        <v>757.69799999999998</v>
      </c>
      <c r="R176" t="s">
        <v>67</v>
      </c>
      <c r="S176" t="s">
        <v>38</v>
      </c>
      <c r="T176" t="s">
        <v>38</v>
      </c>
      <c r="U176" t="s">
        <v>39</v>
      </c>
      <c r="W176" t="s">
        <v>40</v>
      </c>
    </row>
    <row r="177" spans="1:23" x14ac:dyDescent="0.3">
      <c r="A177" t="s">
        <v>23</v>
      </c>
      <c r="B177" t="s">
        <v>1180</v>
      </c>
      <c r="C177" t="s">
        <v>1181</v>
      </c>
      <c r="D177" t="s">
        <v>26</v>
      </c>
      <c r="E177" t="s">
        <v>27</v>
      </c>
      <c r="F177" t="s">
        <v>28</v>
      </c>
      <c r="G177" t="s">
        <v>29</v>
      </c>
      <c r="H177" t="s">
        <v>1182</v>
      </c>
      <c r="I177" t="s">
        <v>129</v>
      </c>
      <c r="J177" t="s">
        <v>32</v>
      </c>
      <c r="K177" t="s">
        <v>33</v>
      </c>
      <c r="L177" t="s">
        <v>1183</v>
      </c>
      <c r="M177" t="s">
        <v>1184</v>
      </c>
      <c r="N177" t="s">
        <v>1185</v>
      </c>
      <c r="O177">
        <v>329.48863220621718</v>
      </c>
      <c r="P177">
        <v>245.28</v>
      </c>
      <c r="Q177">
        <v>221.10560000000001</v>
      </c>
      <c r="R177" t="s">
        <v>75</v>
      </c>
      <c r="S177" t="s">
        <v>38</v>
      </c>
      <c r="T177" t="s">
        <v>38</v>
      </c>
      <c r="U177" t="s">
        <v>39</v>
      </c>
      <c r="W177" t="s">
        <v>40</v>
      </c>
    </row>
    <row r="178" spans="1:23" x14ac:dyDescent="0.3">
      <c r="A178" t="s">
        <v>23</v>
      </c>
      <c r="B178" t="s">
        <v>1186</v>
      </c>
      <c r="C178" t="s">
        <v>1187</v>
      </c>
      <c r="D178" t="s">
        <v>279</v>
      </c>
      <c r="E178" t="s">
        <v>90</v>
      </c>
      <c r="F178" t="s">
        <v>91</v>
      </c>
      <c r="G178" t="s">
        <v>92</v>
      </c>
      <c r="H178" t="s">
        <v>1188</v>
      </c>
      <c r="I178" t="s">
        <v>102</v>
      </c>
      <c r="J178" t="s">
        <v>32</v>
      </c>
      <c r="K178" t="s">
        <v>33</v>
      </c>
      <c r="L178" t="s">
        <v>1189</v>
      </c>
      <c r="M178" t="s">
        <v>1190</v>
      </c>
      <c r="N178" t="s">
        <v>1191</v>
      </c>
      <c r="O178">
        <v>422.86055354945751</v>
      </c>
      <c r="P178">
        <v>372.1</v>
      </c>
      <c r="Q178">
        <v>370.67039999999997</v>
      </c>
      <c r="R178" t="s">
        <v>37</v>
      </c>
      <c r="S178" t="s">
        <v>38</v>
      </c>
      <c r="T178" t="s">
        <v>106</v>
      </c>
      <c r="U178" t="s">
        <v>767</v>
      </c>
      <c r="V178" t="s">
        <v>108</v>
      </c>
      <c r="W178" t="s">
        <v>54</v>
      </c>
    </row>
    <row r="179" spans="1:23" x14ac:dyDescent="0.3">
      <c r="A179" t="s">
        <v>23</v>
      </c>
      <c r="B179" t="s">
        <v>1192</v>
      </c>
      <c r="C179" t="s">
        <v>1193</v>
      </c>
      <c r="D179" t="s">
        <v>175</v>
      </c>
      <c r="E179" t="s">
        <v>90</v>
      </c>
      <c r="F179" t="s">
        <v>91</v>
      </c>
      <c r="G179" t="s">
        <v>92</v>
      </c>
      <c r="H179" t="s">
        <v>1194</v>
      </c>
      <c r="I179" t="s">
        <v>94</v>
      </c>
      <c r="J179" t="s">
        <v>32</v>
      </c>
      <c r="K179" t="s">
        <v>33</v>
      </c>
      <c r="L179" t="s">
        <v>1195</v>
      </c>
      <c r="M179" t="s">
        <v>1196</v>
      </c>
      <c r="N179" t="s">
        <v>179</v>
      </c>
      <c r="O179">
        <v>1084.79505203349</v>
      </c>
      <c r="P179">
        <v>1082.94</v>
      </c>
      <c r="Q179">
        <v>1082.2344000000001</v>
      </c>
      <c r="R179" t="s">
        <v>67</v>
      </c>
      <c r="S179" t="s">
        <v>38</v>
      </c>
      <c r="T179" t="s">
        <v>38</v>
      </c>
      <c r="U179" t="s">
        <v>39</v>
      </c>
      <c r="W179" t="s">
        <v>40</v>
      </c>
    </row>
    <row r="180" spans="1:23" x14ac:dyDescent="0.3">
      <c r="A180" t="s">
        <v>23</v>
      </c>
      <c r="B180" t="s">
        <v>1197</v>
      </c>
      <c r="C180" t="s">
        <v>1198</v>
      </c>
      <c r="D180" t="s">
        <v>43</v>
      </c>
      <c r="E180" t="s">
        <v>44</v>
      </c>
      <c r="F180" t="s">
        <v>28</v>
      </c>
      <c r="G180" t="s">
        <v>137</v>
      </c>
      <c r="H180" t="s">
        <v>1199</v>
      </c>
      <c r="I180" t="s">
        <v>1200</v>
      </c>
      <c r="J180" t="s">
        <v>32</v>
      </c>
      <c r="K180" t="s">
        <v>33</v>
      </c>
      <c r="L180" t="s">
        <v>1201</v>
      </c>
      <c r="M180" t="s">
        <v>1202</v>
      </c>
      <c r="N180" t="s">
        <v>1203</v>
      </c>
      <c r="O180">
        <v>7198.1985426646097</v>
      </c>
      <c r="P180">
        <v>3996.3</v>
      </c>
      <c r="Q180">
        <v>2856.3380000000002</v>
      </c>
      <c r="R180" t="s">
        <v>37</v>
      </c>
      <c r="S180" t="s">
        <v>76</v>
      </c>
      <c r="T180" t="s">
        <v>51</v>
      </c>
      <c r="U180" t="s">
        <v>77</v>
      </c>
      <c r="V180" t="s">
        <v>53</v>
      </c>
      <c r="W180" t="s">
        <v>54</v>
      </c>
    </row>
    <row r="181" spans="1:23" x14ac:dyDescent="0.3">
      <c r="A181" t="s">
        <v>23</v>
      </c>
      <c r="B181" t="s">
        <v>1204</v>
      </c>
      <c r="C181" t="s">
        <v>1205</v>
      </c>
      <c r="D181" t="s">
        <v>279</v>
      </c>
      <c r="E181" t="s">
        <v>90</v>
      </c>
      <c r="F181" t="s">
        <v>91</v>
      </c>
      <c r="G181" t="s">
        <v>92</v>
      </c>
      <c r="H181" t="s">
        <v>1206</v>
      </c>
      <c r="I181" t="s">
        <v>102</v>
      </c>
      <c r="J181" t="s">
        <v>32</v>
      </c>
      <c r="K181" t="s">
        <v>33</v>
      </c>
      <c r="L181" t="s">
        <v>1207</v>
      </c>
      <c r="M181" t="s">
        <v>1208</v>
      </c>
      <c r="N181" t="s">
        <v>179</v>
      </c>
      <c r="O181">
        <v>394.09281726006918</v>
      </c>
      <c r="P181">
        <v>371.54</v>
      </c>
      <c r="Q181">
        <v>371.13799999999998</v>
      </c>
      <c r="R181" t="s">
        <v>67</v>
      </c>
      <c r="S181" t="s">
        <v>38</v>
      </c>
      <c r="T181" t="s">
        <v>38</v>
      </c>
      <c r="U181" t="s">
        <v>39</v>
      </c>
      <c r="W181" t="s">
        <v>40</v>
      </c>
    </row>
    <row r="182" spans="1:23" x14ac:dyDescent="0.3">
      <c r="A182" t="s">
        <v>23</v>
      </c>
      <c r="B182" t="s">
        <v>1209</v>
      </c>
      <c r="C182" t="s">
        <v>1210</v>
      </c>
      <c r="D182" t="s">
        <v>191</v>
      </c>
      <c r="E182" t="s">
        <v>90</v>
      </c>
      <c r="F182" t="s">
        <v>91</v>
      </c>
      <c r="G182" t="s">
        <v>92</v>
      </c>
      <c r="H182" t="s">
        <v>1211</v>
      </c>
      <c r="I182" t="s">
        <v>62</v>
      </c>
      <c r="J182" t="s">
        <v>32</v>
      </c>
      <c r="K182" t="s">
        <v>33</v>
      </c>
      <c r="L182" t="s">
        <v>1212</v>
      </c>
      <c r="M182" t="s">
        <v>1213</v>
      </c>
      <c r="N182" t="s">
        <v>1214</v>
      </c>
      <c r="O182">
        <v>578.91993158137393</v>
      </c>
      <c r="P182">
        <v>565.64</v>
      </c>
      <c r="Q182">
        <v>565.32079999999996</v>
      </c>
      <c r="R182" t="s">
        <v>75</v>
      </c>
      <c r="S182" t="s">
        <v>38</v>
      </c>
      <c r="T182" t="s">
        <v>38</v>
      </c>
      <c r="U182" t="s">
        <v>39</v>
      </c>
      <c r="W182" t="s">
        <v>40</v>
      </c>
    </row>
    <row r="183" spans="1:23" x14ac:dyDescent="0.3">
      <c r="A183" t="s">
        <v>23</v>
      </c>
      <c r="B183" t="s">
        <v>1215</v>
      </c>
      <c r="C183" t="s">
        <v>1216</v>
      </c>
      <c r="D183" t="s">
        <v>43</v>
      </c>
      <c r="E183" t="s">
        <v>44</v>
      </c>
      <c r="F183" t="s">
        <v>28</v>
      </c>
      <c r="G183" t="s">
        <v>45</v>
      </c>
      <c r="H183" t="s">
        <v>1217</v>
      </c>
      <c r="I183" t="s">
        <v>1218</v>
      </c>
      <c r="J183" t="s">
        <v>32</v>
      </c>
      <c r="K183" t="s">
        <v>33</v>
      </c>
      <c r="L183" t="s">
        <v>1219</v>
      </c>
      <c r="M183" t="s">
        <v>1220</v>
      </c>
      <c r="N183" t="s">
        <v>1221</v>
      </c>
      <c r="O183">
        <v>2066.3084388882921</v>
      </c>
      <c r="P183">
        <v>1929.95</v>
      </c>
      <c r="Q183">
        <v>1920.4380000000001</v>
      </c>
      <c r="R183" t="s">
        <v>125</v>
      </c>
      <c r="S183" t="s">
        <v>38</v>
      </c>
      <c r="T183" t="s">
        <v>38</v>
      </c>
      <c r="U183" t="s">
        <v>39</v>
      </c>
      <c r="W183" t="s">
        <v>40</v>
      </c>
    </row>
    <row r="184" spans="1:23" x14ac:dyDescent="0.3">
      <c r="A184" t="s">
        <v>23</v>
      </c>
      <c r="B184" t="s">
        <v>1222</v>
      </c>
      <c r="C184" t="s">
        <v>1223</v>
      </c>
      <c r="D184" t="s">
        <v>265</v>
      </c>
      <c r="E184" t="s">
        <v>81</v>
      </c>
      <c r="F184" t="s">
        <v>59</v>
      </c>
      <c r="G184" t="s">
        <v>82</v>
      </c>
      <c r="H184" t="s">
        <v>1224</v>
      </c>
      <c r="I184" t="s">
        <v>62</v>
      </c>
      <c r="J184" t="s">
        <v>32</v>
      </c>
      <c r="K184" t="s">
        <v>33</v>
      </c>
      <c r="L184" t="s">
        <v>1225</v>
      </c>
      <c r="M184" t="s">
        <v>1226</v>
      </c>
      <c r="N184" t="s">
        <v>1227</v>
      </c>
      <c r="O184">
        <v>372.04514462925778</v>
      </c>
      <c r="P184">
        <v>368.5</v>
      </c>
      <c r="Q184">
        <v>367.79</v>
      </c>
      <c r="R184" t="s">
        <v>67</v>
      </c>
      <c r="S184" t="s">
        <v>38</v>
      </c>
      <c r="T184" t="s">
        <v>38</v>
      </c>
      <c r="U184" t="s">
        <v>39</v>
      </c>
      <c r="W184" t="s">
        <v>40</v>
      </c>
    </row>
    <row r="185" spans="1:23" x14ac:dyDescent="0.3">
      <c r="A185" t="s">
        <v>23</v>
      </c>
      <c r="B185" t="s">
        <v>1228</v>
      </c>
      <c r="C185" t="s">
        <v>1229</v>
      </c>
      <c r="D185" t="s">
        <v>100</v>
      </c>
      <c r="E185" t="s">
        <v>90</v>
      </c>
      <c r="F185" t="s">
        <v>91</v>
      </c>
      <c r="G185" t="s">
        <v>92</v>
      </c>
      <c r="H185" t="s">
        <v>1230</v>
      </c>
      <c r="I185" t="s">
        <v>102</v>
      </c>
      <c r="J185" t="s">
        <v>32</v>
      </c>
      <c r="K185" t="s">
        <v>33</v>
      </c>
      <c r="L185" t="s">
        <v>1231</v>
      </c>
      <c r="M185" t="s">
        <v>1232</v>
      </c>
      <c r="N185" t="s">
        <v>1233</v>
      </c>
      <c r="O185">
        <v>951.31130414492839</v>
      </c>
      <c r="P185">
        <v>160.61000000000001</v>
      </c>
      <c r="Q185">
        <v>153.88839999999999</v>
      </c>
      <c r="R185" t="s">
        <v>75</v>
      </c>
      <c r="S185" t="s">
        <v>51</v>
      </c>
      <c r="T185" t="s">
        <v>51</v>
      </c>
      <c r="U185" t="s">
        <v>143</v>
      </c>
      <c r="V185" t="s">
        <v>1234</v>
      </c>
      <c r="W185" t="s">
        <v>40</v>
      </c>
    </row>
    <row r="186" spans="1:23" x14ac:dyDescent="0.3">
      <c r="A186" t="s">
        <v>23</v>
      </c>
      <c r="B186" t="s">
        <v>1235</v>
      </c>
      <c r="C186" t="s">
        <v>1236</v>
      </c>
      <c r="D186" t="s">
        <v>265</v>
      </c>
      <c r="E186" t="s">
        <v>81</v>
      </c>
      <c r="F186" t="s">
        <v>59</v>
      </c>
      <c r="G186" t="s">
        <v>82</v>
      </c>
      <c r="H186" t="s">
        <v>1237</v>
      </c>
      <c r="I186" t="s">
        <v>62</v>
      </c>
      <c r="J186" t="s">
        <v>63</v>
      </c>
      <c r="K186" t="s">
        <v>33</v>
      </c>
      <c r="L186" t="s">
        <v>1238</v>
      </c>
      <c r="M186" t="s">
        <v>1239</v>
      </c>
      <c r="N186" t="s">
        <v>1240</v>
      </c>
      <c r="O186">
        <v>3.2656762259333769</v>
      </c>
      <c r="P186">
        <v>3.27</v>
      </c>
      <c r="Q186">
        <v>3.2648000000000001</v>
      </c>
      <c r="R186" t="s">
        <v>67</v>
      </c>
      <c r="S186" t="s">
        <v>38</v>
      </c>
      <c r="T186" t="s">
        <v>38</v>
      </c>
      <c r="U186" t="s">
        <v>39</v>
      </c>
      <c r="W186" t="s">
        <v>40</v>
      </c>
    </row>
    <row r="187" spans="1:23" x14ac:dyDescent="0.3">
      <c r="A187" t="s">
        <v>23</v>
      </c>
      <c r="B187" t="s">
        <v>1241</v>
      </c>
      <c r="C187" t="s">
        <v>1242</v>
      </c>
      <c r="D187" t="s">
        <v>182</v>
      </c>
      <c r="E187" t="s">
        <v>27</v>
      </c>
      <c r="F187" t="s">
        <v>28</v>
      </c>
      <c r="G187" t="s">
        <v>29</v>
      </c>
      <c r="H187" t="s">
        <v>1243</v>
      </c>
      <c r="I187" t="s">
        <v>147</v>
      </c>
      <c r="J187" t="s">
        <v>185</v>
      </c>
      <c r="K187" t="s">
        <v>33</v>
      </c>
      <c r="L187" t="s">
        <v>1244</v>
      </c>
      <c r="M187" t="s">
        <v>1245</v>
      </c>
      <c r="N187" t="s">
        <v>1246</v>
      </c>
      <c r="O187">
        <v>78.864808084464897</v>
      </c>
      <c r="P187">
        <v>2752.36</v>
      </c>
      <c r="Q187">
        <v>2753.5056</v>
      </c>
      <c r="R187" t="s">
        <v>67</v>
      </c>
      <c r="S187" t="s">
        <v>38</v>
      </c>
      <c r="T187" t="s">
        <v>38</v>
      </c>
      <c r="U187" t="s">
        <v>39</v>
      </c>
      <c r="W187" t="s">
        <v>40</v>
      </c>
    </row>
    <row r="188" spans="1:23" x14ac:dyDescent="0.3">
      <c r="A188" t="s">
        <v>23</v>
      </c>
      <c r="B188" t="s">
        <v>1247</v>
      </c>
      <c r="C188" t="s">
        <v>1248</v>
      </c>
      <c r="D188" t="s">
        <v>175</v>
      </c>
      <c r="E188" t="s">
        <v>90</v>
      </c>
      <c r="F188" t="s">
        <v>91</v>
      </c>
      <c r="G188" t="s">
        <v>92</v>
      </c>
      <c r="H188" t="s">
        <v>1249</v>
      </c>
      <c r="I188" t="s">
        <v>102</v>
      </c>
      <c r="J188" t="s">
        <v>32</v>
      </c>
      <c r="K188" t="s">
        <v>33</v>
      </c>
      <c r="L188" t="s">
        <v>1250</v>
      </c>
      <c r="M188" t="s">
        <v>1251</v>
      </c>
      <c r="N188" t="s">
        <v>1252</v>
      </c>
      <c r="O188">
        <v>404.96357270106421</v>
      </c>
      <c r="P188">
        <v>396.01</v>
      </c>
      <c r="Q188">
        <v>395.75080000000003</v>
      </c>
      <c r="R188" t="s">
        <v>37</v>
      </c>
      <c r="S188" t="s">
        <v>38</v>
      </c>
      <c r="T188" t="s">
        <v>38</v>
      </c>
      <c r="U188" t="s">
        <v>39</v>
      </c>
      <c r="W188" t="s">
        <v>40</v>
      </c>
    </row>
    <row r="189" spans="1:23" x14ac:dyDescent="0.3">
      <c r="A189" t="s">
        <v>23</v>
      </c>
      <c r="B189" t="s">
        <v>1253</v>
      </c>
      <c r="C189" t="s">
        <v>1254</v>
      </c>
      <c r="D189" t="s">
        <v>656</v>
      </c>
      <c r="E189" t="s">
        <v>90</v>
      </c>
      <c r="F189" t="s">
        <v>91</v>
      </c>
      <c r="G189" t="s">
        <v>92</v>
      </c>
      <c r="H189" t="s">
        <v>1255</v>
      </c>
      <c r="I189" t="s">
        <v>102</v>
      </c>
      <c r="J189" t="s">
        <v>32</v>
      </c>
      <c r="K189" t="s">
        <v>33</v>
      </c>
      <c r="L189" t="s">
        <v>1256</v>
      </c>
      <c r="M189" t="s">
        <v>1257</v>
      </c>
      <c r="N189" t="s">
        <v>1258</v>
      </c>
      <c r="O189">
        <v>993.57366836697986</v>
      </c>
      <c r="P189">
        <v>909.39</v>
      </c>
      <c r="Q189">
        <v>906.36440000000005</v>
      </c>
      <c r="R189" t="s">
        <v>67</v>
      </c>
      <c r="S189" t="s">
        <v>38</v>
      </c>
      <c r="T189" t="s">
        <v>38</v>
      </c>
      <c r="U189" t="s">
        <v>39</v>
      </c>
      <c r="W189" t="s">
        <v>40</v>
      </c>
    </row>
    <row r="190" spans="1:23" x14ac:dyDescent="0.3">
      <c r="A190" t="s">
        <v>23</v>
      </c>
      <c r="B190" t="s">
        <v>1259</v>
      </c>
      <c r="C190" t="s">
        <v>1260</v>
      </c>
      <c r="D190" t="s">
        <v>89</v>
      </c>
      <c r="E190" t="s">
        <v>90</v>
      </c>
      <c r="F190" t="s">
        <v>91</v>
      </c>
      <c r="G190" t="s">
        <v>92</v>
      </c>
      <c r="H190" t="s">
        <v>1261</v>
      </c>
      <c r="I190" t="s">
        <v>102</v>
      </c>
      <c r="J190" t="s">
        <v>32</v>
      </c>
      <c r="K190" t="s">
        <v>33</v>
      </c>
      <c r="L190" t="s">
        <v>1262</v>
      </c>
      <c r="M190" t="s">
        <v>1263</v>
      </c>
      <c r="N190" t="s">
        <v>1264</v>
      </c>
      <c r="O190">
        <v>878.81443994591075</v>
      </c>
      <c r="P190">
        <v>734.52</v>
      </c>
      <c r="Q190">
        <v>732.37480000000005</v>
      </c>
      <c r="R190" t="s">
        <v>37</v>
      </c>
      <c r="S190" t="s">
        <v>38</v>
      </c>
      <c r="T190" t="s">
        <v>38</v>
      </c>
      <c r="U190" t="s">
        <v>39</v>
      </c>
      <c r="W190" t="s">
        <v>40</v>
      </c>
    </row>
    <row r="191" spans="1:23" x14ac:dyDescent="0.3">
      <c r="A191" t="s">
        <v>23</v>
      </c>
      <c r="B191" t="s">
        <v>1265</v>
      </c>
      <c r="C191" t="s">
        <v>1266</v>
      </c>
      <c r="D191" t="s">
        <v>26</v>
      </c>
      <c r="E191" t="s">
        <v>27</v>
      </c>
      <c r="F191" t="s">
        <v>28</v>
      </c>
      <c r="G191" t="s">
        <v>29</v>
      </c>
      <c r="H191" t="s">
        <v>1267</v>
      </c>
      <c r="I191" t="s">
        <v>1268</v>
      </c>
      <c r="J191" t="s">
        <v>32</v>
      </c>
      <c r="K191" t="s">
        <v>33</v>
      </c>
      <c r="L191" t="s">
        <v>1269</v>
      </c>
      <c r="M191" t="s">
        <v>1270</v>
      </c>
      <c r="N191" t="s">
        <v>1271</v>
      </c>
      <c r="O191">
        <v>9677.8416945754834</v>
      </c>
      <c r="P191">
        <v>9230.92</v>
      </c>
      <c r="Q191">
        <v>9249.1435999999994</v>
      </c>
      <c r="R191" t="s">
        <v>37</v>
      </c>
      <c r="S191" t="s">
        <v>38</v>
      </c>
      <c r="T191" t="s">
        <v>38</v>
      </c>
      <c r="U191" t="s">
        <v>39</v>
      </c>
      <c r="W191" t="s">
        <v>40</v>
      </c>
    </row>
    <row r="192" spans="1:23" x14ac:dyDescent="0.3">
      <c r="A192" t="s">
        <v>23</v>
      </c>
      <c r="B192" t="s">
        <v>1272</v>
      </c>
      <c r="C192" t="s">
        <v>1273</v>
      </c>
      <c r="D192" t="s">
        <v>1274</v>
      </c>
      <c r="E192" t="s">
        <v>58</v>
      </c>
      <c r="F192" t="s">
        <v>59</v>
      </c>
      <c r="G192" t="s">
        <v>60</v>
      </c>
      <c r="H192" t="s">
        <v>1275</v>
      </c>
      <c r="I192" t="s">
        <v>62</v>
      </c>
      <c r="J192" t="s">
        <v>63</v>
      </c>
      <c r="K192" t="s">
        <v>33</v>
      </c>
      <c r="L192" t="s">
        <v>1276</v>
      </c>
      <c r="M192" t="s">
        <v>1277</v>
      </c>
      <c r="N192" t="s">
        <v>1278</v>
      </c>
      <c r="O192">
        <v>418.29069244097008</v>
      </c>
      <c r="P192">
        <v>385.88</v>
      </c>
      <c r="Q192">
        <v>384.428</v>
      </c>
      <c r="R192" t="s">
        <v>37</v>
      </c>
      <c r="S192" t="s">
        <v>38</v>
      </c>
      <c r="T192" t="s">
        <v>38</v>
      </c>
      <c r="U192" t="s">
        <v>39</v>
      </c>
      <c r="W192" t="s">
        <v>40</v>
      </c>
    </row>
    <row r="193" spans="1:23" x14ac:dyDescent="0.3">
      <c r="A193" t="s">
        <v>23</v>
      </c>
      <c r="B193" t="s">
        <v>1279</v>
      </c>
      <c r="C193" t="s">
        <v>1280</v>
      </c>
      <c r="D193" t="s">
        <v>219</v>
      </c>
      <c r="E193" t="s">
        <v>27</v>
      </c>
      <c r="F193" t="s">
        <v>28</v>
      </c>
      <c r="G193" t="s">
        <v>29</v>
      </c>
      <c r="H193" t="s">
        <v>1281</v>
      </c>
      <c r="I193" t="s">
        <v>147</v>
      </c>
      <c r="J193" t="s">
        <v>32</v>
      </c>
      <c r="K193" t="s">
        <v>33</v>
      </c>
      <c r="L193" t="s">
        <v>1282</v>
      </c>
      <c r="M193" t="s">
        <v>1283</v>
      </c>
      <c r="N193" t="s">
        <v>1284</v>
      </c>
      <c r="O193">
        <v>4653.6279676875947</v>
      </c>
      <c r="P193">
        <v>2287.1999999999998</v>
      </c>
      <c r="Q193">
        <v>2366.6648</v>
      </c>
      <c r="R193" t="s">
        <v>75</v>
      </c>
      <c r="S193" t="s">
        <v>51</v>
      </c>
      <c r="T193" t="s">
        <v>51</v>
      </c>
      <c r="U193" t="s">
        <v>143</v>
      </c>
      <c r="V193" t="s">
        <v>53</v>
      </c>
      <c r="W193" t="s">
        <v>40</v>
      </c>
    </row>
    <row r="194" spans="1:23" x14ac:dyDescent="0.3">
      <c r="A194" t="s">
        <v>23</v>
      </c>
      <c r="B194" t="s">
        <v>1285</v>
      </c>
      <c r="C194" t="s">
        <v>1286</v>
      </c>
      <c r="D194" t="s">
        <v>1274</v>
      </c>
      <c r="E194" t="s">
        <v>58</v>
      </c>
      <c r="F194" t="s">
        <v>59</v>
      </c>
      <c r="G194" t="s">
        <v>60</v>
      </c>
      <c r="H194" t="s">
        <v>1287</v>
      </c>
      <c r="I194" t="s">
        <v>62</v>
      </c>
      <c r="J194" t="s">
        <v>63</v>
      </c>
      <c r="K194" t="s">
        <v>33</v>
      </c>
      <c r="L194" t="s">
        <v>1288</v>
      </c>
      <c r="M194" t="s">
        <v>1289</v>
      </c>
      <c r="N194" t="s">
        <v>1290</v>
      </c>
      <c r="O194">
        <v>139.90933449119959</v>
      </c>
      <c r="P194">
        <v>123.99</v>
      </c>
      <c r="Q194">
        <v>122.6204</v>
      </c>
      <c r="R194" t="s">
        <v>37</v>
      </c>
      <c r="S194" t="s">
        <v>38</v>
      </c>
      <c r="T194" t="s">
        <v>38</v>
      </c>
      <c r="U194" t="s">
        <v>39</v>
      </c>
      <c r="W194" t="s">
        <v>40</v>
      </c>
    </row>
    <row r="195" spans="1:23" x14ac:dyDescent="0.3">
      <c r="A195" t="s">
        <v>23</v>
      </c>
      <c r="B195" t="s">
        <v>1291</v>
      </c>
      <c r="C195" t="s">
        <v>1292</v>
      </c>
      <c r="D195" t="s">
        <v>279</v>
      </c>
      <c r="E195" t="s">
        <v>90</v>
      </c>
      <c r="F195" t="s">
        <v>91</v>
      </c>
      <c r="G195" t="s">
        <v>92</v>
      </c>
      <c r="H195" t="s">
        <v>1293</v>
      </c>
      <c r="I195" t="s">
        <v>121</v>
      </c>
      <c r="J195" t="s">
        <v>32</v>
      </c>
      <c r="K195" t="s">
        <v>33</v>
      </c>
      <c r="L195" t="s">
        <v>1294</v>
      </c>
      <c r="M195" t="s">
        <v>1295</v>
      </c>
      <c r="N195" t="s">
        <v>1296</v>
      </c>
      <c r="O195">
        <v>1646.187343190069</v>
      </c>
      <c r="P195">
        <v>1618.55</v>
      </c>
      <c r="Q195">
        <v>1617.4264000000001</v>
      </c>
      <c r="R195" t="s">
        <v>125</v>
      </c>
      <c r="S195" t="s">
        <v>38</v>
      </c>
      <c r="T195" t="s">
        <v>38</v>
      </c>
      <c r="U195" t="s">
        <v>39</v>
      </c>
      <c r="W195" t="s">
        <v>40</v>
      </c>
    </row>
    <row r="196" spans="1:23" x14ac:dyDescent="0.3">
      <c r="A196" t="s">
        <v>23</v>
      </c>
      <c r="B196" t="s">
        <v>1297</v>
      </c>
      <c r="C196" t="s">
        <v>1298</v>
      </c>
      <c r="D196" t="s">
        <v>590</v>
      </c>
      <c r="E196" t="s">
        <v>44</v>
      </c>
      <c r="F196" t="s">
        <v>28</v>
      </c>
      <c r="G196" t="s">
        <v>45</v>
      </c>
      <c r="H196" t="s">
        <v>1299</v>
      </c>
      <c r="I196" t="s">
        <v>47</v>
      </c>
      <c r="J196" t="s">
        <v>987</v>
      </c>
      <c r="K196" t="s">
        <v>33</v>
      </c>
      <c r="L196" t="s">
        <v>1300</v>
      </c>
      <c r="M196" t="s">
        <v>1301</v>
      </c>
      <c r="N196" t="s">
        <v>1302</v>
      </c>
      <c r="O196">
        <v>2780.064407537795</v>
      </c>
      <c r="P196">
        <v>2696.4</v>
      </c>
      <c r="Q196">
        <v>2718.2096000000001</v>
      </c>
      <c r="R196" t="s">
        <v>67</v>
      </c>
      <c r="S196" t="s">
        <v>38</v>
      </c>
      <c r="T196" t="s">
        <v>38</v>
      </c>
      <c r="U196" t="s">
        <v>39</v>
      </c>
      <c r="W196" t="s">
        <v>40</v>
      </c>
    </row>
    <row r="197" spans="1:23" x14ac:dyDescent="0.3">
      <c r="A197" t="s">
        <v>23</v>
      </c>
      <c r="B197" t="s">
        <v>1303</v>
      </c>
      <c r="C197" t="s">
        <v>1304</v>
      </c>
      <c r="D197" t="s">
        <v>80</v>
      </c>
      <c r="E197" t="s">
        <v>81</v>
      </c>
      <c r="F197" t="s">
        <v>921</v>
      </c>
      <c r="G197" t="s">
        <v>922</v>
      </c>
      <c r="H197" t="s">
        <v>1305</v>
      </c>
      <c r="I197" t="s">
        <v>121</v>
      </c>
      <c r="J197" t="s">
        <v>32</v>
      </c>
      <c r="K197" t="s">
        <v>33</v>
      </c>
      <c r="L197" t="s">
        <v>1306</v>
      </c>
      <c r="M197" t="s">
        <v>1307</v>
      </c>
      <c r="N197" t="s">
        <v>1308</v>
      </c>
      <c r="O197">
        <v>3151.7387072836641</v>
      </c>
      <c r="P197">
        <v>2550.85</v>
      </c>
      <c r="Q197">
        <v>2540.1404000000002</v>
      </c>
      <c r="R197" t="s">
        <v>37</v>
      </c>
      <c r="S197" t="s">
        <v>38</v>
      </c>
      <c r="T197" t="s">
        <v>38</v>
      </c>
      <c r="U197" t="s">
        <v>39</v>
      </c>
      <c r="W197" t="s">
        <v>40</v>
      </c>
    </row>
    <row r="198" spans="1:23" x14ac:dyDescent="0.3">
      <c r="A198" t="s">
        <v>23</v>
      </c>
      <c r="B198" t="s">
        <v>1309</v>
      </c>
      <c r="C198" t="s">
        <v>1310</v>
      </c>
      <c r="D198" t="s">
        <v>279</v>
      </c>
      <c r="E198" t="s">
        <v>90</v>
      </c>
      <c r="F198" t="s">
        <v>91</v>
      </c>
      <c r="G198" t="s">
        <v>92</v>
      </c>
      <c r="H198" t="s">
        <v>1311</v>
      </c>
      <c r="I198" t="s">
        <v>102</v>
      </c>
      <c r="J198" t="s">
        <v>32</v>
      </c>
      <c r="K198" t="s">
        <v>33</v>
      </c>
      <c r="L198" t="s">
        <v>1312</v>
      </c>
      <c r="M198" t="s">
        <v>1313</v>
      </c>
      <c r="N198" t="s">
        <v>1314</v>
      </c>
      <c r="O198">
        <v>279.02328441903018</v>
      </c>
      <c r="P198">
        <v>258.95</v>
      </c>
      <c r="Q198">
        <v>258.22160000000002</v>
      </c>
      <c r="R198" t="s">
        <v>67</v>
      </c>
      <c r="S198" t="s">
        <v>38</v>
      </c>
      <c r="T198" t="s">
        <v>38</v>
      </c>
      <c r="U198" t="s">
        <v>39</v>
      </c>
      <c r="W198" t="s">
        <v>40</v>
      </c>
    </row>
    <row r="199" spans="1:23" x14ac:dyDescent="0.3">
      <c r="A199" t="s">
        <v>23</v>
      </c>
      <c r="B199" t="s">
        <v>1315</v>
      </c>
      <c r="C199" t="s">
        <v>1316</v>
      </c>
      <c r="D199" t="s">
        <v>111</v>
      </c>
      <c r="E199" t="s">
        <v>112</v>
      </c>
      <c r="F199" t="s">
        <v>59</v>
      </c>
      <c r="G199" t="s">
        <v>82</v>
      </c>
      <c r="H199" t="s">
        <v>1317</v>
      </c>
      <c r="I199" t="s">
        <v>102</v>
      </c>
      <c r="J199" t="s">
        <v>32</v>
      </c>
      <c r="K199" t="s">
        <v>33</v>
      </c>
      <c r="L199" t="s">
        <v>1318</v>
      </c>
      <c r="M199" t="s">
        <v>1319</v>
      </c>
      <c r="N199" t="s">
        <v>1320</v>
      </c>
      <c r="O199">
        <v>407.22907097149329</v>
      </c>
      <c r="P199">
        <v>149.18</v>
      </c>
      <c r="Q199">
        <v>143.7456</v>
      </c>
      <c r="R199" t="s">
        <v>75</v>
      </c>
      <c r="S199" t="s">
        <v>51</v>
      </c>
      <c r="T199" t="s">
        <v>51</v>
      </c>
      <c r="U199" t="s">
        <v>143</v>
      </c>
      <c r="V199" t="s">
        <v>53</v>
      </c>
      <c r="W199" t="s">
        <v>40</v>
      </c>
    </row>
    <row r="200" spans="1:23" x14ac:dyDescent="0.3">
      <c r="A200" t="s">
        <v>23</v>
      </c>
      <c r="B200" t="s">
        <v>1321</v>
      </c>
      <c r="C200" t="s">
        <v>1322</v>
      </c>
      <c r="D200" t="s">
        <v>168</v>
      </c>
      <c r="E200" t="s">
        <v>154</v>
      </c>
      <c r="F200" t="s">
        <v>59</v>
      </c>
      <c r="G200" t="s">
        <v>113</v>
      </c>
      <c r="H200" t="s">
        <v>1323</v>
      </c>
      <c r="I200" t="s">
        <v>62</v>
      </c>
      <c r="J200" t="s">
        <v>32</v>
      </c>
      <c r="K200" t="s">
        <v>33</v>
      </c>
      <c r="L200" t="s">
        <v>1324</v>
      </c>
      <c r="M200" t="s">
        <v>1325</v>
      </c>
      <c r="N200" t="s">
        <v>1326</v>
      </c>
      <c r="O200">
        <v>41250.753225839253</v>
      </c>
      <c r="P200">
        <v>41006.53</v>
      </c>
      <c r="Q200">
        <v>40910.031999999999</v>
      </c>
      <c r="R200" t="s">
        <v>37</v>
      </c>
      <c r="S200" t="s">
        <v>38</v>
      </c>
      <c r="T200" t="s">
        <v>38</v>
      </c>
      <c r="U200" t="s">
        <v>39</v>
      </c>
      <c r="W200" t="s">
        <v>40</v>
      </c>
    </row>
    <row r="201" spans="1:23" x14ac:dyDescent="0.3">
      <c r="A201" t="s">
        <v>23</v>
      </c>
      <c r="B201" t="s">
        <v>1327</v>
      </c>
      <c r="C201" t="s">
        <v>1328</v>
      </c>
      <c r="D201" t="s">
        <v>1163</v>
      </c>
      <c r="E201" t="s">
        <v>90</v>
      </c>
      <c r="F201" t="s">
        <v>91</v>
      </c>
      <c r="G201" t="s">
        <v>92</v>
      </c>
      <c r="H201" t="s">
        <v>1329</v>
      </c>
      <c r="I201" t="s">
        <v>102</v>
      </c>
      <c r="J201" t="s">
        <v>32</v>
      </c>
      <c r="K201" t="s">
        <v>33</v>
      </c>
      <c r="L201" t="s">
        <v>1330</v>
      </c>
      <c r="M201" t="s">
        <v>1331</v>
      </c>
      <c r="N201" t="s">
        <v>1332</v>
      </c>
      <c r="O201">
        <v>517.25787583018098</v>
      </c>
      <c r="P201">
        <v>266.77</v>
      </c>
      <c r="Q201">
        <v>264.29599999999999</v>
      </c>
      <c r="R201" t="s">
        <v>37</v>
      </c>
      <c r="S201" t="s">
        <v>51</v>
      </c>
      <c r="T201" t="s">
        <v>51</v>
      </c>
      <c r="U201" t="s">
        <v>143</v>
      </c>
      <c r="V201" t="s">
        <v>108</v>
      </c>
      <c r="W201" t="s">
        <v>40</v>
      </c>
    </row>
    <row r="202" spans="1:23" x14ac:dyDescent="0.3">
      <c r="A202" t="s">
        <v>23</v>
      </c>
      <c r="B202" t="s">
        <v>1333</v>
      </c>
      <c r="C202" t="s">
        <v>1334</v>
      </c>
      <c r="D202" t="s">
        <v>198</v>
      </c>
      <c r="E202" t="s">
        <v>90</v>
      </c>
      <c r="F202" t="s">
        <v>91</v>
      </c>
      <c r="G202" t="s">
        <v>92</v>
      </c>
      <c r="H202" t="s">
        <v>1335</v>
      </c>
      <c r="I202" t="s">
        <v>102</v>
      </c>
      <c r="J202" t="s">
        <v>32</v>
      </c>
      <c r="K202" t="s">
        <v>33</v>
      </c>
      <c r="L202" t="s">
        <v>1336</v>
      </c>
      <c r="M202" t="s">
        <v>1337</v>
      </c>
      <c r="N202" t="s">
        <v>1338</v>
      </c>
      <c r="O202">
        <v>1179.429633613951</v>
      </c>
      <c r="P202">
        <v>1054.17</v>
      </c>
      <c r="Q202">
        <v>1049.8504</v>
      </c>
      <c r="R202" t="s">
        <v>37</v>
      </c>
      <c r="S202" t="s">
        <v>51</v>
      </c>
      <c r="T202" t="s">
        <v>51</v>
      </c>
      <c r="U202" t="s">
        <v>143</v>
      </c>
      <c r="V202" t="s">
        <v>108</v>
      </c>
      <c r="W202" t="s">
        <v>40</v>
      </c>
    </row>
    <row r="203" spans="1:23" x14ac:dyDescent="0.3">
      <c r="A203" t="s">
        <v>23</v>
      </c>
      <c r="B203" t="s">
        <v>1339</v>
      </c>
      <c r="C203" t="s">
        <v>1340</v>
      </c>
      <c r="D203" t="s">
        <v>57</v>
      </c>
      <c r="E203" t="s">
        <v>58</v>
      </c>
      <c r="F203" t="s">
        <v>59</v>
      </c>
      <c r="G203" t="s">
        <v>60</v>
      </c>
      <c r="H203" t="s">
        <v>1341</v>
      </c>
      <c r="I203" t="s">
        <v>62</v>
      </c>
      <c r="J203" t="s">
        <v>63</v>
      </c>
      <c r="K203" t="s">
        <v>33</v>
      </c>
      <c r="L203" t="s">
        <v>1342</v>
      </c>
      <c r="M203" t="s">
        <v>1343</v>
      </c>
      <c r="N203" t="s">
        <v>1344</v>
      </c>
      <c r="O203">
        <v>247.01040873198349</v>
      </c>
      <c r="P203">
        <v>244.53</v>
      </c>
      <c r="Q203">
        <v>244.05680000000001</v>
      </c>
      <c r="R203" t="s">
        <v>75</v>
      </c>
      <c r="S203" t="s">
        <v>38</v>
      </c>
      <c r="T203" t="s">
        <v>38</v>
      </c>
      <c r="U203" t="s">
        <v>39</v>
      </c>
      <c r="W203" t="s">
        <v>40</v>
      </c>
    </row>
    <row r="204" spans="1:23" x14ac:dyDescent="0.3">
      <c r="A204" t="s">
        <v>23</v>
      </c>
      <c r="B204" t="s">
        <v>1345</v>
      </c>
      <c r="C204" t="s">
        <v>1346</v>
      </c>
      <c r="D204" t="s">
        <v>1347</v>
      </c>
      <c r="E204" t="s">
        <v>90</v>
      </c>
      <c r="F204" t="s">
        <v>91</v>
      </c>
      <c r="G204" t="s">
        <v>92</v>
      </c>
      <c r="H204" t="s">
        <v>1348</v>
      </c>
      <c r="I204" t="s">
        <v>94</v>
      </c>
      <c r="J204" t="s">
        <v>32</v>
      </c>
      <c r="K204" t="s">
        <v>33</v>
      </c>
      <c r="L204" t="s">
        <v>1349</v>
      </c>
      <c r="M204" t="s">
        <v>1350</v>
      </c>
      <c r="N204" t="s">
        <v>1351</v>
      </c>
      <c r="O204">
        <v>76.609042035341886</v>
      </c>
      <c r="P204">
        <v>64.959999999999994</v>
      </c>
      <c r="Q204">
        <v>60.029200000000003</v>
      </c>
      <c r="R204" t="s">
        <v>37</v>
      </c>
      <c r="S204" t="s">
        <v>38</v>
      </c>
      <c r="T204" t="s">
        <v>106</v>
      </c>
      <c r="U204" t="s">
        <v>767</v>
      </c>
      <c r="V204" t="s">
        <v>1352</v>
      </c>
      <c r="W204" t="s">
        <v>54</v>
      </c>
    </row>
    <row r="205" spans="1:23" x14ac:dyDescent="0.3">
      <c r="A205" t="s">
        <v>23</v>
      </c>
      <c r="B205" t="s">
        <v>1353</v>
      </c>
      <c r="C205" t="s">
        <v>1354</v>
      </c>
      <c r="D205" t="s">
        <v>205</v>
      </c>
      <c r="E205" t="s">
        <v>81</v>
      </c>
      <c r="F205" t="s">
        <v>59</v>
      </c>
      <c r="G205" t="s">
        <v>82</v>
      </c>
      <c r="H205" t="s">
        <v>1355</v>
      </c>
      <c r="I205" t="s">
        <v>102</v>
      </c>
      <c r="J205" t="s">
        <v>32</v>
      </c>
      <c r="K205" t="s">
        <v>33</v>
      </c>
      <c r="L205" t="s">
        <v>1356</v>
      </c>
      <c r="M205" t="s">
        <v>1357</v>
      </c>
      <c r="N205" t="s">
        <v>1358</v>
      </c>
      <c r="O205">
        <v>1318.3621901260631</v>
      </c>
      <c r="P205">
        <v>1314.58</v>
      </c>
      <c r="Q205">
        <v>1313.5608</v>
      </c>
      <c r="R205" t="s">
        <v>125</v>
      </c>
      <c r="S205" t="s">
        <v>38</v>
      </c>
      <c r="T205" t="s">
        <v>38</v>
      </c>
      <c r="U205" t="s">
        <v>39</v>
      </c>
      <c r="W205" t="s">
        <v>40</v>
      </c>
    </row>
    <row r="206" spans="1:23" x14ac:dyDescent="0.3">
      <c r="A206" t="s">
        <v>23</v>
      </c>
      <c r="B206" t="s">
        <v>1359</v>
      </c>
      <c r="C206" t="s">
        <v>1360</v>
      </c>
      <c r="D206" t="s">
        <v>205</v>
      </c>
      <c r="E206" t="s">
        <v>81</v>
      </c>
      <c r="F206" t="s">
        <v>59</v>
      </c>
      <c r="G206" t="s">
        <v>82</v>
      </c>
      <c r="H206" t="s">
        <v>1361</v>
      </c>
      <c r="I206" t="s">
        <v>121</v>
      </c>
      <c r="J206" t="s">
        <v>32</v>
      </c>
      <c r="K206" t="s">
        <v>33</v>
      </c>
      <c r="L206" t="s">
        <v>1362</v>
      </c>
      <c r="M206" t="s">
        <v>1363</v>
      </c>
      <c r="N206" t="s">
        <v>1364</v>
      </c>
      <c r="O206">
        <v>6988.3132594732788</v>
      </c>
      <c r="P206">
        <v>6935.52</v>
      </c>
      <c r="Q206">
        <v>6923.9264000000003</v>
      </c>
      <c r="R206" t="s">
        <v>125</v>
      </c>
      <c r="S206" t="s">
        <v>38</v>
      </c>
      <c r="T206" t="s">
        <v>38</v>
      </c>
      <c r="U206" t="s">
        <v>39</v>
      </c>
      <c r="W206" t="s">
        <v>40</v>
      </c>
    </row>
    <row r="207" spans="1:23" x14ac:dyDescent="0.3">
      <c r="A207" t="s">
        <v>23</v>
      </c>
      <c r="B207" t="s">
        <v>1365</v>
      </c>
      <c r="C207" t="s">
        <v>1366</v>
      </c>
      <c r="D207" t="s">
        <v>959</v>
      </c>
      <c r="E207" t="s">
        <v>81</v>
      </c>
      <c r="F207" t="s">
        <v>59</v>
      </c>
      <c r="G207" t="s">
        <v>82</v>
      </c>
      <c r="H207" t="s">
        <v>1367</v>
      </c>
      <c r="I207" t="s">
        <v>121</v>
      </c>
      <c r="J207" t="s">
        <v>32</v>
      </c>
      <c r="K207" t="s">
        <v>33</v>
      </c>
      <c r="L207" t="s">
        <v>1368</v>
      </c>
      <c r="M207" t="s">
        <v>1369</v>
      </c>
      <c r="N207" t="s">
        <v>1370</v>
      </c>
      <c r="O207">
        <v>7582.2169103969136</v>
      </c>
      <c r="P207">
        <v>7350.08</v>
      </c>
      <c r="Q207">
        <v>7342.0847999999996</v>
      </c>
      <c r="R207" t="s">
        <v>37</v>
      </c>
      <c r="S207" t="s">
        <v>38</v>
      </c>
      <c r="T207" t="s">
        <v>38</v>
      </c>
      <c r="U207" t="s">
        <v>39</v>
      </c>
      <c r="W207" t="s">
        <v>40</v>
      </c>
    </row>
    <row r="208" spans="1:23" x14ac:dyDescent="0.3">
      <c r="A208" t="s">
        <v>23</v>
      </c>
      <c r="B208" t="s">
        <v>1371</v>
      </c>
      <c r="C208" t="s">
        <v>1372</v>
      </c>
      <c r="D208" t="s">
        <v>43</v>
      </c>
      <c r="E208" t="s">
        <v>44</v>
      </c>
      <c r="F208" t="s">
        <v>28</v>
      </c>
      <c r="G208" t="s">
        <v>45</v>
      </c>
      <c r="H208" t="s">
        <v>1373</v>
      </c>
      <c r="I208" t="s">
        <v>249</v>
      </c>
      <c r="J208" t="s">
        <v>32</v>
      </c>
      <c r="K208" t="s">
        <v>33</v>
      </c>
      <c r="L208" t="s">
        <v>1374</v>
      </c>
      <c r="M208" t="s">
        <v>1375</v>
      </c>
      <c r="N208" t="s">
        <v>1376</v>
      </c>
      <c r="O208">
        <v>891.34842812086322</v>
      </c>
      <c r="P208">
        <v>828.92</v>
      </c>
      <c r="Q208">
        <v>823.99199999999996</v>
      </c>
      <c r="R208" t="s">
        <v>125</v>
      </c>
      <c r="S208" t="s">
        <v>38</v>
      </c>
      <c r="T208" t="s">
        <v>38</v>
      </c>
      <c r="U208" t="s">
        <v>39</v>
      </c>
      <c r="W208" t="s">
        <v>40</v>
      </c>
    </row>
    <row r="209" spans="1:23" x14ac:dyDescent="0.3">
      <c r="A209" t="s">
        <v>23</v>
      </c>
      <c r="B209" t="s">
        <v>1377</v>
      </c>
      <c r="C209" t="s">
        <v>1378</v>
      </c>
      <c r="D209" t="s">
        <v>872</v>
      </c>
      <c r="E209" t="s">
        <v>873</v>
      </c>
      <c r="F209" t="s">
        <v>1379</v>
      </c>
      <c r="G209" t="s">
        <v>1380</v>
      </c>
      <c r="H209" t="s">
        <v>1381</v>
      </c>
      <c r="I209" t="s">
        <v>94</v>
      </c>
      <c r="J209" t="s">
        <v>32</v>
      </c>
      <c r="K209" t="s">
        <v>33</v>
      </c>
      <c r="M209" t="s">
        <v>1382</v>
      </c>
      <c r="N209" t="s">
        <v>1383</v>
      </c>
      <c r="O209">
        <v>185.20692839195499</v>
      </c>
      <c r="P209">
        <v>151.22999999999999</v>
      </c>
      <c r="Q209">
        <v>150.86879999999999</v>
      </c>
      <c r="R209" t="s">
        <v>67</v>
      </c>
      <c r="S209" t="s">
        <v>38</v>
      </c>
      <c r="T209" t="s">
        <v>38</v>
      </c>
      <c r="U209" t="s">
        <v>39</v>
      </c>
      <c r="W209" t="s">
        <v>40</v>
      </c>
    </row>
    <row r="210" spans="1:23" x14ac:dyDescent="0.3">
      <c r="A210" t="s">
        <v>23</v>
      </c>
      <c r="B210" t="s">
        <v>1384</v>
      </c>
      <c r="C210" t="s">
        <v>1385</v>
      </c>
      <c r="D210" t="s">
        <v>872</v>
      </c>
      <c r="E210" t="s">
        <v>873</v>
      </c>
      <c r="F210" t="s">
        <v>890</v>
      </c>
      <c r="G210" t="s">
        <v>891</v>
      </c>
      <c r="H210" t="s">
        <v>1386</v>
      </c>
      <c r="I210" t="s">
        <v>312</v>
      </c>
      <c r="J210" t="s">
        <v>32</v>
      </c>
      <c r="K210" t="s">
        <v>33</v>
      </c>
      <c r="L210" t="s">
        <v>1387</v>
      </c>
      <c r="M210" t="s">
        <v>1382</v>
      </c>
      <c r="N210" t="s">
        <v>1388</v>
      </c>
      <c r="O210">
        <v>787.99286042106542</v>
      </c>
      <c r="P210">
        <v>619.88</v>
      </c>
      <c r="Q210">
        <v>632.26120000000003</v>
      </c>
      <c r="R210" t="s">
        <v>67</v>
      </c>
      <c r="S210" t="s">
        <v>38</v>
      </c>
      <c r="T210" t="s">
        <v>38</v>
      </c>
      <c r="U210" t="s">
        <v>39</v>
      </c>
      <c r="W210" t="s">
        <v>40</v>
      </c>
    </row>
    <row r="211" spans="1:23" x14ac:dyDescent="0.3">
      <c r="A211" t="s">
        <v>23</v>
      </c>
      <c r="B211" t="s">
        <v>1389</v>
      </c>
      <c r="C211" t="s">
        <v>1390</v>
      </c>
      <c r="D211" t="s">
        <v>43</v>
      </c>
      <c r="E211" t="s">
        <v>44</v>
      </c>
      <c r="F211" t="s">
        <v>28</v>
      </c>
      <c r="G211" t="s">
        <v>137</v>
      </c>
      <c r="H211" t="s">
        <v>1391</v>
      </c>
      <c r="I211" t="s">
        <v>451</v>
      </c>
      <c r="J211" t="s">
        <v>213</v>
      </c>
      <c r="K211" t="s">
        <v>33</v>
      </c>
      <c r="L211" t="s">
        <v>1392</v>
      </c>
      <c r="M211" t="s">
        <v>1393</v>
      </c>
      <c r="N211" t="s">
        <v>1394</v>
      </c>
      <c r="O211">
        <v>1107.4967045344599</v>
      </c>
      <c r="P211">
        <v>949.58</v>
      </c>
      <c r="Q211">
        <v>1075.8563999999999</v>
      </c>
      <c r="R211" t="s">
        <v>67</v>
      </c>
      <c r="S211" t="s">
        <v>38</v>
      </c>
      <c r="T211" t="s">
        <v>38</v>
      </c>
      <c r="U211" t="s">
        <v>39</v>
      </c>
      <c r="W211" t="s">
        <v>40</v>
      </c>
    </row>
    <row r="212" spans="1:23" x14ac:dyDescent="0.3">
      <c r="A212" t="s">
        <v>23</v>
      </c>
      <c r="B212" t="s">
        <v>1395</v>
      </c>
      <c r="C212" t="s">
        <v>1396</v>
      </c>
      <c r="D212" t="s">
        <v>247</v>
      </c>
      <c r="E212" t="s">
        <v>44</v>
      </c>
      <c r="F212" t="s">
        <v>28</v>
      </c>
      <c r="G212" t="s">
        <v>45</v>
      </c>
      <c r="H212" t="s">
        <v>1397</v>
      </c>
      <c r="I212" t="s">
        <v>395</v>
      </c>
      <c r="J212" t="s">
        <v>250</v>
      </c>
      <c r="K212" t="s">
        <v>33</v>
      </c>
      <c r="L212" t="s">
        <v>1398</v>
      </c>
      <c r="M212" t="s">
        <v>1399</v>
      </c>
      <c r="N212" t="s">
        <v>1400</v>
      </c>
      <c r="O212">
        <v>1302.1514201592761</v>
      </c>
      <c r="P212">
        <v>2256.14</v>
      </c>
      <c r="Q212">
        <v>2251.6008000000002</v>
      </c>
      <c r="R212" t="s">
        <v>125</v>
      </c>
      <c r="S212" t="s">
        <v>38</v>
      </c>
      <c r="T212" t="s">
        <v>38</v>
      </c>
      <c r="U212" t="s">
        <v>39</v>
      </c>
      <c r="W212" t="s">
        <v>40</v>
      </c>
    </row>
    <row r="213" spans="1:23" x14ac:dyDescent="0.3">
      <c r="A213" t="s">
        <v>23</v>
      </c>
      <c r="B213" t="s">
        <v>1401</v>
      </c>
      <c r="C213" t="s">
        <v>1402</v>
      </c>
      <c r="D213" t="s">
        <v>695</v>
      </c>
      <c r="E213" t="s">
        <v>90</v>
      </c>
      <c r="F213" t="s">
        <v>91</v>
      </c>
      <c r="G213" t="s">
        <v>92</v>
      </c>
      <c r="H213" t="s">
        <v>1403</v>
      </c>
      <c r="I213" t="s">
        <v>102</v>
      </c>
      <c r="J213" t="s">
        <v>32</v>
      </c>
      <c r="K213" t="s">
        <v>33</v>
      </c>
      <c r="L213" t="s">
        <v>1404</v>
      </c>
      <c r="M213" t="s">
        <v>1405</v>
      </c>
      <c r="N213" t="s">
        <v>1406</v>
      </c>
      <c r="O213">
        <v>403.21611402039161</v>
      </c>
      <c r="P213">
        <v>197.97</v>
      </c>
      <c r="Q213">
        <v>184.42359999999999</v>
      </c>
      <c r="R213" t="s">
        <v>125</v>
      </c>
      <c r="S213" t="s">
        <v>51</v>
      </c>
      <c r="T213" t="s">
        <v>51</v>
      </c>
      <c r="U213" t="s">
        <v>143</v>
      </c>
      <c r="V213" t="s">
        <v>1407</v>
      </c>
      <c r="W213" t="s">
        <v>40</v>
      </c>
    </row>
    <row r="214" spans="1:23" x14ac:dyDescent="0.3">
      <c r="A214" t="s">
        <v>23</v>
      </c>
      <c r="B214" t="s">
        <v>1408</v>
      </c>
      <c r="C214" t="s">
        <v>1409</v>
      </c>
      <c r="D214" t="s">
        <v>239</v>
      </c>
      <c r="E214" t="s">
        <v>27</v>
      </c>
      <c r="F214" t="s">
        <v>28</v>
      </c>
      <c r="G214" t="s">
        <v>29</v>
      </c>
      <c r="H214" t="s">
        <v>1410</v>
      </c>
      <c r="I214" t="s">
        <v>624</v>
      </c>
      <c r="J214" t="s">
        <v>185</v>
      </c>
      <c r="K214" t="s">
        <v>33</v>
      </c>
      <c r="L214" t="s">
        <v>1411</v>
      </c>
      <c r="M214" t="s">
        <v>1412</v>
      </c>
      <c r="N214" t="s">
        <v>1413</v>
      </c>
      <c r="O214">
        <v>11278.49878955267</v>
      </c>
      <c r="P214">
        <v>7511.39</v>
      </c>
      <c r="Q214">
        <v>7447.9579999999996</v>
      </c>
      <c r="R214" t="s">
        <v>37</v>
      </c>
      <c r="S214" t="s">
        <v>38</v>
      </c>
      <c r="T214" t="s">
        <v>38</v>
      </c>
      <c r="U214" t="s">
        <v>39</v>
      </c>
      <c r="W214" t="s">
        <v>40</v>
      </c>
    </row>
    <row r="215" spans="1:23" x14ac:dyDescent="0.3">
      <c r="A215" t="s">
        <v>23</v>
      </c>
      <c r="B215" t="s">
        <v>1414</v>
      </c>
      <c r="C215" t="s">
        <v>1415</v>
      </c>
      <c r="D215" t="s">
        <v>368</v>
      </c>
      <c r="E215" t="s">
        <v>81</v>
      </c>
      <c r="F215" t="s">
        <v>59</v>
      </c>
      <c r="G215" t="s">
        <v>82</v>
      </c>
      <c r="H215" t="s">
        <v>1416</v>
      </c>
      <c r="I215" t="s">
        <v>121</v>
      </c>
      <c r="J215" t="s">
        <v>32</v>
      </c>
      <c r="K215" t="s">
        <v>33</v>
      </c>
      <c r="L215" t="s">
        <v>1417</v>
      </c>
      <c r="M215" t="s">
        <v>1418</v>
      </c>
      <c r="N215" t="s">
        <v>1419</v>
      </c>
      <c r="O215">
        <v>5357.9625679289638</v>
      </c>
      <c r="P215">
        <v>5238.01</v>
      </c>
      <c r="Q215">
        <v>5222.7291999999998</v>
      </c>
      <c r="R215" t="s">
        <v>75</v>
      </c>
      <c r="S215" t="s">
        <v>38</v>
      </c>
      <c r="T215" t="s">
        <v>38</v>
      </c>
      <c r="U215" t="s">
        <v>39</v>
      </c>
      <c r="W215" t="s">
        <v>40</v>
      </c>
    </row>
    <row r="216" spans="1:23" x14ac:dyDescent="0.3">
      <c r="A216" t="s">
        <v>23</v>
      </c>
      <c r="B216" t="s">
        <v>1420</v>
      </c>
      <c r="C216" t="s">
        <v>1421</v>
      </c>
      <c r="D216" t="s">
        <v>481</v>
      </c>
      <c r="E216" t="s">
        <v>90</v>
      </c>
      <c r="F216" t="s">
        <v>91</v>
      </c>
      <c r="G216" t="s">
        <v>92</v>
      </c>
      <c r="H216" t="s">
        <v>1422</v>
      </c>
      <c r="I216" t="s">
        <v>102</v>
      </c>
      <c r="J216" t="s">
        <v>32</v>
      </c>
      <c r="K216" t="s">
        <v>33</v>
      </c>
      <c r="L216" t="s">
        <v>1423</v>
      </c>
      <c r="M216" t="s">
        <v>1424</v>
      </c>
      <c r="N216" t="s">
        <v>1425</v>
      </c>
      <c r="O216">
        <v>2762.5468703244242</v>
      </c>
      <c r="P216">
        <v>409.46</v>
      </c>
      <c r="Q216">
        <v>397.79199999999997</v>
      </c>
      <c r="R216" t="s">
        <v>75</v>
      </c>
      <c r="S216" t="s">
        <v>51</v>
      </c>
      <c r="T216" t="s">
        <v>51</v>
      </c>
      <c r="U216" t="s">
        <v>143</v>
      </c>
      <c r="V216" t="s">
        <v>1234</v>
      </c>
      <c r="W216" t="s">
        <v>40</v>
      </c>
    </row>
    <row r="217" spans="1:23" x14ac:dyDescent="0.3">
      <c r="A217" t="s">
        <v>23</v>
      </c>
      <c r="B217" t="s">
        <v>1426</v>
      </c>
      <c r="C217" t="s">
        <v>1427</v>
      </c>
      <c r="D217" t="s">
        <v>89</v>
      </c>
      <c r="E217" t="s">
        <v>90</v>
      </c>
      <c r="F217" t="s">
        <v>91</v>
      </c>
      <c r="G217" t="s">
        <v>92</v>
      </c>
      <c r="H217" t="s">
        <v>1428</v>
      </c>
      <c r="I217" t="s">
        <v>139</v>
      </c>
      <c r="J217" t="s">
        <v>32</v>
      </c>
      <c r="K217" t="s">
        <v>33</v>
      </c>
      <c r="L217" t="s">
        <v>1429</v>
      </c>
      <c r="M217" t="s">
        <v>1430</v>
      </c>
      <c r="N217" t="s">
        <v>1431</v>
      </c>
      <c r="O217">
        <v>373.14174963439859</v>
      </c>
      <c r="P217">
        <v>158.52000000000001</v>
      </c>
      <c r="Q217">
        <v>156.00919999999999</v>
      </c>
      <c r="R217" t="s">
        <v>75</v>
      </c>
      <c r="S217" t="s">
        <v>51</v>
      </c>
      <c r="T217" t="s">
        <v>51</v>
      </c>
      <c r="U217" t="s">
        <v>143</v>
      </c>
      <c r="V217" t="s">
        <v>706</v>
      </c>
      <c r="W217" t="s">
        <v>40</v>
      </c>
    </row>
    <row r="218" spans="1:23" x14ac:dyDescent="0.3">
      <c r="A218" t="s">
        <v>23</v>
      </c>
      <c r="B218" t="s">
        <v>1432</v>
      </c>
      <c r="C218" t="s">
        <v>1433</v>
      </c>
      <c r="D218" t="s">
        <v>205</v>
      </c>
      <c r="E218" t="s">
        <v>81</v>
      </c>
      <c r="F218" t="s">
        <v>59</v>
      </c>
      <c r="G218" t="s">
        <v>82</v>
      </c>
      <c r="H218" t="s">
        <v>1434</v>
      </c>
      <c r="I218" t="s">
        <v>102</v>
      </c>
      <c r="J218" t="s">
        <v>32</v>
      </c>
      <c r="K218" t="s">
        <v>33</v>
      </c>
      <c r="L218" t="s">
        <v>1435</v>
      </c>
      <c r="M218" t="s">
        <v>1436</v>
      </c>
      <c r="N218" t="s">
        <v>1437</v>
      </c>
      <c r="O218">
        <v>240.1442371059305</v>
      </c>
      <c r="P218">
        <v>227.68</v>
      </c>
      <c r="Q218">
        <v>226.25360000000001</v>
      </c>
      <c r="R218" t="s">
        <v>37</v>
      </c>
      <c r="S218" t="s">
        <v>38</v>
      </c>
      <c r="T218" t="s">
        <v>38</v>
      </c>
      <c r="U218" t="s">
        <v>39</v>
      </c>
      <c r="W218" t="s">
        <v>40</v>
      </c>
    </row>
    <row r="219" spans="1:23" x14ac:dyDescent="0.3">
      <c r="A219" t="s">
        <v>23</v>
      </c>
      <c r="B219" t="s">
        <v>1438</v>
      </c>
      <c r="C219" t="s">
        <v>1439</v>
      </c>
      <c r="D219" t="s">
        <v>198</v>
      </c>
      <c r="E219" t="s">
        <v>90</v>
      </c>
      <c r="F219" t="s">
        <v>91</v>
      </c>
      <c r="G219" t="s">
        <v>92</v>
      </c>
      <c r="H219" t="s">
        <v>1440</v>
      </c>
      <c r="I219" t="s">
        <v>102</v>
      </c>
      <c r="J219" t="s">
        <v>32</v>
      </c>
      <c r="K219" t="s">
        <v>33</v>
      </c>
      <c r="L219" t="s">
        <v>1441</v>
      </c>
      <c r="M219" t="s">
        <v>1442</v>
      </c>
      <c r="N219" t="s">
        <v>1443</v>
      </c>
      <c r="O219">
        <v>477.19993174426787</v>
      </c>
      <c r="P219">
        <v>143.29</v>
      </c>
      <c r="Q219">
        <v>137.14400000000001</v>
      </c>
      <c r="R219" t="s">
        <v>37</v>
      </c>
      <c r="S219" t="s">
        <v>51</v>
      </c>
      <c r="T219" t="s">
        <v>51</v>
      </c>
      <c r="U219" t="s">
        <v>143</v>
      </c>
      <c r="V219" t="s">
        <v>1444</v>
      </c>
      <c r="W219" t="s">
        <v>40</v>
      </c>
    </row>
    <row r="220" spans="1:23" x14ac:dyDescent="0.3">
      <c r="A220" t="s">
        <v>23</v>
      </c>
      <c r="B220" t="s">
        <v>1445</v>
      </c>
      <c r="C220" t="s">
        <v>1446</v>
      </c>
      <c r="D220" t="s">
        <v>26</v>
      </c>
      <c r="E220" t="s">
        <v>27</v>
      </c>
      <c r="F220" t="s">
        <v>28</v>
      </c>
      <c r="G220" t="s">
        <v>29</v>
      </c>
      <c r="H220" t="s">
        <v>1447</v>
      </c>
      <c r="I220" t="s">
        <v>1448</v>
      </c>
      <c r="J220" t="s">
        <v>32</v>
      </c>
      <c r="K220" t="s">
        <v>33</v>
      </c>
      <c r="L220" t="s">
        <v>1449</v>
      </c>
      <c r="M220" t="s">
        <v>1450</v>
      </c>
      <c r="N220" t="s">
        <v>1451</v>
      </c>
      <c r="O220">
        <v>80.47587000598763</v>
      </c>
      <c r="P220">
        <v>66.760000000000005</v>
      </c>
      <c r="Q220">
        <v>66.127200000000002</v>
      </c>
      <c r="R220" t="s">
        <v>125</v>
      </c>
      <c r="S220" t="s">
        <v>38</v>
      </c>
      <c r="T220" t="s">
        <v>38</v>
      </c>
      <c r="U220" t="s">
        <v>39</v>
      </c>
      <c r="W220" t="s">
        <v>40</v>
      </c>
    </row>
    <row r="221" spans="1:23" x14ac:dyDescent="0.3">
      <c r="A221" t="s">
        <v>23</v>
      </c>
      <c r="B221" t="s">
        <v>1452</v>
      </c>
      <c r="C221" t="s">
        <v>1453</v>
      </c>
      <c r="D221" t="s">
        <v>198</v>
      </c>
      <c r="E221" t="s">
        <v>90</v>
      </c>
      <c r="F221" t="s">
        <v>91</v>
      </c>
      <c r="G221" t="s">
        <v>92</v>
      </c>
      <c r="H221" t="s">
        <v>1454</v>
      </c>
      <c r="I221" t="s">
        <v>102</v>
      </c>
      <c r="J221" t="s">
        <v>32</v>
      </c>
      <c r="K221" t="s">
        <v>33</v>
      </c>
      <c r="L221" t="s">
        <v>1455</v>
      </c>
      <c r="M221" t="s">
        <v>1456</v>
      </c>
      <c r="N221" t="s">
        <v>1457</v>
      </c>
      <c r="O221">
        <v>88.667570421319425</v>
      </c>
      <c r="P221">
        <v>53.08</v>
      </c>
      <c r="Q221">
        <v>51.470399999999998</v>
      </c>
      <c r="R221" t="s">
        <v>125</v>
      </c>
      <c r="S221" t="s">
        <v>106</v>
      </c>
      <c r="T221" t="s">
        <v>106</v>
      </c>
      <c r="U221" t="s">
        <v>133</v>
      </c>
      <c r="V221" t="s">
        <v>504</v>
      </c>
      <c r="W221" t="s">
        <v>40</v>
      </c>
    </row>
    <row r="222" spans="1:23" x14ac:dyDescent="0.3">
      <c r="A222" t="s">
        <v>23</v>
      </c>
      <c r="B222" t="s">
        <v>1458</v>
      </c>
      <c r="C222" t="s">
        <v>1459</v>
      </c>
      <c r="D222" t="s">
        <v>219</v>
      </c>
      <c r="E222" t="s">
        <v>27</v>
      </c>
      <c r="F222" t="s">
        <v>28</v>
      </c>
      <c r="G222" t="s">
        <v>29</v>
      </c>
      <c r="H222" t="s">
        <v>1460</v>
      </c>
      <c r="I222" t="s">
        <v>1461</v>
      </c>
      <c r="J222" t="s">
        <v>32</v>
      </c>
      <c r="K222" t="s">
        <v>33</v>
      </c>
      <c r="L222" t="s">
        <v>1462</v>
      </c>
      <c r="M222" t="s">
        <v>1463</v>
      </c>
      <c r="N222" t="s">
        <v>1464</v>
      </c>
      <c r="O222">
        <v>4242.2551770175423</v>
      </c>
      <c r="P222">
        <v>4174.24</v>
      </c>
      <c r="Q222">
        <v>4170.8015999999998</v>
      </c>
      <c r="R222" t="s">
        <v>37</v>
      </c>
      <c r="S222" t="s">
        <v>38</v>
      </c>
      <c r="T222" t="s">
        <v>38</v>
      </c>
      <c r="U222" t="s">
        <v>39</v>
      </c>
      <c r="W222" t="s">
        <v>40</v>
      </c>
    </row>
    <row r="223" spans="1:23" x14ac:dyDescent="0.3">
      <c r="A223" t="s">
        <v>23</v>
      </c>
      <c r="B223" t="s">
        <v>1465</v>
      </c>
      <c r="C223" t="s">
        <v>1466</v>
      </c>
      <c r="D223" t="s">
        <v>1347</v>
      </c>
      <c r="E223" t="s">
        <v>90</v>
      </c>
      <c r="F223" t="s">
        <v>91</v>
      </c>
      <c r="G223" t="s">
        <v>92</v>
      </c>
      <c r="H223" t="s">
        <v>1467</v>
      </c>
      <c r="I223" t="s">
        <v>102</v>
      </c>
      <c r="J223" t="s">
        <v>32</v>
      </c>
      <c r="K223" t="s">
        <v>33</v>
      </c>
      <c r="L223" t="s">
        <v>1468</v>
      </c>
      <c r="M223" t="s">
        <v>1469</v>
      </c>
      <c r="N223" t="s">
        <v>1470</v>
      </c>
      <c r="O223">
        <v>46.820162869242793</v>
      </c>
      <c r="P223">
        <v>324.33999999999997</v>
      </c>
      <c r="Q223">
        <v>37.480800000000002</v>
      </c>
      <c r="R223" t="s">
        <v>125</v>
      </c>
      <c r="S223" t="s">
        <v>51</v>
      </c>
      <c r="T223" t="s">
        <v>51</v>
      </c>
      <c r="U223" t="s">
        <v>143</v>
      </c>
      <c r="V223" t="s">
        <v>1471</v>
      </c>
      <c r="W223" t="s">
        <v>40</v>
      </c>
    </row>
    <row r="224" spans="1:23" x14ac:dyDescent="0.3">
      <c r="A224" t="s">
        <v>23</v>
      </c>
      <c r="B224" t="s">
        <v>1472</v>
      </c>
      <c r="C224" t="s">
        <v>1473</v>
      </c>
      <c r="D224" t="s">
        <v>247</v>
      </c>
      <c r="E224" t="s">
        <v>44</v>
      </c>
      <c r="F224" t="s">
        <v>28</v>
      </c>
      <c r="G224" t="s">
        <v>45</v>
      </c>
      <c r="H224" t="s">
        <v>1474</v>
      </c>
      <c r="I224" t="s">
        <v>147</v>
      </c>
      <c r="J224" t="s">
        <v>32</v>
      </c>
      <c r="K224" t="s">
        <v>33</v>
      </c>
      <c r="L224" t="s">
        <v>1475</v>
      </c>
      <c r="M224" t="s">
        <v>1476</v>
      </c>
      <c r="N224" t="s">
        <v>1477</v>
      </c>
      <c r="O224">
        <v>694.62572938240737</v>
      </c>
      <c r="P224">
        <v>185.46</v>
      </c>
      <c r="Q224">
        <v>182.1952</v>
      </c>
      <c r="R224" t="s">
        <v>75</v>
      </c>
      <c r="S224" t="s">
        <v>106</v>
      </c>
      <c r="T224" t="s">
        <v>106</v>
      </c>
      <c r="U224" t="s">
        <v>133</v>
      </c>
      <c r="V224" t="s">
        <v>53</v>
      </c>
      <c r="W224" t="s">
        <v>40</v>
      </c>
    </row>
    <row r="225" spans="1:23" x14ac:dyDescent="0.3">
      <c r="A225" t="s">
        <v>23</v>
      </c>
      <c r="B225" t="s">
        <v>1478</v>
      </c>
      <c r="C225" t="s">
        <v>1479</v>
      </c>
      <c r="D225" t="s">
        <v>239</v>
      </c>
      <c r="E225" t="s">
        <v>27</v>
      </c>
      <c r="F225" t="s">
        <v>28</v>
      </c>
      <c r="G225" t="s">
        <v>29</v>
      </c>
      <c r="H225" t="s">
        <v>1480</v>
      </c>
      <c r="I225" t="s">
        <v>395</v>
      </c>
      <c r="J225" t="s">
        <v>32</v>
      </c>
      <c r="K225" t="s">
        <v>33</v>
      </c>
      <c r="L225" t="s">
        <v>1481</v>
      </c>
      <c r="M225" t="s">
        <v>1482</v>
      </c>
      <c r="N225" t="s">
        <v>1483</v>
      </c>
      <c r="O225">
        <v>3927.090912421063</v>
      </c>
      <c r="P225">
        <v>2154.81</v>
      </c>
      <c r="Q225">
        <v>2126.2539999999999</v>
      </c>
      <c r="R225" t="s">
        <v>37</v>
      </c>
      <c r="S225" t="s">
        <v>38</v>
      </c>
      <c r="T225" t="s">
        <v>38</v>
      </c>
      <c r="U225" t="s">
        <v>39</v>
      </c>
      <c r="W225" t="s">
        <v>40</v>
      </c>
    </row>
    <row r="226" spans="1:23" x14ac:dyDescent="0.3">
      <c r="A226" t="s">
        <v>23</v>
      </c>
      <c r="B226" t="s">
        <v>1484</v>
      </c>
      <c r="C226" t="s">
        <v>1485</v>
      </c>
      <c r="D226" t="s">
        <v>481</v>
      </c>
      <c r="E226" t="s">
        <v>90</v>
      </c>
      <c r="F226" t="s">
        <v>91</v>
      </c>
      <c r="G226" t="s">
        <v>92</v>
      </c>
      <c r="H226" t="s">
        <v>1486</v>
      </c>
      <c r="I226" t="s">
        <v>102</v>
      </c>
      <c r="J226" t="s">
        <v>32</v>
      </c>
      <c r="K226" t="s">
        <v>33</v>
      </c>
      <c r="L226" t="s">
        <v>1487</v>
      </c>
      <c r="M226" t="s">
        <v>1488</v>
      </c>
      <c r="N226" t="s">
        <v>1489</v>
      </c>
      <c r="O226">
        <v>866.53892481638502</v>
      </c>
      <c r="P226">
        <v>330.75</v>
      </c>
      <c r="Q226">
        <v>326.34960000000001</v>
      </c>
      <c r="R226" t="s">
        <v>75</v>
      </c>
      <c r="S226" t="s">
        <v>106</v>
      </c>
      <c r="T226" t="s">
        <v>106</v>
      </c>
      <c r="U226" t="s">
        <v>133</v>
      </c>
      <c r="V226" t="s">
        <v>53</v>
      </c>
      <c r="W226" t="s">
        <v>40</v>
      </c>
    </row>
    <row r="227" spans="1:23" x14ac:dyDescent="0.3">
      <c r="A227" t="s">
        <v>23</v>
      </c>
      <c r="B227" t="s">
        <v>1490</v>
      </c>
      <c r="C227" t="s">
        <v>1491</v>
      </c>
      <c r="D227" t="s">
        <v>310</v>
      </c>
      <c r="E227" t="s">
        <v>154</v>
      </c>
      <c r="F227" t="s">
        <v>59</v>
      </c>
      <c r="G227" t="s">
        <v>113</v>
      </c>
      <c r="H227" t="s">
        <v>1492</v>
      </c>
      <c r="I227" t="s">
        <v>312</v>
      </c>
      <c r="J227" t="s">
        <v>32</v>
      </c>
      <c r="K227" t="s">
        <v>33</v>
      </c>
      <c r="L227" t="s">
        <v>1493</v>
      </c>
      <c r="M227" t="s">
        <v>1494</v>
      </c>
      <c r="N227" t="s">
        <v>1495</v>
      </c>
      <c r="O227">
        <v>11734.300186392309</v>
      </c>
      <c r="P227">
        <v>11709.85</v>
      </c>
      <c r="Q227">
        <v>11706.417600000001</v>
      </c>
      <c r="R227" t="s">
        <v>125</v>
      </c>
      <c r="S227" t="s">
        <v>38</v>
      </c>
      <c r="T227" t="s">
        <v>38</v>
      </c>
      <c r="U227" t="s">
        <v>39</v>
      </c>
      <c r="W227" t="s">
        <v>40</v>
      </c>
    </row>
    <row r="228" spans="1:23" x14ac:dyDescent="0.3">
      <c r="A228" t="s">
        <v>23</v>
      </c>
      <c r="B228" t="s">
        <v>1496</v>
      </c>
      <c r="C228" t="s">
        <v>1497</v>
      </c>
      <c r="D228" t="s">
        <v>563</v>
      </c>
      <c r="E228" t="s">
        <v>44</v>
      </c>
      <c r="F228" t="s">
        <v>28</v>
      </c>
      <c r="G228" t="s">
        <v>45</v>
      </c>
      <c r="H228" t="s">
        <v>1498</v>
      </c>
      <c r="I228" t="s">
        <v>62</v>
      </c>
      <c r="J228" t="s">
        <v>213</v>
      </c>
      <c r="K228" t="s">
        <v>33</v>
      </c>
      <c r="M228" t="s">
        <v>1499</v>
      </c>
      <c r="N228" t="s">
        <v>1500</v>
      </c>
      <c r="O228">
        <v>7452.6164191581793</v>
      </c>
      <c r="P228">
        <v>7290.4</v>
      </c>
      <c r="Q228">
        <v>7252.6728000000003</v>
      </c>
      <c r="R228" t="s">
        <v>37</v>
      </c>
      <c r="S228" t="s">
        <v>38</v>
      </c>
      <c r="T228" t="s">
        <v>38</v>
      </c>
      <c r="U228" t="s">
        <v>39</v>
      </c>
      <c r="W228" t="s">
        <v>40</v>
      </c>
    </row>
    <row r="229" spans="1:23" x14ac:dyDescent="0.3">
      <c r="A229" t="s">
        <v>23</v>
      </c>
      <c r="B229" t="s">
        <v>1501</v>
      </c>
      <c r="C229" t="s">
        <v>1502</v>
      </c>
      <c r="D229" t="s">
        <v>26</v>
      </c>
      <c r="E229" t="s">
        <v>27</v>
      </c>
      <c r="F229" t="s">
        <v>28</v>
      </c>
      <c r="G229" t="s">
        <v>29</v>
      </c>
      <c r="H229" t="s">
        <v>1503</v>
      </c>
      <c r="I229" t="s">
        <v>1504</v>
      </c>
      <c r="J229" t="s">
        <v>32</v>
      </c>
      <c r="K229" t="s">
        <v>33</v>
      </c>
      <c r="L229" t="s">
        <v>1505</v>
      </c>
      <c r="M229" t="s">
        <v>1506</v>
      </c>
      <c r="N229" t="s">
        <v>1507</v>
      </c>
      <c r="O229">
        <v>16012.89003971584</v>
      </c>
      <c r="P229">
        <v>10586.33</v>
      </c>
      <c r="Q229">
        <v>10488.224399999999</v>
      </c>
      <c r="R229" t="s">
        <v>37</v>
      </c>
      <c r="S229" t="s">
        <v>38</v>
      </c>
      <c r="T229" t="s">
        <v>38</v>
      </c>
      <c r="U229" t="s">
        <v>39</v>
      </c>
      <c r="W229" t="s">
        <v>40</v>
      </c>
    </row>
    <row r="230" spans="1:23" x14ac:dyDescent="0.3">
      <c r="A230" t="s">
        <v>23</v>
      </c>
      <c r="B230" t="s">
        <v>1508</v>
      </c>
      <c r="C230" t="s">
        <v>1509</v>
      </c>
      <c r="D230" t="s">
        <v>247</v>
      </c>
      <c r="E230" t="s">
        <v>44</v>
      </c>
      <c r="F230" t="s">
        <v>28</v>
      </c>
      <c r="G230" t="s">
        <v>45</v>
      </c>
      <c r="H230" t="s">
        <v>1510</v>
      </c>
      <c r="I230" t="s">
        <v>147</v>
      </c>
      <c r="J230" t="s">
        <v>185</v>
      </c>
      <c r="K230" t="s">
        <v>33</v>
      </c>
      <c r="L230" t="s">
        <v>1511</v>
      </c>
      <c r="M230" t="s">
        <v>1512</v>
      </c>
      <c r="N230" t="s">
        <v>1513</v>
      </c>
      <c r="O230">
        <v>4770.7654252663206</v>
      </c>
      <c r="P230">
        <v>3689.23</v>
      </c>
      <c r="Q230">
        <v>3681.5372000000002</v>
      </c>
      <c r="R230" t="s">
        <v>125</v>
      </c>
      <c r="S230" t="s">
        <v>38</v>
      </c>
      <c r="T230" t="s">
        <v>38</v>
      </c>
      <c r="U230" t="s">
        <v>39</v>
      </c>
      <c r="W230" t="s">
        <v>40</v>
      </c>
    </row>
    <row r="231" spans="1:23" x14ac:dyDescent="0.3">
      <c r="A231" t="s">
        <v>23</v>
      </c>
      <c r="B231" t="s">
        <v>1514</v>
      </c>
      <c r="C231" t="s">
        <v>1515</v>
      </c>
      <c r="D231" t="s">
        <v>182</v>
      </c>
      <c r="E231" t="s">
        <v>27</v>
      </c>
      <c r="F231" t="s">
        <v>28</v>
      </c>
      <c r="G231" t="s">
        <v>29</v>
      </c>
      <c r="H231" t="s">
        <v>1516</v>
      </c>
      <c r="I231" t="s">
        <v>139</v>
      </c>
      <c r="J231" t="s">
        <v>32</v>
      </c>
      <c r="K231" t="s">
        <v>33</v>
      </c>
      <c r="L231" t="s">
        <v>1517</v>
      </c>
      <c r="M231" t="s">
        <v>1518</v>
      </c>
      <c r="N231" t="s">
        <v>1519</v>
      </c>
      <c r="O231">
        <v>5026.9863860965916</v>
      </c>
      <c r="P231">
        <v>4246.42</v>
      </c>
      <c r="Q231">
        <v>4202.8275999999996</v>
      </c>
      <c r="R231" t="s">
        <v>37</v>
      </c>
      <c r="S231" t="s">
        <v>38</v>
      </c>
      <c r="T231" t="s">
        <v>38</v>
      </c>
      <c r="U231" t="s">
        <v>39</v>
      </c>
      <c r="W231" t="s">
        <v>40</v>
      </c>
    </row>
    <row r="232" spans="1:23" x14ac:dyDescent="0.3">
      <c r="A232" t="s">
        <v>23</v>
      </c>
      <c r="B232" t="s">
        <v>1520</v>
      </c>
      <c r="C232" t="s">
        <v>1521</v>
      </c>
      <c r="D232" t="s">
        <v>57</v>
      </c>
      <c r="E232" t="s">
        <v>58</v>
      </c>
      <c r="F232" t="s">
        <v>59</v>
      </c>
      <c r="G232" t="s">
        <v>60</v>
      </c>
      <c r="H232" t="s">
        <v>1522</v>
      </c>
      <c r="I232" t="s">
        <v>62</v>
      </c>
      <c r="J232" t="s">
        <v>63</v>
      </c>
      <c r="K232" t="s">
        <v>33</v>
      </c>
      <c r="L232" t="s">
        <v>1523</v>
      </c>
      <c r="M232" t="s">
        <v>1524</v>
      </c>
      <c r="N232" t="s">
        <v>1525</v>
      </c>
      <c r="O232">
        <v>8.2249090887068395</v>
      </c>
      <c r="P232">
        <v>8.23</v>
      </c>
      <c r="Q232">
        <v>8.1</v>
      </c>
      <c r="R232" t="s">
        <v>67</v>
      </c>
      <c r="S232" t="s">
        <v>38</v>
      </c>
      <c r="T232" t="s">
        <v>38</v>
      </c>
      <c r="U232" t="s">
        <v>39</v>
      </c>
      <c r="W232" t="s">
        <v>40</v>
      </c>
    </row>
    <row r="233" spans="1:23" x14ac:dyDescent="0.3">
      <c r="A233" t="s">
        <v>23</v>
      </c>
      <c r="B233" t="s">
        <v>1526</v>
      </c>
      <c r="C233" t="s">
        <v>1527</v>
      </c>
      <c r="D233" t="s">
        <v>100</v>
      </c>
      <c r="E233" t="s">
        <v>90</v>
      </c>
      <c r="F233" t="s">
        <v>91</v>
      </c>
      <c r="G233" t="s">
        <v>92</v>
      </c>
      <c r="H233" t="s">
        <v>1528</v>
      </c>
      <c r="I233" t="s">
        <v>102</v>
      </c>
      <c r="J233" t="s">
        <v>32</v>
      </c>
      <c r="K233" t="s">
        <v>33</v>
      </c>
      <c r="L233" t="s">
        <v>1529</v>
      </c>
      <c r="M233" t="s">
        <v>1530</v>
      </c>
      <c r="N233" t="s">
        <v>1531</v>
      </c>
      <c r="O233">
        <v>4963.7676870309951</v>
      </c>
      <c r="P233">
        <v>509.29</v>
      </c>
      <c r="Q233">
        <v>486.57679999999999</v>
      </c>
      <c r="R233" t="s">
        <v>75</v>
      </c>
      <c r="S233" t="s">
        <v>106</v>
      </c>
      <c r="T233" t="s">
        <v>106</v>
      </c>
      <c r="U233" t="s">
        <v>133</v>
      </c>
      <c r="V233" t="s">
        <v>262</v>
      </c>
      <c r="W233" t="s">
        <v>40</v>
      </c>
    </row>
    <row r="234" spans="1:23" x14ac:dyDescent="0.3">
      <c r="A234" t="s">
        <v>23</v>
      </c>
      <c r="B234" t="s">
        <v>1532</v>
      </c>
      <c r="C234" t="s">
        <v>1533</v>
      </c>
      <c r="D234" t="s">
        <v>959</v>
      </c>
      <c r="E234" t="s">
        <v>81</v>
      </c>
      <c r="F234" t="s">
        <v>59</v>
      </c>
      <c r="G234" t="s">
        <v>82</v>
      </c>
      <c r="H234" t="s">
        <v>1534</v>
      </c>
      <c r="I234" t="s">
        <v>62</v>
      </c>
      <c r="J234" t="s">
        <v>32</v>
      </c>
      <c r="K234" t="s">
        <v>33</v>
      </c>
      <c r="L234" t="s">
        <v>1535</v>
      </c>
      <c r="M234" t="s">
        <v>1536</v>
      </c>
      <c r="N234" t="s">
        <v>1537</v>
      </c>
      <c r="O234">
        <v>539.36206859880747</v>
      </c>
      <c r="P234">
        <v>534.91</v>
      </c>
      <c r="Q234">
        <v>534.22839999999997</v>
      </c>
      <c r="R234" t="s">
        <v>75</v>
      </c>
      <c r="S234" t="s">
        <v>38</v>
      </c>
      <c r="T234" t="s">
        <v>38</v>
      </c>
      <c r="U234" t="s">
        <v>39</v>
      </c>
      <c r="W234" t="s">
        <v>40</v>
      </c>
    </row>
    <row r="235" spans="1:23" x14ac:dyDescent="0.3">
      <c r="A235" t="s">
        <v>23</v>
      </c>
      <c r="B235" t="s">
        <v>1538</v>
      </c>
      <c r="C235" t="s">
        <v>1539</v>
      </c>
      <c r="D235" t="s">
        <v>219</v>
      </c>
      <c r="E235" t="s">
        <v>27</v>
      </c>
      <c r="F235" t="s">
        <v>28</v>
      </c>
      <c r="G235" t="s">
        <v>29</v>
      </c>
      <c r="H235" t="s">
        <v>1540</v>
      </c>
      <c r="I235" t="s">
        <v>72</v>
      </c>
      <c r="J235" t="s">
        <v>32</v>
      </c>
      <c r="K235" t="s">
        <v>33</v>
      </c>
      <c r="L235" t="s">
        <v>1541</v>
      </c>
      <c r="M235" t="s">
        <v>1542</v>
      </c>
      <c r="N235" t="s">
        <v>1543</v>
      </c>
      <c r="O235">
        <v>492.94582584122742</v>
      </c>
      <c r="P235">
        <v>155.31</v>
      </c>
      <c r="Q235">
        <v>148.2508</v>
      </c>
      <c r="R235" t="s">
        <v>37</v>
      </c>
      <c r="S235" t="s">
        <v>106</v>
      </c>
      <c r="T235" t="s">
        <v>106</v>
      </c>
      <c r="U235" t="s">
        <v>133</v>
      </c>
      <c r="V235" t="s">
        <v>53</v>
      </c>
      <c r="W235" t="s">
        <v>40</v>
      </c>
    </row>
    <row r="236" spans="1:23" x14ac:dyDescent="0.3">
      <c r="A236" t="s">
        <v>23</v>
      </c>
      <c r="B236" t="s">
        <v>1544</v>
      </c>
      <c r="C236" t="s">
        <v>1545</v>
      </c>
      <c r="D236" t="s">
        <v>43</v>
      </c>
      <c r="E236" t="s">
        <v>44</v>
      </c>
      <c r="F236" t="s">
        <v>28</v>
      </c>
      <c r="G236" t="s">
        <v>45</v>
      </c>
      <c r="H236" t="s">
        <v>1546</v>
      </c>
      <c r="I236" t="s">
        <v>249</v>
      </c>
      <c r="J236" t="s">
        <v>32</v>
      </c>
      <c r="K236" t="s">
        <v>33</v>
      </c>
      <c r="L236" t="s">
        <v>1547</v>
      </c>
      <c r="M236" t="s">
        <v>1548</v>
      </c>
      <c r="N236" t="s">
        <v>1549</v>
      </c>
      <c r="O236">
        <v>2000.0247099875889</v>
      </c>
      <c r="P236">
        <v>1760.24</v>
      </c>
      <c r="Q236">
        <v>1747.9495999999999</v>
      </c>
      <c r="R236" t="s">
        <v>125</v>
      </c>
      <c r="S236" t="s">
        <v>38</v>
      </c>
      <c r="T236" t="s">
        <v>38</v>
      </c>
      <c r="U236" t="s">
        <v>39</v>
      </c>
      <c r="W236" t="s">
        <v>40</v>
      </c>
    </row>
    <row r="237" spans="1:23" x14ac:dyDescent="0.3">
      <c r="A237" t="s">
        <v>23</v>
      </c>
      <c r="B237" t="s">
        <v>1550</v>
      </c>
      <c r="C237" t="s">
        <v>1551</v>
      </c>
      <c r="D237" t="s">
        <v>247</v>
      </c>
      <c r="E237" t="s">
        <v>44</v>
      </c>
      <c r="F237" t="s">
        <v>28</v>
      </c>
      <c r="G237" t="s">
        <v>45</v>
      </c>
      <c r="H237" t="s">
        <v>1552</v>
      </c>
      <c r="I237" t="s">
        <v>395</v>
      </c>
      <c r="J237" t="s">
        <v>185</v>
      </c>
      <c r="K237" t="s">
        <v>33</v>
      </c>
      <c r="L237" t="s">
        <v>1553</v>
      </c>
      <c r="M237" t="s">
        <v>1554</v>
      </c>
      <c r="N237" t="s">
        <v>1555</v>
      </c>
      <c r="O237">
        <v>7094.5483932739544</v>
      </c>
      <c r="P237">
        <v>5744.11</v>
      </c>
      <c r="Q237">
        <v>5704.48</v>
      </c>
      <c r="R237" t="s">
        <v>67</v>
      </c>
      <c r="S237" t="s">
        <v>38</v>
      </c>
      <c r="T237" t="s">
        <v>38</v>
      </c>
      <c r="U237" t="s">
        <v>39</v>
      </c>
      <c r="W237" t="s">
        <v>40</v>
      </c>
    </row>
    <row r="238" spans="1:23" x14ac:dyDescent="0.3">
      <c r="A238" t="s">
        <v>23</v>
      </c>
      <c r="B238" t="s">
        <v>1556</v>
      </c>
      <c r="C238" t="s">
        <v>1557</v>
      </c>
      <c r="D238" t="s">
        <v>563</v>
      </c>
      <c r="E238" t="s">
        <v>44</v>
      </c>
      <c r="F238" t="s">
        <v>28</v>
      </c>
      <c r="G238" t="s">
        <v>137</v>
      </c>
      <c r="H238" t="s">
        <v>1558</v>
      </c>
      <c r="I238" t="s">
        <v>1033</v>
      </c>
      <c r="J238" t="s">
        <v>32</v>
      </c>
      <c r="K238" t="s">
        <v>33</v>
      </c>
      <c r="L238" t="s">
        <v>1559</v>
      </c>
      <c r="M238" t="s">
        <v>1560</v>
      </c>
      <c r="N238" t="s">
        <v>1561</v>
      </c>
      <c r="O238">
        <v>5838.9868462543727</v>
      </c>
      <c r="P238">
        <v>4279.6000000000004</v>
      </c>
      <c r="Q238">
        <v>5539.6776</v>
      </c>
      <c r="R238" t="s">
        <v>75</v>
      </c>
      <c r="S238" t="s">
        <v>38</v>
      </c>
      <c r="T238" t="s">
        <v>38</v>
      </c>
      <c r="U238" t="s">
        <v>39</v>
      </c>
      <c r="W238" t="s">
        <v>40</v>
      </c>
    </row>
    <row r="239" spans="1:23" x14ac:dyDescent="0.3">
      <c r="A239" t="s">
        <v>23</v>
      </c>
      <c r="B239" t="s">
        <v>1562</v>
      </c>
      <c r="C239" t="s">
        <v>1563</v>
      </c>
      <c r="D239" t="s">
        <v>198</v>
      </c>
      <c r="E239" t="s">
        <v>90</v>
      </c>
      <c r="F239" t="s">
        <v>91</v>
      </c>
      <c r="G239" t="s">
        <v>92</v>
      </c>
      <c r="H239" t="s">
        <v>1564</v>
      </c>
      <c r="I239" t="s">
        <v>102</v>
      </c>
      <c r="J239" t="s">
        <v>32</v>
      </c>
      <c r="K239" t="s">
        <v>33</v>
      </c>
      <c r="L239" t="s">
        <v>1565</v>
      </c>
      <c r="M239" t="s">
        <v>1566</v>
      </c>
      <c r="N239" t="s">
        <v>1567</v>
      </c>
      <c r="O239">
        <v>523.96530380352544</v>
      </c>
      <c r="P239">
        <v>283.89</v>
      </c>
      <c r="Q239">
        <v>279.65199999999999</v>
      </c>
      <c r="R239" t="s">
        <v>125</v>
      </c>
      <c r="S239" t="s">
        <v>51</v>
      </c>
      <c r="T239" t="s">
        <v>51</v>
      </c>
      <c r="U239" t="s">
        <v>143</v>
      </c>
      <c r="V239" t="s">
        <v>504</v>
      </c>
      <c r="W239" t="s">
        <v>40</v>
      </c>
    </row>
    <row r="240" spans="1:23" x14ac:dyDescent="0.3">
      <c r="A240" t="s">
        <v>23</v>
      </c>
      <c r="B240" t="s">
        <v>1568</v>
      </c>
      <c r="C240" t="s">
        <v>1569</v>
      </c>
      <c r="D240" t="s">
        <v>136</v>
      </c>
      <c r="E240" t="s">
        <v>112</v>
      </c>
      <c r="F240" t="s">
        <v>28</v>
      </c>
      <c r="G240" t="s">
        <v>29</v>
      </c>
      <c r="H240" t="s">
        <v>1570</v>
      </c>
      <c r="I240" t="s">
        <v>1571</v>
      </c>
      <c r="J240" t="s">
        <v>32</v>
      </c>
      <c r="K240" t="s">
        <v>33</v>
      </c>
      <c r="L240" t="s">
        <v>1572</v>
      </c>
      <c r="M240" t="s">
        <v>1573</v>
      </c>
      <c r="N240" t="s">
        <v>1574</v>
      </c>
      <c r="O240">
        <v>3235.1813017102299</v>
      </c>
      <c r="P240">
        <v>3092.09</v>
      </c>
      <c r="Q240">
        <v>2106.7503999999999</v>
      </c>
      <c r="R240" t="s">
        <v>37</v>
      </c>
      <c r="S240" t="s">
        <v>38</v>
      </c>
      <c r="T240" t="s">
        <v>38</v>
      </c>
      <c r="U240" t="s">
        <v>39</v>
      </c>
      <c r="W240" t="s">
        <v>40</v>
      </c>
    </row>
    <row r="241" spans="1:23" x14ac:dyDescent="0.3">
      <c r="A241" t="s">
        <v>23</v>
      </c>
      <c r="B241" t="s">
        <v>1575</v>
      </c>
      <c r="C241" t="s">
        <v>1576</v>
      </c>
      <c r="D241" t="s">
        <v>198</v>
      </c>
      <c r="E241" t="s">
        <v>90</v>
      </c>
      <c r="F241" t="s">
        <v>91</v>
      </c>
      <c r="G241" t="s">
        <v>92</v>
      </c>
      <c r="H241" t="s">
        <v>1577</v>
      </c>
      <c r="I241" t="s">
        <v>102</v>
      </c>
      <c r="J241" t="s">
        <v>32</v>
      </c>
      <c r="K241" t="s">
        <v>33</v>
      </c>
      <c r="L241" t="s">
        <v>1578</v>
      </c>
      <c r="M241" t="s">
        <v>1579</v>
      </c>
      <c r="N241" t="s">
        <v>1580</v>
      </c>
      <c r="O241">
        <v>279.48452614351942</v>
      </c>
      <c r="P241">
        <v>70.510000000000005</v>
      </c>
      <c r="Q241">
        <v>67.120800000000003</v>
      </c>
      <c r="R241" t="s">
        <v>37</v>
      </c>
      <c r="S241" t="s">
        <v>106</v>
      </c>
      <c r="T241" t="s">
        <v>106</v>
      </c>
      <c r="U241" t="s">
        <v>133</v>
      </c>
      <c r="V241" t="s">
        <v>504</v>
      </c>
      <c r="W241" t="s">
        <v>40</v>
      </c>
    </row>
    <row r="242" spans="1:23" x14ac:dyDescent="0.3">
      <c r="A242" t="s">
        <v>23</v>
      </c>
      <c r="B242" t="s">
        <v>1581</v>
      </c>
      <c r="C242" t="s">
        <v>1582</v>
      </c>
      <c r="D242" t="s">
        <v>26</v>
      </c>
      <c r="E242" t="s">
        <v>27</v>
      </c>
      <c r="F242" t="s">
        <v>28</v>
      </c>
      <c r="G242" t="s">
        <v>29</v>
      </c>
      <c r="H242" t="s">
        <v>1583</v>
      </c>
      <c r="I242" t="s">
        <v>337</v>
      </c>
      <c r="J242" t="s">
        <v>32</v>
      </c>
      <c r="K242" t="s">
        <v>33</v>
      </c>
      <c r="L242" t="s">
        <v>1584</v>
      </c>
      <c r="M242" t="s">
        <v>1585</v>
      </c>
      <c r="N242" t="s">
        <v>1586</v>
      </c>
      <c r="O242">
        <v>9187.4395049273699</v>
      </c>
      <c r="P242">
        <v>1522.67</v>
      </c>
      <c r="Q242">
        <v>3675.6060000000002</v>
      </c>
      <c r="R242" t="s">
        <v>75</v>
      </c>
      <c r="S242" t="s">
        <v>51</v>
      </c>
      <c r="T242" t="s">
        <v>51</v>
      </c>
      <c r="U242" t="s">
        <v>143</v>
      </c>
      <c r="V242" t="s">
        <v>53</v>
      </c>
      <c r="W242" t="s">
        <v>40</v>
      </c>
    </row>
    <row r="243" spans="1:23" x14ac:dyDescent="0.3">
      <c r="A243" t="s">
        <v>23</v>
      </c>
      <c r="B243" t="s">
        <v>1587</v>
      </c>
      <c r="C243" t="s">
        <v>1588</v>
      </c>
      <c r="D243" t="s">
        <v>1589</v>
      </c>
      <c r="E243" t="s">
        <v>873</v>
      </c>
      <c r="F243" t="s">
        <v>1379</v>
      </c>
      <c r="G243" t="s">
        <v>1380</v>
      </c>
      <c r="H243" t="s">
        <v>1590</v>
      </c>
      <c r="I243" t="s">
        <v>986</v>
      </c>
      <c r="J243" t="s">
        <v>1591</v>
      </c>
      <c r="K243" t="s">
        <v>33</v>
      </c>
      <c r="L243" t="s">
        <v>1592</v>
      </c>
      <c r="M243" t="s">
        <v>816</v>
      </c>
      <c r="N243" t="s">
        <v>1593</v>
      </c>
      <c r="O243">
        <v>132.4897425695072</v>
      </c>
      <c r="P243">
        <v>133.97999999999999</v>
      </c>
      <c r="Q243">
        <v>133.42599999999999</v>
      </c>
      <c r="R243" t="s">
        <v>67</v>
      </c>
      <c r="S243" t="s">
        <v>76</v>
      </c>
      <c r="T243" t="s">
        <v>76</v>
      </c>
      <c r="U243" t="s">
        <v>261</v>
      </c>
      <c r="V243" t="s">
        <v>1594</v>
      </c>
      <c r="W243" t="s">
        <v>40</v>
      </c>
    </row>
    <row r="244" spans="1:23" x14ac:dyDescent="0.3">
      <c r="A244" t="s">
        <v>23</v>
      </c>
      <c r="B244" t="s">
        <v>1595</v>
      </c>
      <c r="C244" t="s">
        <v>1596</v>
      </c>
      <c r="D244" t="s">
        <v>481</v>
      </c>
      <c r="E244" t="s">
        <v>90</v>
      </c>
      <c r="F244" t="s">
        <v>91</v>
      </c>
      <c r="G244" t="s">
        <v>92</v>
      </c>
      <c r="H244" t="s">
        <v>1597</v>
      </c>
      <c r="I244" t="s">
        <v>102</v>
      </c>
      <c r="J244" t="s">
        <v>32</v>
      </c>
      <c r="K244" t="s">
        <v>33</v>
      </c>
      <c r="L244" t="s">
        <v>1598</v>
      </c>
      <c r="M244" t="s">
        <v>1599</v>
      </c>
      <c r="N244" t="s">
        <v>1600</v>
      </c>
      <c r="O244">
        <v>1049.784649676373</v>
      </c>
      <c r="P244">
        <v>621.80999999999995</v>
      </c>
      <c r="Q244">
        <v>616.41359999999997</v>
      </c>
      <c r="R244" t="s">
        <v>37</v>
      </c>
      <c r="S244" t="s">
        <v>51</v>
      </c>
      <c r="T244" t="s">
        <v>51</v>
      </c>
      <c r="U244" t="s">
        <v>143</v>
      </c>
      <c r="V244" t="s">
        <v>108</v>
      </c>
      <c r="W244" t="s">
        <v>40</v>
      </c>
    </row>
    <row r="245" spans="1:23" x14ac:dyDescent="0.3">
      <c r="A245" t="s">
        <v>23</v>
      </c>
      <c r="B245" t="s">
        <v>1601</v>
      </c>
      <c r="C245" t="s">
        <v>1602</v>
      </c>
      <c r="D245" t="s">
        <v>198</v>
      </c>
      <c r="E245" t="s">
        <v>90</v>
      </c>
      <c r="F245" t="s">
        <v>91</v>
      </c>
      <c r="G245" t="s">
        <v>92</v>
      </c>
      <c r="H245" t="s">
        <v>1603</v>
      </c>
      <c r="I245" t="s">
        <v>102</v>
      </c>
      <c r="J245" t="s">
        <v>32</v>
      </c>
      <c r="K245" t="s">
        <v>33</v>
      </c>
      <c r="L245" t="s">
        <v>1604</v>
      </c>
      <c r="M245" t="s">
        <v>1605</v>
      </c>
      <c r="N245" t="s">
        <v>1606</v>
      </c>
      <c r="O245">
        <v>1050.62425870434</v>
      </c>
      <c r="P245">
        <v>1010.3</v>
      </c>
      <c r="Q245">
        <v>1008.4552</v>
      </c>
      <c r="R245" t="s">
        <v>67</v>
      </c>
      <c r="S245" t="s">
        <v>38</v>
      </c>
      <c r="T245" t="s">
        <v>38</v>
      </c>
      <c r="U245" t="s">
        <v>39</v>
      </c>
      <c r="W245" t="s">
        <v>40</v>
      </c>
    </row>
    <row r="246" spans="1:23" x14ac:dyDescent="0.3">
      <c r="A246" t="s">
        <v>23</v>
      </c>
      <c r="B246" t="s">
        <v>1607</v>
      </c>
      <c r="C246" t="s">
        <v>1608</v>
      </c>
      <c r="D246" t="s">
        <v>239</v>
      </c>
      <c r="E246" t="s">
        <v>27</v>
      </c>
      <c r="F246" t="s">
        <v>28</v>
      </c>
      <c r="G246" t="s">
        <v>29</v>
      </c>
      <c r="H246" t="s">
        <v>1609</v>
      </c>
      <c r="I246" t="s">
        <v>241</v>
      </c>
      <c r="J246" t="s">
        <v>32</v>
      </c>
      <c r="K246" t="s">
        <v>33</v>
      </c>
      <c r="L246" t="s">
        <v>1610</v>
      </c>
      <c r="M246" t="s">
        <v>1611</v>
      </c>
      <c r="N246" t="s">
        <v>1612</v>
      </c>
      <c r="O246">
        <v>939.14577306696685</v>
      </c>
      <c r="P246">
        <v>354.7</v>
      </c>
      <c r="Q246">
        <v>352.04160000000002</v>
      </c>
      <c r="R246" t="s">
        <v>37</v>
      </c>
      <c r="S246" t="s">
        <v>51</v>
      </c>
      <c r="T246" t="s">
        <v>51</v>
      </c>
      <c r="U246" t="s">
        <v>143</v>
      </c>
      <c r="V246" t="s">
        <v>53</v>
      </c>
      <c r="W246" t="s">
        <v>40</v>
      </c>
    </row>
    <row r="247" spans="1:23" x14ac:dyDescent="0.3">
      <c r="A247" t="s">
        <v>23</v>
      </c>
      <c r="B247" t="s">
        <v>1613</v>
      </c>
      <c r="C247" t="s">
        <v>1614</v>
      </c>
      <c r="D247" t="s">
        <v>89</v>
      </c>
      <c r="E247" t="s">
        <v>90</v>
      </c>
      <c r="F247" t="s">
        <v>91</v>
      </c>
      <c r="G247" t="s">
        <v>92</v>
      </c>
      <c r="H247" t="s">
        <v>1615</v>
      </c>
      <c r="I247" t="s">
        <v>94</v>
      </c>
      <c r="J247" t="s">
        <v>32</v>
      </c>
      <c r="K247" t="s">
        <v>33</v>
      </c>
      <c r="L247" t="s">
        <v>1616</v>
      </c>
      <c r="M247" t="s">
        <v>1617</v>
      </c>
      <c r="N247" t="s">
        <v>1618</v>
      </c>
      <c r="O247">
        <v>78.045662625337783</v>
      </c>
      <c r="P247">
        <v>30.02</v>
      </c>
      <c r="Q247">
        <v>29.270399999999999</v>
      </c>
      <c r="R247" t="s">
        <v>37</v>
      </c>
      <c r="S247" t="s">
        <v>51</v>
      </c>
      <c r="T247" t="s">
        <v>51</v>
      </c>
      <c r="U247" t="s">
        <v>143</v>
      </c>
      <c r="V247" t="s">
        <v>706</v>
      </c>
      <c r="W247" t="s">
        <v>40</v>
      </c>
    </row>
    <row r="248" spans="1:23" x14ac:dyDescent="0.3">
      <c r="A248" t="s">
        <v>23</v>
      </c>
      <c r="B248" t="s">
        <v>1619</v>
      </c>
      <c r="C248" t="s">
        <v>1620</v>
      </c>
      <c r="D248" t="s">
        <v>80</v>
      </c>
      <c r="E248" t="s">
        <v>81</v>
      </c>
      <c r="F248" t="s">
        <v>59</v>
      </c>
      <c r="G248" t="s">
        <v>82</v>
      </c>
      <c r="H248" t="s">
        <v>1621</v>
      </c>
      <c r="I248" t="s">
        <v>62</v>
      </c>
      <c r="J248" t="s">
        <v>32</v>
      </c>
      <c r="K248" t="s">
        <v>33</v>
      </c>
      <c r="L248" t="s">
        <v>1622</v>
      </c>
      <c r="M248" t="s">
        <v>1623</v>
      </c>
      <c r="N248" t="s">
        <v>1624</v>
      </c>
      <c r="O248">
        <v>331.39799243959101</v>
      </c>
      <c r="P248">
        <v>303.86</v>
      </c>
      <c r="Q248">
        <v>302.77839999999998</v>
      </c>
      <c r="R248" t="s">
        <v>75</v>
      </c>
      <c r="S248" t="s">
        <v>38</v>
      </c>
      <c r="T248" t="s">
        <v>38</v>
      </c>
      <c r="U248" t="s">
        <v>39</v>
      </c>
      <c r="W248" t="s">
        <v>40</v>
      </c>
    </row>
    <row r="249" spans="1:23" x14ac:dyDescent="0.3">
      <c r="A249" t="s">
        <v>23</v>
      </c>
      <c r="B249" t="s">
        <v>1625</v>
      </c>
      <c r="C249" t="s">
        <v>1626</v>
      </c>
      <c r="D249" t="s">
        <v>239</v>
      </c>
      <c r="E249" t="s">
        <v>27</v>
      </c>
      <c r="F249" t="s">
        <v>28</v>
      </c>
      <c r="G249" t="s">
        <v>29</v>
      </c>
      <c r="H249" t="s">
        <v>1627</v>
      </c>
      <c r="I249" t="s">
        <v>241</v>
      </c>
      <c r="J249" t="s">
        <v>32</v>
      </c>
      <c r="K249" t="s">
        <v>33</v>
      </c>
      <c r="L249" t="s">
        <v>1628</v>
      </c>
      <c r="M249" t="s">
        <v>1629</v>
      </c>
      <c r="N249" t="s">
        <v>1630</v>
      </c>
      <c r="O249">
        <v>1551.0820843735371</v>
      </c>
      <c r="P249">
        <v>1202.8800000000001</v>
      </c>
      <c r="Q249">
        <v>1192.7208000000001</v>
      </c>
      <c r="R249" t="s">
        <v>37</v>
      </c>
      <c r="S249" t="s">
        <v>38</v>
      </c>
      <c r="T249" t="s">
        <v>38</v>
      </c>
      <c r="U249" t="s">
        <v>39</v>
      </c>
      <c r="W249" t="s">
        <v>40</v>
      </c>
    </row>
    <row r="250" spans="1:23" x14ac:dyDescent="0.3">
      <c r="A250" t="s">
        <v>23</v>
      </c>
      <c r="B250" t="s">
        <v>1631</v>
      </c>
      <c r="C250" t="s">
        <v>1632</v>
      </c>
      <c r="D250" t="s">
        <v>205</v>
      </c>
      <c r="E250" t="s">
        <v>81</v>
      </c>
      <c r="F250" t="s">
        <v>59</v>
      </c>
      <c r="G250" t="s">
        <v>82</v>
      </c>
      <c r="H250" t="s">
        <v>1633</v>
      </c>
      <c r="I250" t="s">
        <v>102</v>
      </c>
      <c r="J250" t="s">
        <v>32</v>
      </c>
      <c r="K250" t="s">
        <v>33</v>
      </c>
      <c r="L250" t="s">
        <v>1634</v>
      </c>
      <c r="M250" t="s">
        <v>1635</v>
      </c>
      <c r="N250" t="s">
        <v>1636</v>
      </c>
      <c r="O250">
        <v>540.72579267620938</v>
      </c>
      <c r="P250">
        <v>451.98</v>
      </c>
      <c r="Q250">
        <v>448.01119999999997</v>
      </c>
      <c r="R250" t="s">
        <v>75</v>
      </c>
      <c r="S250" t="s">
        <v>38</v>
      </c>
      <c r="T250" t="s">
        <v>38</v>
      </c>
      <c r="U250" t="s">
        <v>39</v>
      </c>
      <c r="W250" t="s">
        <v>40</v>
      </c>
    </row>
    <row r="251" spans="1:23" x14ac:dyDescent="0.3">
      <c r="A251" t="s">
        <v>23</v>
      </c>
      <c r="B251" t="s">
        <v>1637</v>
      </c>
      <c r="C251" t="s">
        <v>1638</v>
      </c>
      <c r="D251" t="s">
        <v>695</v>
      </c>
      <c r="E251" t="s">
        <v>90</v>
      </c>
      <c r="F251" t="s">
        <v>91</v>
      </c>
      <c r="G251" t="s">
        <v>92</v>
      </c>
      <c r="H251" t="s">
        <v>1639</v>
      </c>
      <c r="I251" t="s">
        <v>102</v>
      </c>
      <c r="J251" t="s">
        <v>32</v>
      </c>
      <c r="K251" t="s">
        <v>33</v>
      </c>
      <c r="L251" t="s">
        <v>1640</v>
      </c>
      <c r="M251" t="s">
        <v>1641</v>
      </c>
      <c r="N251" t="s">
        <v>1642</v>
      </c>
      <c r="O251">
        <v>354.2823103490017</v>
      </c>
      <c r="P251">
        <v>238.54</v>
      </c>
      <c r="Q251">
        <v>235.70480000000001</v>
      </c>
      <c r="R251" t="s">
        <v>37</v>
      </c>
      <c r="S251" t="s">
        <v>106</v>
      </c>
      <c r="T251" t="s">
        <v>106</v>
      </c>
      <c r="U251" t="s">
        <v>133</v>
      </c>
      <c r="V251" t="s">
        <v>53</v>
      </c>
      <c r="W251" t="s">
        <v>40</v>
      </c>
    </row>
    <row r="252" spans="1:23" x14ac:dyDescent="0.3">
      <c r="A252" t="s">
        <v>23</v>
      </c>
      <c r="B252" t="s">
        <v>1643</v>
      </c>
      <c r="C252" t="s">
        <v>1644</v>
      </c>
      <c r="D252" t="s">
        <v>198</v>
      </c>
      <c r="E252" t="s">
        <v>90</v>
      </c>
      <c r="F252" t="s">
        <v>91</v>
      </c>
      <c r="G252" t="s">
        <v>92</v>
      </c>
      <c r="H252" t="s">
        <v>1645</v>
      </c>
      <c r="I252" t="s">
        <v>102</v>
      </c>
      <c r="J252" t="s">
        <v>32</v>
      </c>
      <c r="K252" t="s">
        <v>33</v>
      </c>
      <c r="L252" t="s">
        <v>1646</v>
      </c>
      <c r="M252" t="s">
        <v>1647</v>
      </c>
      <c r="N252" t="s">
        <v>1648</v>
      </c>
      <c r="O252">
        <v>914.24577996832511</v>
      </c>
      <c r="P252">
        <v>766.16</v>
      </c>
      <c r="Q252">
        <v>763.45399999999995</v>
      </c>
      <c r="R252" t="s">
        <v>67</v>
      </c>
      <c r="S252" t="s">
        <v>106</v>
      </c>
      <c r="T252" t="s">
        <v>106</v>
      </c>
      <c r="U252" t="s">
        <v>133</v>
      </c>
      <c r="V252" t="s">
        <v>108</v>
      </c>
      <c r="W252" t="s">
        <v>40</v>
      </c>
    </row>
    <row r="253" spans="1:23" x14ac:dyDescent="0.3">
      <c r="A253" t="s">
        <v>23</v>
      </c>
      <c r="B253" t="s">
        <v>1649</v>
      </c>
      <c r="C253" t="s">
        <v>1650</v>
      </c>
      <c r="D253" t="s">
        <v>247</v>
      </c>
      <c r="E253" t="s">
        <v>44</v>
      </c>
      <c r="F253" t="s">
        <v>28</v>
      </c>
      <c r="G253" t="s">
        <v>45</v>
      </c>
      <c r="H253" t="s">
        <v>1651</v>
      </c>
      <c r="I253" t="s">
        <v>395</v>
      </c>
      <c r="J253" t="s">
        <v>185</v>
      </c>
      <c r="K253" t="s">
        <v>33</v>
      </c>
      <c r="L253" t="s">
        <v>1652</v>
      </c>
      <c r="M253" t="s">
        <v>1653</v>
      </c>
      <c r="N253" t="s">
        <v>1654</v>
      </c>
      <c r="O253">
        <v>1381.186266028571</v>
      </c>
      <c r="P253">
        <v>3426.72</v>
      </c>
      <c r="Q253">
        <v>3420.6568000000002</v>
      </c>
      <c r="R253" t="s">
        <v>67</v>
      </c>
      <c r="S253" t="s">
        <v>38</v>
      </c>
      <c r="T253" t="s">
        <v>38</v>
      </c>
      <c r="U253" t="s">
        <v>39</v>
      </c>
      <c r="W253" t="s">
        <v>40</v>
      </c>
    </row>
    <row r="254" spans="1:23" x14ac:dyDescent="0.3">
      <c r="A254" t="s">
        <v>23</v>
      </c>
      <c r="B254" t="s">
        <v>1655</v>
      </c>
      <c r="C254" t="s">
        <v>1656</v>
      </c>
      <c r="D254" t="s">
        <v>872</v>
      </c>
      <c r="E254" t="s">
        <v>873</v>
      </c>
      <c r="F254" t="s">
        <v>890</v>
      </c>
      <c r="G254" t="s">
        <v>891</v>
      </c>
      <c r="H254" t="s">
        <v>1657</v>
      </c>
      <c r="I254" t="s">
        <v>1658</v>
      </c>
      <c r="J254" t="s">
        <v>32</v>
      </c>
      <c r="K254" t="s">
        <v>33</v>
      </c>
      <c r="L254" t="s">
        <v>1659</v>
      </c>
      <c r="M254" t="s">
        <v>816</v>
      </c>
      <c r="N254" t="s">
        <v>1660</v>
      </c>
      <c r="O254">
        <v>214.10596771759731</v>
      </c>
      <c r="P254">
        <v>162.82</v>
      </c>
      <c r="Q254">
        <v>182.4496</v>
      </c>
      <c r="R254" t="s">
        <v>67</v>
      </c>
      <c r="S254" t="s">
        <v>38</v>
      </c>
      <c r="T254" t="s">
        <v>38</v>
      </c>
      <c r="U254" t="s">
        <v>39</v>
      </c>
      <c r="W254" t="s">
        <v>40</v>
      </c>
    </row>
    <row r="255" spans="1:23" x14ac:dyDescent="0.3">
      <c r="A255" t="s">
        <v>23</v>
      </c>
      <c r="B255" t="s">
        <v>1661</v>
      </c>
      <c r="C255" t="s">
        <v>1662</v>
      </c>
      <c r="D255" t="s">
        <v>57</v>
      </c>
      <c r="E255" t="s">
        <v>58</v>
      </c>
      <c r="F255" t="s">
        <v>59</v>
      </c>
      <c r="G255" t="s">
        <v>60</v>
      </c>
      <c r="H255" t="s">
        <v>1663</v>
      </c>
      <c r="I255" t="s">
        <v>62</v>
      </c>
      <c r="J255" t="s">
        <v>63</v>
      </c>
      <c r="K255" t="s">
        <v>33</v>
      </c>
      <c r="L255" t="s">
        <v>1664</v>
      </c>
      <c r="M255" t="s">
        <v>1665</v>
      </c>
      <c r="N255" t="s">
        <v>1666</v>
      </c>
      <c r="O255">
        <v>1217.9523052625409</v>
      </c>
      <c r="P255">
        <v>1201.3699999999999</v>
      </c>
      <c r="Q255">
        <v>1198.2212</v>
      </c>
      <c r="R255" t="s">
        <v>37</v>
      </c>
      <c r="S255" t="s">
        <v>38</v>
      </c>
      <c r="T255" t="s">
        <v>38</v>
      </c>
      <c r="U255" t="s">
        <v>39</v>
      </c>
      <c r="W255" t="s">
        <v>40</v>
      </c>
    </row>
    <row r="256" spans="1:23" x14ac:dyDescent="0.3">
      <c r="A256" t="s">
        <v>23</v>
      </c>
      <c r="B256" t="s">
        <v>1667</v>
      </c>
      <c r="C256" t="s">
        <v>1668</v>
      </c>
      <c r="D256" t="s">
        <v>563</v>
      </c>
      <c r="E256" t="s">
        <v>44</v>
      </c>
      <c r="F256" t="s">
        <v>28</v>
      </c>
      <c r="G256" t="s">
        <v>137</v>
      </c>
      <c r="H256" t="s">
        <v>1669</v>
      </c>
      <c r="I256" t="s">
        <v>1033</v>
      </c>
      <c r="J256" t="s">
        <v>32</v>
      </c>
      <c r="K256" t="s">
        <v>33</v>
      </c>
      <c r="L256" t="s">
        <v>1670</v>
      </c>
      <c r="M256" t="s">
        <v>1671</v>
      </c>
      <c r="N256" t="s">
        <v>1672</v>
      </c>
      <c r="O256">
        <v>3363.533712266586</v>
      </c>
      <c r="P256">
        <v>3754.61</v>
      </c>
      <c r="Q256">
        <v>3235.8231999999998</v>
      </c>
      <c r="R256" t="s">
        <v>75</v>
      </c>
      <c r="S256" t="s">
        <v>38</v>
      </c>
      <c r="T256" t="s">
        <v>38</v>
      </c>
      <c r="U256" t="s">
        <v>39</v>
      </c>
      <c r="W256" t="s">
        <v>40</v>
      </c>
    </row>
    <row r="257" spans="1:23" x14ac:dyDescent="0.3">
      <c r="A257" t="s">
        <v>23</v>
      </c>
      <c r="B257" t="s">
        <v>1673</v>
      </c>
      <c r="C257" t="s">
        <v>1674</v>
      </c>
      <c r="D257" t="s">
        <v>80</v>
      </c>
      <c r="E257" t="s">
        <v>81</v>
      </c>
      <c r="F257" t="s">
        <v>28</v>
      </c>
      <c r="G257" t="s">
        <v>29</v>
      </c>
      <c r="H257" t="s">
        <v>1675</v>
      </c>
      <c r="I257" t="s">
        <v>62</v>
      </c>
      <c r="J257" t="s">
        <v>32</v>
      </c>
      <c r="K257" t="s">
        <v>33</v>
      </c>
      <c r="L257" t="s">
        <v>1676</v>
      </c>
      <c r="M257" t="s">
        <v>1677</v>
      </c>
      <c r="N257" t="s">
        <v>1678</v>
      </c>
      <c r="O257">
        <v>123.3038896456119</v>
      </c>
      <c r="P257">
        <v>123.07</v>
      </c>
      <c r="Q257">
        <v>122.7932</v>
      </c>
      <c r="R257" t="s">
        <v>75</v>
      </c>
      <c r="S257" t="s">
        <v>38</v>
      </c>
      <c r="T257" t="s">
        <v>38</v>
      </c>
      <c r="U257" t="s">
        <v>39</v>
      </c>
      <c r="W257" t="s">
        <v>40</v>
      </c>
    </row>
    <row r="258" spans="1:23" x14ac:dyDescent="0.3">
      <c r="A258" t="s">
        <v>23</v>
      </c>
      <c r="B258" t="s">
        <v>1679</v>
      </c>
      <c r="C258" t="s">
        <v>1680</v>
      </c>
      <c r="D258" t="s">
        <v>590</v>
      </c>
      <c r="E258" t="s">
        <v>44</v>
      </c>
      <c r="F258" t="s">
        <v>28</v>
      </c>
      <c r="G258" t="s">
        <v>137</v>
      </c>
      <c r="H258" t="s">
        <v>1681</v>
      </c>
      <c r="I258" t="s">
        <v>47</v>
      </c>
      <c r="J258" t="s">
        <v>250</v>
      </c>
      <c r="K258" t="s">
        <v>33</v>
      </c>
      <c r="L258" t="s">
        <v>130</v>
      </c>
      <c r="M258" t="s">
        <v>1682</v>
      </c>
      <c r="N258" t="s">
        <v>1683</v>
      </c>
      <c r="O258">
        <v>5315.7855057331462</v>
      </c>
      <c r="P258">
        <v>4729.43</v>
      </c>
      <c r="Q258">
        <v>4722.1211999999996</v>
      </c>
      <c r="R258" t="s">
        <v>67</v>
      </c>
      <c r="S258" t="s">
        <v>38</v>
      </c>
      <c r="T258" t="s">
        <v>38</v>
      </c>
      <c r="U258" t="s">
        <v>39</v>
      </c>
      <c r="W258" t="s">
        <v>40</v>
      </c>
    </row>
    <row r="259" spans="1:23" x14ac:dyDescent="0.3">
      <c r="A259" t="s">
        <v>23</v>
      </c>
      <c r="B259" t="s">
        <v>1684</v>
      </c>
      <c r="C259" t="s">
        <v>1685</v>
      </c>
      <c r="D259" t="s">
        <v>519</v>
      </c>
      <c r="E259" t="s">
        <v>81</v>
      </c>
      <c r="F259" t="s">
        <v>59</v>
      </c>
      <c r="G259" t="s">
        <v>82</v>
      </c>
      <c r="H259" t="s">
        <v>1686</v>
      </c>
      <c r="I259" t="s">
        <v>102</v>
      </c>
      <c r="J259" t="s">
        <v>32</v>
      </c>
      <c r="K259" t="s">
        <v>33</v>
      </c>
      <c r="L259" t="s">
        <v>1687</v>
      </c>
      <c r="M259" t="s">
        <v>1688</v>
      </c>
      <c r="N259" t="s">
        <v>1689</v>
      </c>
      <c r="O259">
        <v>129.88801951269241</v>
      </c>
      <c r="P259">
        <v>129.35</v>
      </c>
      <c r="Q259">
        <v>129.13919999999999</v>
      </c>
      <c r="R259" t="s">
        <v>67</v>
      </c>
      <c r="S259" t="s">
        <v>38</v>
      </c>
      <c r="T259" t="s">
        <v>38</v>
      </c>
      <c r="U259" t="s">
        <v>39</v>
      </c>
      <c r="W259" t="s">
        <v>40</v>
      </c>
    </row>
    <row r="260" spans="1:23" x14ac:dyDescent="0.3">
      <c r="A260" t="s">
        <v>23</v>
      </c>
      <c r="B260" t="s">
        <v>1690</v>
      </c>
      <c r="C260" t="s">
        <v>1691</v>
      </c>
      <c r="D260" t="s">
        <v>872</v>
      </c>
      <c r="E260" t="s">
        <v>873</v>
      </c>
      <c r="F260" t="s">
        <v>1379</v>
      </c>
      <c r="G260" t="s">
        <v>1380</v>
      </c>
      <c r="H260" t="s">
        <v>1692</v>
      </c>
      <c r="I260" t="s">
        <v>72</v>
      </c>
      <c r="J260" t="s">
        <v>250</v>
      </c>
      <c r="K260" t="s">
        <v>33</v>
      </c>
      <c r="M260" t="s">
        <v>816</v>
      </c>
      <c r="N260" t="s">
        <v>1693</v>
      </c>
      <c r="O260">
        <v>680.41177449807583</v>
      </c>
      <c r="P260">
        <v>516.38</v>
      </c>
      <c r="Q260">
        <v>515.33360000000005</v>
      </c>
      <c r="R260" t="s">
        <v>67</v>
      </c>
      <c r="S260" t="s">
        <v>38</v>
      </c>
      <c r="T260" t="s">
        <v>38</v>
      </c>
      <c r="U260" t="s">
        <v>39</v>
      </c>
      <c r="W260" t="s">
        <v>40</v>
      </c>
    </row>
    <row r="261" spans="1:23" x14ac:dyDescent="0.3">
      <c r="A261" t="s">
        <v>23</v>
      </c>
      <c r="B261" t="s">
        <v>1694</v>
      </c>
      <c r="C261" t="s">
        <v>1695</v>
      </c>
      <c r="D261" t="s">
        <v>89</v>
      </c>
      <c r="E261" t="s">
        <v>90</v>
      </c>
      <c r="F261" t="s">
        <v>91</v>
      </c>
      <c r="G261" t="s">
        <v>92</v>
      </c>
      <c r="H261" t="s">
        <v>1696</v>
      </c>
      <c r="I261" t="s">
        <v>139</v>
      </c>
      <c r="J261" t="s">
        <v>32</v>
      </c>
      <c r="K261" t="s">
        <v>33</v>
      </c>
      <c r="L261" t="s">
        <v>1697</v>
      </c>
      <c r="M261" t="s">
        <v>1698</v>
      </c>
      <c r="N261" t="s">
        <v>1699</v>
      </c>
      <c r="O261">
        <v>683.30722837553617</v>
      </c>
      <c r="P261">
        <v>670.25</v>
      </c>
      <c r="Q261">
        <v>668.60239999999999</v>
      </c>
      <c r="R261" t="s">
        <v>125</v>
      </c>
      <c r="S261" t="s">
        <v>38</v>
      </c>
      <c r="T261" t="s">
        <v>38</v>
      </c>
      <c r="U261" t="s">
        <v>39</v>
      </c>
      <c r="W261" t="s">
        <v>40</v>
      </c>
    </row>
    <row r="262" spans="1:23" x14ac:dyDescent="0.3">
      <c r="A262" t="s">
        <v>23</v>
      </c>
      <c r="B262" t="s">
        <v>1700</v>
      </c>
      <c r="C262" t="s">
        <v>1701</v>
      </c>
      <c r="D262" t="s">
        <v>959</v>
      </c>
      <c r="E262" t="s">
        <v>81</v>
      </c>
      <c r="F262" t="s">
        <v>59</v>
      </c>
      <c r="G262" t="s">
        <v>82</v>
      </c>
      <c r="H262" t="s">
        <v>1702</v>
      </c>
      <c r="I262" t="s">
        <v>62</v>
      </c>
      <c r="J262" t="s">
        <v>32</v>
      </c>
      <c r="K262" t="s">
        <v>33</v>
      </c>
      <c r="L262" t="s">
        <v>1703</v>
      </c>
      <c r="M262" t="s">
        <v>1704</v>
      </c>
      <c r="N262" t="s">
        <v>1705</v>
      </c>
      <c r="O262">
        <v>5040.5945681442736</v>
      </c>
      <c r="P262">
        <v>4594.46</v>
      </c>
      <c r="Q262">
        <v>4581.3527999999997</v>
      </c>
      <c r="R262" t="s">
        <v>37</v>
      </c>
      <c r="S262" t="s">
        <v>38</v>
      </c>
      <c r="T262" t="s">
        <v>38</v>
      </c>
      <c r="U262" t="s">
        <v>39</v>
      </c>
      <c r="W262" t="s">
        <v>40</v>
      </c>
    </row>
    <row r="263" spans="1:23" x14ac:dyDescent="0.3">
      <c r="A263" t="s">
        <v>23</v>
      </c>
      <c r="B263" t="s">
        <v>1706</v>
      </c>
      <c r="C263" t="s">
        <v>1707</v>
      </c>
      <c r="D263" t="s">
        <v>368</v>
      </c>
      <c r="E263" t="s">
        <v>81</v>
      </c>
      <c r="F263" t="s">
        <v>59</v>
      </c>
      <c r="G263" t="s">
        <v>82</v>
      </c>
      <c r="H263" t="s">
        <v>1708</v>
      </c>
      <c r="I263" t="s">
        <v>121</v>
      </c>
      <c r="J263" t="s">
        <v>32</v>
      </c>
      <c r="K263" t="s">
        <v>33</v>
      </c>
      <c r="M263" t="s">
        <v>1709</v>
      </c>
      <c r="N263" t="s">
        <v>1710</v>
      </c>
      <c r="O263">
        <v>7632.5474197390968</v>
      </c>
      <c r="P263">
        <v>7331.9</v>
      </c>
      <c r="Q263">
        <v>7313.1343999999999</v>
      </c>
      <c r="R263" t="s">
        <v>75</v>
      </c>
      <c r="S263" t="s">
        <v>38</v>
      </c>
      <c r="T263" t="s">
        <v>38</v>
      </c>
      <c r="U263" t="s">
        <v>39</v>
      </c>
      <c r="W263" t="s">
        <v>40</v>
      </c>
    </row>
    <row r="264" spans="1:23" x14ac:dyDescent="0.3">
      <c r="A264" t="s">
        <v>23</v>
      </c>
      <c r="B264" t="s">
        <v>1711</v>
      </c>
      <c r="C264" t="s">
        <v>1712</v>
      </c>
      <c r="D264" t="s">
        <v>279</v>
      </c>
      <c r="E264" t="s">
        <v>90</v>
      </c>
      <c r="F264" t="s">
        <v>91</v>
      </c>
      <c r="G264" t="s">
        <v>92</v>
      </c>
      <c r="H264" t="s">
        <v>1713</v>
      </c>
      <c r="I264" t="s">
        <v>102</v>
      </c>
      <c r="J264" t="s">
        <v>32</v>
      </c>
      <c r="K264" t="s">
        <v>33</v>
      </c>
      <c r="L264" t="s">
        <v>1714</v>
      </c>
      <c r="M264" t="s">
        <v>1715</v>
      </c>
      <c r="N264" t="s">
        <v>1716</v>
      </c>
      <c r="O264">
        <v>1135.9690175200151</v>
      </c>
      <c r="P264">
        <v>1052.74</v>
      </c>
      <c r="Q264">
        <v>1050.8676</v>
      </c>
      <c r="R264" t="s">
        <v>67</v>
      </c>
      <c r="S264" t="s">
        <v>38</v>
      </c>
      <c r="T264" t="s">
        <v>38</v>
      </c>
      <c r="U264" t="s">
        <v>39</v>
      </c>
      <c r="W264" t="s">
        <v>40</v>
      </c>
    </row>
    <row r="265" spans="1:23" x14ac:dyDescent="0.3">
      <c r="A265" t="s">
        <v>23</v>
      </c>
      <c r="B265" t="s">
        <v>1717</v>
      </c>
      <c r="C265" t="s">
        <v>1718</v>
      </c>
      <c r="D265" t="s">
        <v>239</v>
      </c>
      <c r="E265" t="s">
        <v>27</v>
      </c>
      <c r="F265" t="s">
        <v>28</v>
      </c>
      <c r="G265" t="s">
        <v>29</v>
      </c>
      <c r="H265" t="s">
        <v>1719</v>
      </c>
      <c r="I265" t="s">
        <v>1720</v>
      </c>
      <c r="J265" t="s">
        <v>32</v>
      </c>
      <c r="K265" t="s">
        <v>33</v>
      </c>
      <c r="L265" t="s">
        <v>1721</v>
      </c>
      <c r="M265" t="s">
        <v>1722</v>
      </c>
      <c r="N265" t="s">
        <v>1723</v>
      </c>
      <c r="O265">
        <v>1313.224061964798</v>
      </c>
      <c r="P265">
        <v>451.76</v>
      </c>
      <c r="Q265">
        <v>435.85840000000002</v>
      </c>
      <c r="R265" t="s">
        <v>37</v>
      </c>
      <c r="S265" t="s">
        <v>51</v>
      </c>
      <c r="T265" t="s">
        <v>51</v>
      </c>
      <c r="U265" t="s">
        <v>143</v>
      </c>
      <c r="V265" t="s">
        <v>53</v>
      </c>
      <c r="W265" t="s">
        <v>40</v>
      </c>
    </row>
    <row r="266" spans="1:23" x14ac:dyDescent="0.3">
      <c r="A266" t="s">
        <v>23</v>
      </c>
      <c r="B266" t="s">
        <v>1724</v>
      </c>
      <c r="C266" t="s">
        <v>1725</v>
      </c>
      <c r="D266" t="s">
        <v>247</v>
      </c>
      <c r="E266" t="s">
        <v>44</v>
      </c>
      <c r="F266" t="s">
        <v>28</v>
      </c>
      <c r="G266" t="s">
        <v>45</v>
      </c>
      <c r="H266" t="s">
        <v>1726</v>
      </c>
      <c r="I266" t="s">
        <v>986</v>
      </c>
      <c r="J266" t="s">
        <v>185</v>
      </c>
      <c r="K266" t="s">
        <v>33</v>
      </c>
      <c r="M266" t="s">
        <v>1727</v>
      </c>
      <c r="N266" t="s">
        <v>1728</v>
      </c>
      <c r="O266">
        <v>15822.69540554888</v>
      </c>
      <c r="P266">
        <v>15035.65</v>
      </c>
      <c r="Q266">
        <v>14882.379199999999</v>
      </c>
      <c r="R266" t="s">
        <v>67</v>
      </c>
      <c r="S266" t="s">
        <v>38</v>
      </c>
      <c r="T266" t="s">
        <v>38</v>
      </c>
      <c r="U266" t="s">
        <v>39</v>
      </c>
      <c r="W266" t="s">
        <v>40</v>
      </c>
    </row>
    <row r="267" spans="1:23" x14ac:dyDescent="0.3">
      <c r="A267" t="s">
        <v>23</v>
      </c>
      <c r="B267" t="s">
        <v>1729</v>
      </c>
      <c r="C267" t="s">
        <v>1730</v>
      </c>
      <c r="D267" t="s">
        <v>590</v>
      </c>
      <c r="E267" t="s">
        <v>44</v>
      </c>
      <c r="F267" t="s">
        <v>28</v>
      </c>
      <c r="G267" t="s">
        <v>137</v>
      </c>
      <c r="H267" t="s">
        <v>1731</v>
      </c>
      <c r="I267" t="s">
        <v>47</v>
      </c>
      <c r="J267" t="s">
        <v>250</v>
      </c>
      <c r="K267" t="s">
        <v>33</v>
      </c>
      <c r="L267" t="s">
        <v>1732</v>
      </c>
      <c r="M267" t="s">
        <v>1733</v>
      </c>
      <c r="N267" t="s">
        <v>1734</v>
      </c>
      <c r="O267">
        <v>277.06007011953449</v>
      </c>
      <c r="P267">
        <v>276.92</v>
      </c>
      <c r="Q267">
        <v>276.88799999999998</v>
      </c>
      <c r="R267" t="s">
        <v>67</v>
      </c>
      <c r="S267" t="s">
        <v>38</v>
      </c>
      <c r="T267" t="s">
        <v>38</v>
      </c>
      <c r="U267" t="s">
        <v>39</v>
      </c>
      <c r="W267" t="s">
        <v>40</v>
      </c>
    </row>
    <row r="268" spans="1:23" x14ac:dyDescent="0.3">
      <c r="A268" t="s">
        <v>23</v>
      </c>
      <c r="B268" t="s">
        <v>1735</v>
      </c>
      <c r="C268" t="s">
        <v>1736</v>
      </c>
      <c r="D268" t="s">
        <v>590</v>
      </c>
      <c r="E268" t="s">
        <v>44</v>
      </c>
      <c r="F268" t="s">
        <v>28</v>
      </c>
      <c r="G268" t="s">
        <v>137</v>
      </c>
      <c r="H268" t="s">
        <v>1737</v>
      </c>
      <c r="I268" t="s">
        <v>249</v>
      </c>
      <c r="J268" t="s">
        <v>1738</v>
      </c>
      <c r="K268" t="s">
        <v>33</v>
      </c>
      <c r="L268" t="s">
        <v>1739</v>
      </c>
      <c r="M268" t="s">
        <v>1740</v>
      </c>
      <c r="N268" t="s">
        <v>1741</v>
      </c>
      <c r="O268">
        <v>2804.7784707528021</v>
      </c>
      <c r="P268">
        <v>2800.11</v>
      </c>
      <c r="Q268">
        <v>2800.2656000000002</v>
      </c>
      <c r="R268" t="s">
        <v>67</v>
      </c>
      <c r="S268" t="s">
        <v>38</v>
      </c>
      <c r="T268" t="s">
        <v>38</v>
      </c>
      <c r="U268" t="s">
        <v>39</v>
      </c>
      <c r="W268" t="s">
        <v>40</v>
      </c>
    </row>
    <row r="269" spans="1:23" x14ac:dyDescent="0.3">
      <c r="A269" t="s">
        <v>23</v>
      </c>
      <c r="B269" t="s">
        <v>1742</v>
      </c>
      <c r="C269" t="s">
        <v>1743</v>
      </c>
      <c r="D269" t="s">
        <v>1274</v>
      </c>
      <c r="E269" t="s">
        <v>58</v>
      </c>
      <c r="F269" t="s">
        <v>921</v>
      </c>
      <c r="G269" t="s">
        <v>922</v>
      </c>
      <c r="H269" t="s">
        <v>1744</v>
      </c>
      <c r="I269" t="s">
        <v>62</v>
      </c>
      <c r="J269" t="s">
        <v>63</v>
      </c>
      <c r="K269" t="s">
        <v>33</v>
      </c>
      <c r="L269" t="s">
        <v>1745</v>
      </c>
      <c r="M269" t="s">
        <v>1746</v>
      </c>
      <c r="N269" t="s">
        <v>1747</v>
      </c>
      <c r="O269">
        <v>17.089796041418339</v>
      </c>
      <c r="P269">
        <v>1.4</v>
      </c>
      <c r="Q269">
        <v>1.3512</v>
      </c>
      <c r="R269" t="s">
        <v>75</v>
      </c>
      <c r="S269" t="s">
        <v>106</v>
      </c>
      <c r="T269" t="s">
        <v>106</v>
      </c>
      <c r="U269" t="s">
        <v>133</v>
      </c>
      <c r="V269" t="s">
        <v>1748</v>
      </c>
      <c r="W269" t="s">
        <v>40</v>
      </c>
    </row>
    <row r="270" spans="1:23" x14ac:dyDescent="0.3">
      <c r="A270" t="s">
        <v>23</v>
      </c>
      <c r="B270" t="s">
        <v>1749</v>
      </c>
      <c r="C270" t="s">
        <v>1750</v>
      </c>
      <c r="D270" t="s">
        <v>656</v>
      </c>
      <c r="E270" t="s">
        <v>90</v>
      </c>
      <c r="F270" t="s">
        <v>91</v>
      </c>
      <c r="G270" t="s">
        <v>92</v>
      </c>
      <c r="H270" t="s">
        <v>1751</v>
      </c>
      <c r="I270" t="s">
        <v>102</v>
      </c>
      <c r="J270" t="s">
        <v>32</v>
      </c>
      <c r="K270" t="s">
        <v>33</v>
      </c>
      <c r="L270" t="s">
        <v>1752</v>
      </c>
      <c r="M270" t="s">
        <v>1753</v>
      </c>
      <c r="N270" t="s">
        <v>179</v>
      </c>
      <c r="O270">
        <v>1215.288863395893</v>
      </c>
      <c r="P270">
        <v>1183.31</v>
      </c>
      <c r="Q270">
        <v>1173.2852</v>
      </c>
      <c r="R270" t="s">
        <v>67</v>
      </c>
      <c r="S270" t="s">
        <v>38</v>
      </c>
      <c r="T270" t="s">
        <v>38</v>
      </c>
      <c r="U270" t="s">
        <v>39</v>
      </c>
      <c r="W270" t="s">
        <v>40</v>
      </c>
    </row>
    <row r="271" spans="1:23" x14ac:dyDescent="0.3">
      <c r="A271" t="s">
        <v>23</v>
      </c>
      <c r="B271" t="s">
        <v>1754</v>
      </c>
      <c r="C271" t="s">
        <v>1755</v>
      </c>
      <c r="D271" t="s">
        <v>1163</v>
      </c>
      <c r="E271" t="s">
        <v>90</v>
      </c>
      <c r="F271" t="s">
        <v>91</v>
      </c>
      <c r="G271" t="s">
        <v>92</v>
      </c>
      <c r="H271" t="s">
        <v>1756</v>
      </c>
      <c r="I271" t="s">
        <v>102</v>
      </c>
      <c r="J271" t="s">
        <v>32</v>
      </c>
      <c r="K271" t="s">
        <v>33</v>
      </c>
      <c r="L271" t="s">
        <v>1757</v>
      </c>
      <c r="M271" t="s">
        <v>1758</v>
      </c>
      <c r="N271" t="s">
        <v>1759</v>
      </c>
      <c r="O271">
        <v>791.69490201604697</v>
      </c>
      <c r="P271">
        <v>613.95000000000005</v>
      </c>
      <c r="Q271">
        <v>622.39639999999997</v>
      </c>
      <c r="R271" t="s">
        <v>75</v>
      </c>
      <c r="S271" t="s">
        <v>38</v>
      </c>
      <c r="T271" t="s">
        <v>38</v>
      </c>
      <c r="U271" t="s">
        <v>39</v>
      </c>
      <c r="W271" t="s">
        <v>40</v>
      </c>
    </row>
    <row r="272" spans="1:23" x14ac:dyDescent="0.3">
      <c r="A272" t="s">
        <v>23</v>
      </c>
      <c r="B272" t="s">
        <v>1760</v>
      </c>
      <c r="C272" t="s">
        <v>1761</v>
      </c>
      <c r="D272" t="s">
        <v>89</v>
      </c>
      <c r="E272" t="s">
        <v>90</v>
      </c>
      <c r="F272" t="s">
        <v>91</v>
      </c>
      <c r="G272" t="s">
        <v>92</v>
      </c>
      <c r="H272" t="s">
        <v>1762</v>
      </c>
      <c r="I272" t="s">
        <v>139</v>
      </c>
      <c r="J272" t="s">
        <v>32</v>
      </c>
      <c r="K272" t="s">
        <v>33</v>
      </c>
      <c r="L272" t="s">
        <v>1763</v>
      </c>
      <c r="M272" t="s">
        <v>1764</v>
      </c>
      <c r="N272" t="s">
        <v>1765</v>
      </c>
      <c r="O272">
        <v>211.167989628523</v>
      </c>
      <c r="P272">
        <v>182.83</v>
      </c>
      <c r="Q272">
        <v>181.578</v>
      </c>
      <c r="R272" t="s">
        <v>37</v>
      </c>
      <c r="S272" t="s">
        <v>38</v>
      </c>
      <c r="T272" t="s">
        <v>38</v>
      </c>
      <c r="U272" t="s">
        <v>39</v>
      </c>
      <c r="W272" t="s">
        <v>40</v>
      </c>
    </row>
    <row r="273" spans="1:23" x14ac:dyDescent="0.3">
      <c r="A273" t="s">
        <v>23</v>
      </c>
      <c r="B273" t="s">
        <v>1766</v>
      </c>
      <c r="C273" t="s">
        <v>1767</v>
      </c>
      <c r="D273" t="s">
        <v>89</v>
      </c>
      <c r="E273" t="s">
        <v>90</v>
      </c>
      <c r="F273" t="s">
        <v>91</v>
      </c>
      <c r="G273" t="s">
        <v>92</v>
      </c>
      <c r="H273" t="s">
        <v>1768</v>
      </c>
      <c r="I273" t="s">
        <v>139</v>
      </c>
      <c r="J273" t="s">
        <v>32</v>
      </c>
      <c r="K273" t="s">
        <v>33</v>
      </c>
      <c r="L273" t="s">
        <v>1769</v>
      </c>
      <c r="M273" t="s">
        <v>1770</v>
      </c>
      <c r="N273" t="s">
        <v>1771</v>
      </c>
      <c r="O273">
        <v>283.21628355419199</v>
      </c>
      <c r="P273">
        <v>278.3</v>
      </c>
      <c r="Q273">
        <v>277.9692</v>
      </c>
      <c r="R273" t="s">
        <v>67</v>
      </c>
      <c r="S273" t="s">
        <v>38</v>
      </c>
      <c r="T273" t="s">
        <v>38</v>
      </c>
      <c r="U273" t="s">
        <v>39</v>
      </c>
      <c r="W273" t="s">
        <v>40</v>
      </c>
    </row>
    <row r="274" spans="1:23" x14ac:dyDescent="0.3">
      <c r="A274" t="s">
        <v>23</v>
      </c>
      <c r="B274" t="s">
        <v>1772</v>
      </c>
      <c r="C274" t="s">
        <v>1773</v>
      </c>
      <c r="D274" t="s">
        <v>1026</v>
      </c>
      <c r="E274" t="s">
        <v>112</v>
      </c>
      <c r="F274" t="s">
        <v>921</v>
      </c>
      <c r="G274" t="s">
        <v>922</v>
      </c>
      <c r="H274" t="s">
        <v>1774</v>
      </c>
      <c r="I274" t="s">
        <v>94</v>
      </c>
      <c r="J274" t="s">
        <v>32</v>
      </c>
      <c r="K274" t="s">
        <v>33</v>
      </c>
      <c r="L274" t="s">
        <v>1775</v>
      </c>
      <c r="M274" t="s">
        <v>1776</v>
      </c>
      <c r="N274" t="s">
        <v>1777</v>
      </c>
      <c r="O274">
        <v>220.24795841236499</v>
      </c>
      <c r="P274">
        <v>215.48</v>
      </c>
      <c r="Q274">
        <v>215.18639999999999</v>
      </c>
      <c r="R274" t="s">
        <v>67</v>
      </c>
      <c r="S274" t="s">
        <v>38</v>
      </c>
      <c r="T274" t="s">
        <v>38</v>
      </c>
      <c r="U274" t="s">
        <v>39</v>
      </c>
      <c r="W274" t="s">
        <v>40</v>
      </c>
    </row>
    <row r="275" spans="1:23" x14ac:dyDescent="0.3">
      <c r="A275" t="s">
        <v>23</v>
      </c>
      <c r="B275" t="s">
        <v>1778</v>
      </c>
      <c r="C275" t="s">
        <v>1779</v>
      </c>
      <c r="D275" t="s">
        <v>310</v>
      </c>
      <c r="E275" t="s">
        <v>154</v>
      </c>
      <c r="F275" t="s">
        <v>59</v>
      </c>
      <c r="G275" t="s">
        <v>113</v>
      </c>
      <c r="H275" t="s">
        <v>1780</v>
      </c>
      <c r="I275" t="s">
        <v>121</v>
      </c>
      <c r="J275" t="s">
        <v>32</v>
      </c>
      <c r="K275" t="s">
        <v>33</v>
      </c>
      <c r="L275" t="s">
        <v>1781</v>
      </c>
      <c r="M275" t="s">
        <v>1782</v>
      </c>
      <c r="N275" t="s">
        <v>1783</v>
      </c>
      <c r="O275">
        <v>17149.622531068679</v>
      </c>
      <c r="P275">
        <v>17006.87</v>
      </c>
      <c r="Q275">
        <v>16964.977599999998</v>
      </c>
      <c r="R275" t="s">
        <v>75</v>
      </c>
      <c r="S275" t="s">
        <v>38</v>
      </c>
      <c r="T275" t="s">
        <v>38</v>
      </c>
      <c r="U275" t="s">
        <v>39</v>
      </c>
      <c r="W275" t="s">
        <v>40</v>
      </c>
    </row>
    <row r="276" spans="1:23" x14ac:dyDescent="0.3">
      <c r="A276" t="s">
        <v>23</v>
      </c>
      <c r="B276" t="s">
        <v>1784</v>
      </c>
      <c r="C276" t="s">
        <v>1785</v>
      </c>
      <c r="D276" t="s">
        <v>265</v>
      </c>
      <c r="E276" t="s">
        <v>81</v>
      </c>
      <c r="F276" t="s">
        <v>59</v>
      </c>
      <c r="G276" t="s">
        <v>82</v>
      </c>
      <c r="H276" t="s">
        <v>1786</v>
      </c>
      <c r="I276" t="s">
        <v>62</v>
      </c>
      <c r="J276" t="s">
        <v>32</v>
      </c>
      <c r="K276" t="s">
        <v>33</v>
      </c>
      <c r="L276" t="s">
        <v>1787</v>
      </c>
      <c r="M276" t="s">
        <v>1788</v>
      </c>
      <c r="N276" t="s">
        <v>1789</v>
      </c>
      <c r="O276">
        <v>129.2750790796301</v>
      </c>
      <c r="P276">
        <v>128.81</v>
      </c>
      <c r="Q276">
        <v>128.13480000000001</v>
      </c>
      <c r="R276" t="s">
        <v>67</v>
      </c>
      <c r="S276" t="s">
        <v>38</v>
      </c>
      <c r="T276" t="s">
        <v>38</v>
      </c>
      <c r="U276" t="s">
        <v>39</v>
      </c>
      <c r="W276" t="s">
        <v>40</v>
      </c>
    </row>
    <row r="277" spans="1:23" x14ac:dyDescent="0.3">
      <c r="A277" t="s">
        <v>23</v>
      </c>
      <c r="B277" t="s">
        <v>1790</v>
      </c>
      <c r="C277" t="s">
        <v>1791</v>
      </c>
      <c r="D277" t="s">
        <v>239</v>
      </c>
      <c r="E277" t="s">
        <v>27</v>
      </c>
      <c r="F277" t="s">
        <v>28</v>
      </c>
      <c r="G277" t="s">
        <v>29</v>
      </c>
      <c r="H277" t="s">
        <v>1792</v>
      </c>
      <c r="I277" t="s">
        <v>584</v>
      </c>
      <c r="J277" t="s">
        <v>185</v>
      </c>
      <c r="K277" t="s">
        <v>33</v>
      </c>
      <c r="L277" t="s">
        <v>1793</v>
      </c>
      <c r="M277" t="s">
        <v>1794</v>
      </c>
      <c r="N277" t="s">
        <v>1795</v>
      </c>
      <c r="O277">
        <v>14029.071266372939</v>
      </c>
      <c r="P277">
        <v>6030.98</v>
      </c>
      <c r="Q277">
        <v>6008.3459999999995</v>
      </c>
      <c r="R277" t="s">
        <v>75</v>
      </c>
      <c r="S277" t="s">
        <v>76</v>
      </c>
      <c r="T277" t="s">
        <v>76</v>
      </c>
      <c r="U277" t="s">
        <v>261</v>
      </c>
      <c r="V277" t="s">
        <v>1796</v>
      </c>
      <c r="W277" t="s">
        <v>40</v>
      </c>
    </row>
    <row r="278" spans="1:23" x14ac:dyDescent="0.3">
      <c r="A278" t="s">
        <v>23</v>
      </c>
      <c r="B278" t="s">
        <v>1797</v>
      </c>
      <c r="C278" t="s">
        <v>1798</v>
      </c>
      <c r="D278" t="s">
        <v>70</v>
      </c>
      <c r="E278" t="s">
        <v>44</v>
      </c>
      <c r="F278" t="s">
        <v>28</v>
      </c>
      <c r="G278" t="s">
        <v>45</v>
      </c>
      <c r="H278" t="s">
        <v>1799</v>
      </c>
      <c r="I278" t="s">
        <v>147</v>
      </c>
      <c r="J278" t="s">
        <v>32</v>
      </c>
      <c r="K278" t="s">
        <v>33</v>
      </c>
      <c r="L278" t="s">
        <v>1800</v>
      </c>
      <c r="M278" t="s">
        <v>1801</v>
      </c>
      <c r="N278" t="s">
        <v>1802</v>
      </c>
      <c r="O278">
        <v>2215.6161631434011</v>
      </c>
      <c r="P278">
        <v>1614.1</v>
      </c>
      <c r="Q278">
        <v>1631.7711999999999</v>
      </c>
      <c r="R278" t="s">
        <v>37</v>
      </c>
      <c r="S278" t="s">
        <v>38</v>
      </c>
      <c r="T278" t="s">
        <v>38</v>
      </c>
      <c r="U278" t="s">
        <v>39</v>
      </c>
      <c r="W278" t="s">
        <v>40</v>
      </c>
    </row>
    <row r="279" spans="1:23" x14ac:dyDescent="0.3">
      <c r="A279" t="s">
        <v>23</v>
      </c>
      <c r="B279" t="s">
        <v>1803</v>
      </c>
      <c r="C279" t="s">
        <v>1804</v>
      </c>
      <c r="D279" t="s">
        <v>70</v>
      </c>
      <c r="E279" t="s">
        <v>44</v>
      </c>
      <c r="F279" t="s">
        <v>28</v>
      </c>
      <c r="G279" t="s">
        <v>45</v>
      </c>
      <c r="H279" t="s">
        <v>1805</v>
      </c>
      <c r="I279" t="s">
        <v>139</v>
      </c>
      <c r="J279" t="s">
        <v>32</v>
      </c>
      <c r="K279" t="s">
        <v>33</v>
      </c>
      <c r="L279" t="s">
        <v>1806</v>
      </c>
      <c r="M279" t="s">
        <v>1807</v>
      </c>
      <c r="N279" t="s">
        <v>1808</v>
      </c>
      <c r="O279">
        <v>7762.2415292348178</v>
      </c>
      <c r="P279">
        <v>4845.63</v>
      </c>
      <c r="Q279">
        <v>4782.6260000000002</v>
      </c>
      <c r="R279" t="s">
        <v>75</v>
      </c>
      <c r="S279" t="s">
        <v>38</v>
      </c>
      <c r="T279" t="s">
        <v>38</v>
      </c>
      <c r="U279" t="s">
        <v>39</v>
      </c>
      <c r="W279" t="s">
        <v>40</v>
      </c>
    </row>
    <row r="280" spans="1:23" x14ac:dyDescent="0.3">
      <c r="A280" t="s">
        <v>23</v>
      </c>
      <c r="B280" t="s">
        <v>1809</v>
      </c>
      <c r="C280" t="s">
        <v>1810</v>
      </c>
      <c r="D280" t="s">
        <v>136</v>
      </c>
      <c r="E280" t="s">
        <v>112</v>
      </c>
      <c r="F280" t="s">
        <v>91</v>
      </c>
      <c r="G280" t="s">
        <v>92</v>
      </c>
      <c r="H280" t="s">
        <v>1811</v>
      </c>
      <c r="I280" t="s">
        <v>94</v>
      </c>
      <c r="J280" t="s">
        <v>32</v>
      </c>
      <c r="K280" t="s">
        <v>33</v>
      </c>
      <c r="L280" t="s">
        <v>1812</v>
      </c>
      <c r="M280" t="s">
        <v>1813</v>
      </c>
      <c r="N280" t="s">
        <v>1814</v>
      </c>
      <c r="O280">
        <v>18.706823566147861</v>
      </c>
      <c r="P280">
        <v>18.21</v>
      </c>
      <c r="Q280">
        <v>18.187200000000001</v>
      </c>
      <c r="R280" t="s">
        <v>67</v>
      </c>
      <c r="S280" t="s">
        <v>38</v>
      </c>
      <c r="T280" t="s">
        <v>38</v>
      </c>
      <c r="U280" t="s">
        <v>39</v>
      </c>
      <c r="W280" t="s">
        <v>40</v>
      </c>
    </row>
    <row r="281" spans="1:23" x14ac:dyDescent="0.3">
      <c r="A281" t="s">
        <v>23</v>
      </c>
      <c r="B281" t="s">
        <v>1815</v>
      </c>
      <c r="C281" t="s">
        <v>1816</v>
      </c>
      <c r="D281" t="s">
        <v>111</v>
      </c>
      <c r="E281" t="s">
        <v>112</v>
      </c>
      <c r="F281" t="s">
        <v>59</v>
      </c>
      <c r="G281" t="s">
        <v>82</v>
      </c>
      <c r="H281" t="s">
        <v>1817</v>
      </c>
      <c r="I281" t="s">
        <v>94</v>
      </c>
      <c r="J281" t="s">
        <v>32</v>
      </c>
      <c r="K281" t="s">
        <v>33</v>
      </c>
      <c r="L281" t="s">
        <v>1818</v>
      </c>
      <c r="M281" t="s">
        <v>1819</v>
      </c>
      <c r="N281" t="s">
        <v>1820</v>
      </c>
      <c r="O281">
        <v>5302.948953341177</v>
      </c>
      <c r="P281">
        <v>4571.95</v>
      </c>
      <c r="Q281">
        <v>4535.0379999999996</v>
      </c>
      <c r="R281" t="s">
        <v>37</v>
      </c>
      <c r="S281" t="s">
        <v>38</v>
      </c>
      <c r="T281" t="s">
        <v>38</v>
      </c>
      <c r="U281" t="s">
        <v>39</v>
      </c>
      <c r="W281" t="s">
        <v>40</v>
      </c>
    </row>
    <row r="282" spans="1:23" x14ac:dyDescent="0.3">
      <c r="A282" t="s">
        <v>23</v>
      </c>
      <c r="B282" t="s">
        <v>1821</v>
      </c>
      <c r="C282" t="s">
        <v>1822</v>
      </c>
      <c r="D282" t="s">
        <v>219</v>
      </c>
      <c r="E282" t="s">
        <v>27</v>
      </c>
      <c r="F282" t="s">
        <v>28</v>
      </c>
      <c r="G282" t="s">
        <v>29</v>
      </c>
      <c r="H282" t="s">
        <v>1823</v>
      </c>
      <c r="I282" t="s">
        <v>72</v>
      </c>
      <c r="J282" t="s">
        <v>32</v>
      </c>
      <c r="K282" t="s">
        <v>33</v>
      </c>
      <c r="L282" t="s">
        <v>1824</v>
      </c>
      <c r="M282" t="s">
        <v>1825</v>
      </c>
      <c r="N282" t="s">
        <v>1826</v>
      </c>
      <c r="O282">
        <v>10944.688361241109</v>
      </c>
      <c r="P282">
        <v>7648.24</v>
      </c>
      <c r="Q282">
        <v>7575.7664000000004</v>
      </c>
      <c r="R282" t="s">
        <v>37</v>
      </c>
      <c r="S282" t="s">
        <v>38</v>
      </c>
      <c r="T282" t="s">
        <v>38</v>
      </c>
      <c r="U282" t="s">
        <v>39</v>
      </c>
      <c r="W282" t="s">
        <v>40</v>
      </c>
    </row>
    <row r="283" spans="1:23" x14ac:dyDescent="0.3">
      <c r="A283" t="s">
        <v>23</v>
      </c>
      <c r="B283" t="s">
        <v>1827</v>
      </c>
      <c r="C283" t="s">
        <v>1828</v>
      </c>
      <c r="D283" t="s">
        <v>219</v>
      </c>
      <c r="E283" t="s">
        <v>27</v>
      </c>
      <c r="F283" t="s">
        <v>28</v>
      </c>
      <c r="G283" t="s">
        <v>29</v>
      </c>
      <c r="H283" t="s">
        <v>1829</v>
      </c>
      <c r="I283" t="s">
        <v>139</v>
      </c>
      <c r="J283" t="s">
        <v>32</v>
      </c>
      <c r="K283" t="s">
        <v>33</v>
      </c>
      <c r="L283" t="s">
        <v>1830</v>
      </c>
      <c r="M283" t="s">
        <v>1831</v>
      </c>
      <c r="N283" t="s">
        <v>1832</v>
      </c>
      <c r="O283">
        <v>1433.9483401712159</v>
      </c>
      <c r="P283">
        <v>1409.65</v>
      </c>
      <c r="Q283">
        <v>1407.4036000000001</v>
      </c>
      <c r="R283" t="s">
        <v>75</v>
      </c>
      <c r="S283" t="s">
        <v>38</v>
      </c>
      <c r="T283" t="s">
        <v>38</v>
      </c>
      <c r="U283" t="s">
        <v>39</v>
      </c>
      <c r="W283" t="s">
        <v>40</v>
      </c>
    </row>
    <row r="284" spans="1:23" x14ac:dyDescent="0.3">
      <c r="A284" t="s">
        <v>23</v>
      </c>
      <c r="B284" t="s">
        <v>1833</v>
      </c>
      <c r="C284" t="s">
        <v>1834</v>
      </c>
      <c r="D284" t="s">
        <v>563</v>
      </c>
      <c r="E284" t="s">
        <v>44</v>
      </c>
      <c r="F284" t="s">
        <v>28</v>
      </c>
      <c r="G284" t="s">
        <v>137</v>
      </c>
      <c r="H284" t="s">
        <v>1835</v>
      </c>
      <c r="I284" t="s">
        <v>1033</v>
      </c>
      <c r="J284" t="s">
        <v>32</v>
      </c>
      <c r="K284" t="s">
        <v>33</v>
      </c>
      <c r="L284" t="s">
        <v>1836</v>
      </c>
      <c r="M284" t="s">
        <v>1837</v>
      </c>
      <c r="N284" t="s">
        <v>1838</v>
      </c>
      <c r="O284">
        <v>5779.5158736974208</v>
      </c>
      <c r="P284">
        <v>5562.65</v>
      </c>
      <c r="Q284">
        <v>5504.1827999999996</v>
      </c>
      <c r="R284" t="s">
        <v>75</v>
      </c>
      <c r="S284" t="s">
        <v>38</v>
      </c>
      <c r="T284" t="s">
        <v>38</v>
      </c>
      <c r="U284" t="s">
        <v>39</v>
      </c>
      <c r="W284" t="s">
        <v>40</v>
      </c>
    </row>
    <row r="285" spans="1:23" x14ac:dyDescent="0.3">
      <c r="A285" t="s">
        <v>23</v>
      </c>
      <c r="B285" t="s">
        <v>1839</v>
      </c>
      <c r="C285" t="s">
        <v>1840</v>
      </c>
      <c r="D285" t="s">
        <v>247</v>
      </c>
      <c r="E285" t="s">
        <v>44</v>
      </c>
      <c r="F285" t="s">
        <v>28</v>
      </c>
      <c r="G285" t="s">
        <v>137</v>
      </c>
      <c r="H285" t="s">
        <v>1841</v>
      </c>
      <c r="I285" t="s">
        <v>249</v>
      </c>
      <c r="J285" t="s">
        <v>250</v>
      </c>
      <c r="K285" t="s">
        <v>33</v>
      </c>
      <c r="L285" t="s">
        <v>1842</v>
      </c>
      <c r="M285" t="s">
        <v>1843</v>
      </c>
      <c r="N285" t="s">
        <v>1844</v>
      </c>
      <c r="O285">
        <v>2853.5882924815701</v>
      </c>
      <c r="P285">
        <v>2980.65</v>
      </c>
      <c r="Q285">
        <v>2975.5527999999999</v>
      </c>
      <c r="R285" t="s">
        <v>67</v>
      </c>
      <c r="S285" t="s">
        <v>38</v>
      </c>
      <c r="T285" t="s">
        <v>38</v>
      </c>
      <c r="U285" t="s">
        <v>39</v>
      </c>
      <c r="W285" t="s">
        <v>40</v>
      </c>
    </row>
    <row r="286" spans="1:23" x14ac:dyDescent="0.3">
      <c r="A286" t="s">
        <v>23</v>
      </c>
      <c r="B286" t="s">
        <v>1845</v>
      </c>
      <c r="C286" t="s">
        <v>1846</v>
      </c>
      <c r="D286" t="s">
        <v>872</v>
      </c>
      <c r="E286" t="s">
        <v>873</v>
      </c>
      <c r="F286" t="s">
        <v>28</v>
      </c>
      <c r="G286" t="s">
        <v>45</v>
      </c>
      <c r="H286" t="s">
        <v>1847</v>
      </c>
      <c r="I286" t="s">
        <v>47</v>
      </c>
      <c r="J286" t="s">
        <v>250</v>
      </c>
      <c r="K286" t="s">
        <v>33</v>
      </c>
      <c r="L286" t="s">
        <v>1848</v>
      </c>
      <c r="M286" t="s">
        <v>816</v>
      </c>
      <c r="N286" t="s">
        <v>1849</v>
      </c>
      <c r="O286">
        <v>68.799401597777262</v>
      </c>
      <c r="P286">
        <v>81.31</v>
      </c>
      <c r="Q286">
        <v>81.241200000000006</v>
      </c>
      <c r="R286" t="s">
        <v>67</v>
      </c>
      <c r="S286" t="s">
        <v>38</v>
      </c>
      <c r="T286" t="s">
        <v>38</v>
      </c>
      <c r="U286" t="s">
        <v>39</v>
      </c>
      <c r="W286" t="s">
        <v>40</v>
      </c>
    </row>
    <row r="287" spans="1:23" x14ac:dyDescent="0.3">
      <c r="A287" t="s">
        <v>23</v>
      </c>
      <c r="B287" t="s">
        <v>1850</v>
      </c>
      <c r="C287" t="s">
        <v>1851</v>
      </c>
      <c r="D287" t="s">
        <v>1274</v>
      </c>
      <c r="E287" t="s">
        <v>58</v>
      </c>
      <c r="F287" t="s">
        <v>59</v>
      </c>
      <c r="G287" t="s">
        <v>60</v>
      </c>
      <c r="H287" t="s">
        <v>1852</v>
      </c>
      <c r="I287" t="s">
        <v>62</v>
      </c>
      <c r="J287" t="s">
        <v>63</v>
      </c>
      <c r="K287" t="s">
        <v>33</v>
      </c>
      <c r="L287" t="s">
        <v>1853</v>
      </c>
      <c r="M287" t="s">
        <v>1854</v>
      </c>
      <c r="N287" t="s">
        <v>1855</v>
      </c>
      <c r="O287">
        <v>1.5399979628462599</v>
      </c>
      <c r="P287">
        <v>1.01</v>
      </c>
      <c r="Q287">
        <v>1.0136000000000001</v>
      </c>
      <c r="R287" t="s">
        <v>67</v>
      </c>
      <c r="S287" t="s">
        <v>106</v>
      </c>
      <c r="T287" t="s">
        <v>106</v>
      </c>
      <c r="U287" t="s">
        <v>133</v>
      </c>
      <c r="V287" t="s">
        <v>706</v>
      </c>
      <c r="W287" t="s">
        <v>40</v>
      </c>
    </row>
    <row r="288" spans="1:23" x14ac:dyDescent="0.3">
      <c r="A288" t="s">
        <v>23</v>
      </c>
      <c r="B288" t="s">
        <v>1856</v>
      </c>
      <c r="C288" t="s">
        <v>1857</v>
      </c>
      <c r="D288" t="s">
        <v>1163</v>
      </c>
      <c r="E288" t="s">
        <v>90</v>
      </c>
      <c r="F288" t="s">
        <v>91</v>
      </c>
      <c r="G288" t="s">
        <v>92</v>
      </c>
      <c r="H288" t="s">
        <v>1858</v>
      </c>
      <c r="I288" t="s">
        <v>102</v>
      </c>
      <c r="J288" t="s">
        <v>32</v>
      </c>
      <c r="K288" t="s">
        <v>33</v>
      </c>
      <c r="L288" t="s">
        <v>1859</v>
      </c>
      <c r="M288" t="s">
        <v>1860</v>
      </c>
      <c r="N288" t="s">
        <v>1861</v>
      </c>
      <c r="O288">
        <v>694.29965830773585</v>
      </c>
      <c r="P288">
        <v>660.99</v>
      </c>
      <c r="Q288">
        <v>661.67639999999994</v>
      </c>
      <c r="R288" t="s">
        <v>125</v>
      </c>
      <c r="S288" t="s">
        <v>38</v>
      </c>
      <c r="T288" t="s">
        <v>38</v>
      </c>
      <c r="U288" t="s">
        <v>39</v>
      </c>
      <c r="W288" t="s">
        <v>40</v>
      </c>
    </row>
    <row r="289" spans="1:23" x14ac:dyDescent="0.3">
      <c r="A289" t="s">
        <v>23</v>
      </c>
      <c r="B289" t="s">
        <v>1862</v>
      </c>
      <c r="C289" t="s">
        <v>1863</v>
      </c>
      <c r="D289" t="s">
        <v>247</v>
      </c>
      <c r="E289" t="s">
        <v>44</v>
      </c>
      <c r="F289" t="s">
        <v>28</v>
      </c>
      <c r="G289" t="s">
        <v>45</v>
      </c>
      <c r="H289" t="s">
        <v>1864</v>
      </c>
      <c r="I289" t="s">
        <v>395</v>
      </c>
      <c r="J289" t="s">
        <v>250</v>
      </c>
      <c r="K289" t="s">
        <v>33</v>
      </c>
      <c r="L289" t="s">
        <v>1865</v>
      </c>
      <c r="M289" t="s">
        <v>1866</v>
      </c>
      <c r="N289" t="s">
        <v>1867</v>
      </c>
      <c r="O289">
        <v>127.3884210588935</v>
      </c>
      <c r="P289">
        <v>43.23</v>
      </c>
      <c r="Q289">
        <v>42.513199999999998</v>
      </c>
      <c r="R289" t="s">
        <v>75</v>
      </c>
      <c r="S289" t="s">
        <v>51</v>
      </c>
      <c r="T289" t="s">
        <v>51</v>
      </c>
      <c r="U289" t="s">
        <v>143</v>
      </c>
      <c r="V289" t="s">
        <v>706</v>
      </c>
      <c r="W289" t="s">
        <v>40</v>
      </c>
    </row>
    <row r="290" spans="1:23" x14ac:dyDescent="0.3">
      <c r="A290" t="s">
        <v>23</v>
      </c>
      <c r="B290" t="s">
        <v>1868</v>
      </c>
      <c r="C290" t="s">
        <v>1869</v>
      </c>
      <c r="D290" t="s">
        <v>43</v>
      </c>
      <c r="E290" t="s">
        <v>44</v>
      </c>
      <c r="F290" t="s">
        <v>28</v>
      </c>
      <c r="G290" t="s">
        <v>45</v>
      </c>
      <c r="H290" t="s">
        <v>1870</v>
      </c>
      <c r="I290" t="s">
        <v>451</v>
      </c>
      <c r="J290" t="s">
        <v>213</v>
      </c>
      <c r="K290" t="s">
        <v>33</v>
      </c>
      <c r="L290" t="s">
        <v>1871</v>
      </c>
      <c r="M290" t="s">
        <v>1872</v>
      </c>
      <c r="N290" t="s">
        <v>1873</v>
      </c>
      <c r="O290">
        <v>6645.2917142938159</v>
      </c>
      <c r="P290">
        <v>7662.32</v>
      </c>
      <c r="Q290">
        <v>5108.9763999999996</v>
      </c>
      <c r="R290" t="s">
        <v>125</v>
      </c>
      <c r="S290" t="s">
        <v>38</v>
      </c>
      <c r="T290" t="s">
        <v>38</v>
      </c>
      <c r="U290" t="s">
        <v>39</v>
      </c>
      <c r="W290" t="s">
        <v>40</v>
      </c>
    </row>
    <row r="291" spans="1:23" x14ac:dyDescent="0.3">
      <c r="A291" t="s">
        <v>23</v>
      </c>
      <c r="B291" t="s">
        <v>1874</v>
      </c>
      <c r="C291" t="s">
        <v>1875</v>
      </c>
      <c r="D291" t="s">
        <v>191</v>
      </c>
      <c r="E291" t="s">
        <v>90</v>
      </c>
      <c r="F291" t="s">
        <v>91</v>
      </c>
      <c r="G291" t="s">
        <v>92</v>
      </c>
      <c r="H291" t="s">
        <v>1876</v>
      </c>
      <c r="I291" t="s">
        <v>62</v>
      </c>
      <c r="J291" t="s">
        <v>32</v>
      </c>
      <c r="K291" t="s">
        <v>33</v>
      </c>
      <c r="L291" t="s">
        <v>1877</v>
      </c>
      <c r="M291" t="s">
        <v>1878</v>
      </c>
      <c r="N291" t="s">
        <v>1879</v>
      </c>
      <c r="O291">
        <v>219.5127430559015</v>
      </c>
      <c r="P291">
        <v>197.97</v>
      </c>
      <c r="Q291">
        <v>197.24520000000001</v>
      </c>
      <c r="R291" t="s">
        <v>37</v>
      </c>
      <c r="S291" t="s">
        <v>38</v>
      </c>
      <c r="T291" t="s">
        <v>38</v>
      </c>
      <c r="U291" t="s">
        <v>39</v>
      </c>
      <c r="W291" t="s">
        <v>40</v>
      </c>
    </row>
    <row r="292" spans="1:23" x14ac:dyDescent="0.3">
      <c r="A292" t="s">
        <v>23</v>
      </c>
      <c r="B292" t="s">
        <v>1880</v>
      </c>
      <c r="C292" t="s">
        <v>1881</v>
      </c>
      <c r="D292" t="s">
        <v>265</v>
      </c>
      <c r="E292" t="s">
        <v>81</v>
      </c>
      <c r="F292" t="s">
        <v>59</v>
      </c>
      <c r="G292" t="s">
        <v>82</v>
      </c>
      <c r="H292" t="s">
        <v>1882</v>
      </c>
      <c r="I292" t="s">
        <v>62</v>
      </c>
      <c r="J292" t="s">
        <v>32</v>
      </c>
      <c r="K292" t="s">
        <v>33</v>
      </c>
      <c r="L292" t="s">
        <v>1883</v>
      </c>
      <c r="M292" t="s">
        <v>1884</v>
      </c>
      <c r="N292" t="s">
        <v>1885</v>
      </c>
      <c r="O292">
        <v>365.5765515253438</v>
      </c>
      <c r="P292">
        <v>365.36</v>
      </c>
      <c r="Q292">
        <v>365.21600000000001</v>
      </c>
      <c r="R292" t="s">
        <v>75</v>
      </c>
      <c r="S292" t="s">
        <v>38</v>
      </c>
      <c r="T292" t="s">
        <v>38</v>
      </c>
      <c r="U292" t="s">
        <v>39</v>
      </c>
      <c r="W292" t="s">
        <v>40</v>
      </c>
    </row>
    <row r="293" spans="1:23" x14ac:dyDescent="0.3">
      <c r="A293" t="s">
        <v>23</v>
      </c>
      <c r="B293" t="s">
        <v>1886</v>
      </c>
      <c r="C293" t="s">
        <v>1887</v>
      </c>
      <c r="D293" t="s">
        <v>1163</v>
      </c>
      <c r="E293" t="s">
        <v>90</v>
      </c>
      <c r="F293" t="s">
        <v>91</v>
      </c>
      <c r="G293" t="s">
        <v>92</v>
      </c>
      <c r="H293" t="s">
        <v>1888</v>
      </c>
      <c r="I293" t="s">
        <v>102</v>
      </c>
      <c r="J293" t="s">
        <v>32</v>
      </c>
      <c r="K293" t="s">
        <v>33</v>
      </c>
      <c r="L293" t="s">
        <v>1889</v>
      </c>
      <c r="M293" t="s">
        <v>1890</v>
      </c>
      <c r="N293" t="s">
        <v>1891</v>
      </c>
      <c r="O293">
        <v>286.96792173766551</v>
      </c>
      <c r="P293">
        <v>265.51</v>
      </c>
      <c r="Q293">
        <v>257.42360000000002</v>
      </c>
      <c r="R293" t="s">
        <v>37</v>
      </c>
      <c r="S293" t="s">
        <v>106</v>
      </c>
      <c r="T293" t="s">
        <v>106</v>
      </c>
      <c r="U293" t="s">
        <v>133</v>
      </c>
      <c r="V293" t="s">
        <v>1892</v>
      </c>
      <c r="W293" t="s">
        <v>40</v>
      </c>
    </row>
    <row r="294" spans="1:23" x14ac:dyDescent="0.3">
      <c r="A294" t="s">
        <v>23</v>
      </c>
      <c r="B294" t="s">
        <v>1893</v>
      </c>
      <c r="C294" t="s">
        <v>1894</v>
      </c>
      <c r="D294" t="s">
        <v>519</v>
      </c>
      <c r="E294" t="s">
        <v>81</v>
      </c>
      <c r="F294" t="s">
        <v>59</v>
      </c>
      <c r="G294" t="s">
        <v>82</v>
      </c>
      <c r="H294" t="s">
        <v>1895</v>
      </c>
      <c r="I294" t="s">
        <v>102</v>
      </c>
      <c r="J294" t="s">
        <v>32</v>
      </c>
      <c r="K294" t="s">
        <v>33</v>
      </c>
      <c r="L294" t="s">
        <v>1896</v>
      </c>
      <c r="M294" t="s">
        <v>1897</v>
      </c>
      <c r="N294" t="s">
        <v>1898</v>
      </c>
      <c r="O294">
        <v>185.20013811201551</v>
      </c>
      <c r="P294">
        <v>133.1</v>
      </c>
      <c r="Q294">
        <v>130.8784</v>
      </c>
      <c r="R294" t="s">
        <v>37</v>
      </c>
      <c r="S294" t="s">
        <v>38</v>
      </c>
      <c r="T294" t="s">
        <v>38</v>
      </c>
      <c r="U294" t="s">
        <v>39</v>
      </c>
      <c r="W294" t="s">
        <v>40</v>
      </c>
    </row>
    <row r="295" spans="1:23" x14ac:dyDescent="0.3">
      <c r="A295" t="s">
        <v>23</v>
      </c>
      <c r="B295" t="s">
        <v>1899</v>
      </c>
      <c r="C295" t="s">
        <v>1900</v>
      </c>
      <c r="D295" t="s">
        <v>279</v>
      </c>
      <c r="E295" t="s">
        <v>90</v>
      </c>
      <c r="F295" t="s">
        <v>91</v>
      </c>
      <c r="G295" t="s">
        <v>92</v>
      </c>
      <c r="H295" t="s">
        <v>1901</v>
      </c>
      <c r="I295" t="s">
        <v>102</v>
      </c>
      <c r="J295" t="s">
        <v>32</v>
      </c>
      <c r="K295" t="s">
        <v>33</v>
      </c>
      <c r="L295" t="s">
        <v>1902</v>
      </c>
      <c r="M295" t="s">
        <v>1903</v>
      </c>
      <c r="N295" t="s">
        <v>1904</v>
      </c>
      <c r="O295">
        <v>2523.6303641290829</v>
      </c>
      <c r="P295">
        <v>2241.9699999999998</v>
      </c>
      <c r="Q295">
        <v>2232.6588000000002</v>
      </c>
      <c r="R295" t="s">
        <v>67</v>
      </c>
      <c r="S295" t="s">
        <v>38</v>
      </c>
      <c r="T295" t="s">
        <v>38</v>
      </c>
      <c r="U295" t="s">
        <v>39</v>
      </c>
      <c r="W295" t="s">
        <v>40</v>
      </c>
    </row>
    <row r="296" spans="1:23" x14ac:dyDescent="0.3">
      <c r="A296" t="s">
        <v>23</v>
      </c>
      <c r="B296" t="s">
        <v>1905</v>
      </c>
      <c r="C296" t="s">
        <v>1906</v>
      </c>
      <c r="D296" t="s">
        <v>43</v>
      </c>
      <c r="E296" t="s">
        <v>44</v>
      </c>
      <c r="F296" t="s">
        <v>28</v>
      </c>
      <c r="G296" t="s">
        <v>45</v>
      </c>
      <c r="H296" t="s">
        <v>1907</v>
      </c>
      <c r="I296" t="s">
        <v>47</v>
      </c>
      <c r="J296" t="s">
        <v>32</v>
      </c>
      <c r="K296" t="s">
        <v>33</v>
      </c>
      <c r="L296" t="s">
        <v>1908</v>
      </c>
      <c r="M296" t="s">
        <v>1909</v>
      </c>
      <c r="N296" t="s">
        <v>1910</v>
      </c>
      <c r="O296">
        <v>8901.1690222414691</v>
      </c>
      <c r="P296">
        <v>8187.27</v>
      </c>
      <c r="Q296">
        <v>8214.6759999999995</v>
      </c>
      <c r="R296" t="s">
        <v>125</v>
      </c>
      <c r="S296" t="s">
        <v>38</v>
      </c>
      <c r="T296" t="s">
        <v>38</v>
      </c>
      <c r="U296" t="s">
        <v>39</v>
      </c>
      <c r="W296" t="s">
        <v>40</v>
      </c>
    </row>
    <row r="297" spans="1:23" x14ac:dyDescent="0.3">
      <c r="A297" t="s">
        <v>23</v>
      </c>
      <c r="B297" t="s">
        <v>1911</v>
      </c>
      <c r="C297" t="s">
        <v>1912</v>
      </c>
      <c r="D297" t="s">
        <v>80</v>
      </c>
      <c r="E297" t="s">
        <v>81</v>
      </c>
      <c r="F297" t="s">
        <v>59</v>
      </c>
      <c r="G297" t="s">
        <v>82</v>
      </c>
      <c r="H297" t="s">
        <v>1913</v>
      </c>
      <c r="I297" t="s">
        <v>121</v>
      </c>
      <c r="J297" t="s">
        <v>32</v>
      </c>
      <c r="K297" t="s">
        <v>33</v>
      </c>
      <c r="L297" t="s">
        <v>1914</v>
      </c>
      <c r="M297" t="s">
        <v>1915</v>
      </c>
      <c r="N297" t="s">
        <v>1916</v>
      </c>
      <c r="O297">
        <v>868.07980580678884</v>
      </c>
      <c r="P297">
        <v>735.23</v>
      </c>
      <c r="Q297">
        <v>727.27160000000003</v>
      </c>
      <c r="R297" t="s">
        <v>125</v>
      </c>
      <c r="S297" t="s">
        <v>38</v>
      </c>
      <c r="T297" t="s">
        <v>38</v>
      </c>
      <c r="U297" t="s">
        <v>39</v>
      </c>
      <c r="W297" t="s">
        <v>40</v>
      </c>
    </row>
    <row r="298" spans="1:23" x14ac:dyDescent="0.3">
      <c r="A298" t="s">
        <v>23</v>
      </c>
      <c r="B298" t="s">
        <v>1917</v>
      </c>
      <c r="C298" t="s">
        <v>1918</v>
      </c>
      <c r="D298" t="s">
        <v>198</v>
      </c>
      <c r="E298" t="s">
        <v>90</v>
      </c>
      <c r="F298" t="s">
        <v>91</v>
      </c>
      <c r="G298" t="s">
        <v>92</v>
      </c>
      <c r="H298" t="s">
        <v>1919</v>
      </c>
      <c r="I298" t="s">
        <v>102</v>
      </c>
      <c r="J298" t="s">
        <v>32</v>
      </c>
      <c r="K298" t="s">
        <v>33</v>
      </c>
      <c r="L298" t="s">
        <v>1920</v>
      </c>
      <c r="M298" t="s">
        <v>1921</v>
      </c>
      <c r="N298" t="s">
        <v>1922</v>
      </c>
      <c r="O298">
        <v>556.95675730031689</v>
      </c>
      <c r="P298">
        <v>102.25</v>
      </c>
      <c r="Q298">
        <v>88.8232</v>
      </c>
      <c r="R298" t="s">
        <v>75</v>
      </c>
      <c r="S298" t="s">
        <v>106</v>
      </c>
      <c r="T298" t="s">
        <v>106</v>
      </c>
      <c r="U298" t="s">
        <v>133</v>
      </c>
      <c r="V298" t="s">
        <v>1923</v>
      </c>
      <c r="W298" t="s">
        <v>40</v>
      </c>
    </row>
    <row r="299" spans="1:23" x14ac:dyDescent="0.3">
      <c r="A299" t="s">
        <v>23</v>
      </c>
      <c r="B299" t="s">
        <v>1924</v>
      </c>
      <c r="C299" t="s">
        <v>1925</v>
      </c>
      <c r="D299" t="s">
        <v>70</v>
      </c>
      <c r="E299" t="s">
        <v>44</v>
      </c>
      <c r="F299" t="s">
        <v>28</v>
      </c>
      <c r="G299" t="s">
        <v>45</v>
      </c>
      <c r="H299" t="s">
        <v>1926</v>
      </c>
      <c r="I299" t="s">
        <v>147</v>
      </c>
      <c r="J299" t="s">
        <v>32</v>
      </c>
      <c r="K299" t="s">
        <v>33</v>
      </c>
      <c r="L299" t="s">
        <v>1927</v>
      </c>
      <c r="M299" t="s">
        <v>1928</v>
      </c>
      <c r="N299" t="s">
        <v>1929</v>
      </c>
      <c r="O299">
        <v>1533.469159608301</v>
      </c>
      <c r="P299">
        <v>1023.23</v>
      </c>
      <c r="Q299">
        <v>1014.4528</v>
      </c>
      <c r="R299" t="s">
        <v>37</v>
      </c>
      <c r="S299" t="s">
        <v>38</v>
      </c>
      <c r="T299" t="s">
        <v>38</v>
      </c>
      <c r="U299" t="s">
        <v>39</v>
      </c>
      <c r="W299" t="s">
        <v>40</v>
      </c>
    </row>
    <row r="300" spans="1:23" x14ac:dyDescent="0.3">
      <c r="A300" t="s">
        <v>23</v>
      </c>
      <c r="B300" t="s">
        <v>1930</v>
      </c>
      <c r="C300" t="s">
        <v>1931</v>
      </c>
      <c r="D300" t="s">
        <v>481</v>
      </c>
      <c r="E300" t="s">
        <v>90</v>
      </c>
      <c r="F300" t="s">
        <v>91</v>
      </c>
      <c r="G300" t="s">
        <v>92</v>
      </c>
      <c r="H300" t="s">
        <v>1932</v>
      </c>
      <c r="I300" t="s">
        <v>102</v>
      </c>
      <c r="J300" t="s">
        <v>32</v>
      </c>
      <c r="K300" t="s">
        <v>33</v>
      </c>
      <c r="L300" t="s">
        <v>1933</v>
      </c>
      <c r="M300" t="s">
        <v>1934</v>
      </c>
      <c r="N300" t="s">
        <v>1935</v>
      </c>
      <c r="O300">
        <v>497.67377942469062</v>
      </c>
      <c r="P300">
        <v>180.83</v>
      </c>
      <c r="Q300">
        <v>174.52520000000001</v>
      </c>
      <c r="R300" t="s">
        <v>75</v>
      </c>
      <c r="S300" t="s">
        <v>51</v>
      </c>
      <c r="T300" t="s">
        <v>51</v>
      </c>
      <c r="U300" t="s">
        <v>143</v>
      </c>
      <c r="V300" t="s">
        <v>53</v>
      </c>
      <c r="W300" t="s">
        <v>40</v>
      </c>
    </row>
    <row r="301" spans="1:23" x14ac:dyDescent="0.3">
      <c r="A301" t="s">
        <v>23</v>
      </c>
      <c r="B301" t="s">
        <v>1936</v>
      </c>
      <c r="C301" t="s">
        <v>1937</v>
      </c>
      <c r="D301" t="s">
        <v>43</v>
      </c>
      <c r="E301" t="s">
        <v>44</v>
      </c>
      <c r="F301" t="s">
        <v>28</v>
      </c>
      <c r="G301" t="s">
        <v>45</v>
      </c>
      <c r="H301" t="s">
        <v>1938</v>
      </c>
      <c r="I301" t="s">
        <v>47</v>
      </c>
      <c r="J301" t="s">
        <v>32</v>
      </c>
      <c r="K301" t="s">
        <v>33</v>
      </c>
      <c r="L301" t="s">
        <v>1939</v>
      </c>
      <c r="M301" t="s">
        <v>1940</v>
      </c>
      <c r="N301" t="s">
        <v>1941</v>
      </c>
      <c r="O301">
        <v>0.60199005032967956</v>
      </c>
      <c r="P301">
        <v>0.32</v>
      </c>
      <c r="Q301">
        <v>0.5272</v>
      </c>
      <c r="R301" t="s">
        <v>67</v>
      </c>
      <c r="S301" t="s">
        <v>38</v>
      </c>
      <c r="T301" t="s">
        <v>38</v>
      </c>
      <c r="U301" t="s">
        <v>39</v>
      </c>
      <c r="W301" t="s">
        <v>40</v>
      </c>
    </row>
    <row r="302" spans="1:23" x14ac:dyDescent="0.3">
      <c r="A302" t="s">
        <v>23</v>
      </c>
      <c r="B302" t="s">
        <v>1942</v>
      </c>
      <c r="C302" t="s">
        <v>1943</v>
      </c>
      <c r="D302" t="s">
        <v>872</v>
      </c>
      <c r="E302" t="s">
        <v>873</v>
      </c>
      <c r="F302" t="s">
        <v>1379</v>
      </c>
      <c r="G302" t="s">
        <v>1380</v>
      </c>
      <c r="H302" t="s">
        <v>1944</v>
      </c>
      <c r="I302" t="s">
        <v>1945</v>
      </c>
      <c r="J302" t="s">
        <v>250</v>
      </c>
      <c r="K302" t="s">
        <v>33</v>
      </c>
      <c r="M302" t="s">
        <v>816</v>
      </c>
      <c r="N302" t="s">
        <v>1946</v>
      </c>
      <c r="O302">
        <v>825.65101365386954</v>
      </c>
      <c r="P302">
        <v>946.94</v>
      </c>
      <c r="Q302">
        <v>946.3</v>
      </c>
      <c r="R302" t="s">
        <v>67</v>
      </c>
      <c r="S302" t="s">
        <v>38</v>
      </c>
      <c r="T302" t="s">
        <v>38</v>
      </c>
      <c r="U302" t="s">
        <v>39</v>
      </c>
      <c r="W302" t="s">
        <v>40</v>
      </c>
    </row>
    <row r="303" spans="1:23" x14ac:dyDescent="0.3">
      <c r="A303" t="s">
        <v>23</v>
      </c>
      <c r="B303" t="s">
        <v>1947</v>
      </c>
      <c r="C303" t="s">
        <v>1948</v>
      </c>
      <c r="D303" t="s">
        <v>597</v>
      </c>
      <c r="E303" t="s">
        <v>90</v>
      </c>
      <c r="F303" t="s">
        <v>91</v>
      </c>
      <c r="G303" t="s">
        <v>92</v>
      </c>
      <c r="H303" t="s">
        <v>1949</v>
      </c>
      <c r="I303" t="s">
        <v>62</v>
      </c>
      <c r="J303" t="s">
        <v>32</v>
      </c>
      <c r="K303" t="s">
        <v>33</v>
      </c>
      <c r="L303" t="s">
        <v>1950</v>
      </c>
      <c r="M303" t="s">
        <v>1951</v>
      </c>
      <c r="N303" t="s">
        <v>1952</v>
      </c>
      <c r="O303">
        <v>49.027806643642528</v>
      </c>
      <c r="P303">
        <v>49.01</v>
      </c>
      <c r="Q303">
        <v>49.028799999999997</v>
      </c>
      <c r="R303" t="s">
        <v>67</v>
      </c>
      <c r="S303" t="s">
        <v>38</v>
      </c>
      <c r="T303" t="s">
        <v>38</v>
      </c>
      <c r="U303" t="s">
        <v>39</v>
      </c>
      <c r="W303" t="s">
        <v>40</v>
      </c>
    </row>
    <row r="304" spans="1:23" x14ac:dyDescent="0.3">
      <c r="A304" t="s">
        <v>23</v>
      </c>
      <c r="B304" t="s">
        <v>1953</v>
      </c>
      <c r="C304" t="s">
        <v>1954</v>
      </c>
      <c r="D304" t="s">
        <v>175</v>
      </c>
      <c r="E304" t="s">
        <v>90</v>
      </c>
      <c r="F304" t="s">
        <v>91</v>
      </c>
      <c r="G304" t="s">
        <v>92</v>
      </c>
      <c r="H304" t="s">
        <v>1955</v>
      </c>
      <c r="I304" t="s">
        <v>94</v>
      </c>
      <c r="J304" t="s">
        <v>32</v>
      </c>
      <c r="K304" t="s">
        <v>33</v>
      </c>
      <c r="L304" t="s">
        <v>1956</v>
      </c>
      <c r="M304" t="s">
        <v>1957</v>
      </c>
      <c r="N304" t="s">
        <v>1606</v>
      </c>
      <c r="O304">
        <v>852.19653574120468</v>
      </c>
      <c r="P304">
        <v>846.59</v>
      </c>
      <c r="Q304">
        <v>846.11760000000004</v>
      </c>
      <c r="R304" t="s">
        <v>67</v>
      </c>
      <c r="S304" t="s">
        <v>38</v>
      </c>
      <c r="T304" t="s">
        <v>38</v>
      </c>
      <c r="U304" t="s">
        <v>39</v>
      </c>
      <c r="W304" t="s">
        <v>40</v>
      </c>
    </row>
    <row r="305" spans="1:23" x14ac:dyDescent="0.3">
      <c r="A305" t="s">
        <v>23</v>
      </c>
      <c r="B305" t="s">
        <v>1958</v>
      </c>
      <c r="C305" t="s">
        <v>1959</v>
      </c>
      <c r="D305" t="s">
        <v>247</v>
      </c>
      <c r="E305" t="s">
        <v>44</v>
      </c>
      <c r="F305" t="s">
        <v>28</v>
      </c>
      <c r="G305" t="s">
        <v>45</v>
      </c>
      <c r="H305" t="s">
        <v>1960</v>
      </c>
      <c r="I305" t="s">
        <v>249</v>
      </c>
      <c r="J305" t="s">
        <v>32</v>
      </c>
      <c r="K305" t="s">
        <v>33</v>
      </c>
      <c r="L305" t="s">
        <v>1961</v>
      </c>
      <c r="M305" t="s">
        <v>1962</v>
      </c>
      <c r="N305" t="s">
        <v>1963</v>
      </c>
      <c r="O305">
        <v>3562.5364503878341</v>
      </c>
      <c r="P305">
        <v>1137.4000000000001</v>
      </c>
      <c r="Q305">
        <v>1115.8616</v>
      </c>
      <c r="R305" t="s">
        <v>37</v>
      </c>
      <c r="S305" t="s">
        <v>51</v>
      </c>
      <c r="T305" t="s">
        <v>51</v>
      </c>
      <c r="U305" t="s">
        <v>143</v>
      </c>
      <c r="V305" t="s">
        <v>53</v>
      </c>
      <c r="W305" t="s">
        <v>40</v>
      </c>
    </row>
    <row r="306" spans="1:23" x14ac:dyDescent="0.3">
      <c r="A306" t="s">
        <v>23</v>
      </c>
      <c r="B306" t="s">
        <v>1964</v>
      </c>
      <c r="C306" t="s">
        <v>1965</v>
      </c>
      <c r="D306" t="s">
        <v>247</v>
      </c>
      <c r="E306" t="s">
        <v>44</v>
      </c>
      <c r="F306" t="s">
        <v>28</v>
      </c>
      <c r="G306" t="s">
        <v>45</v>
      </c>
      <c r="H306" t="s">
        <v>1966</v>
      </c>
      <c r="I306" t="s">
        <v>249</v>
      </c>
      <c r="J306" t="s">
        <v>1738</v>
      </c>
      <c r="K306" t="s">
        <v>33</v>
      </c>
      <c r="L306" t="s">
        <v>1967</v>
      </c>
      <c r="M306" t="s">
        <v>1968</v>
      </c>
      <c r="N306" t="s">
        <v>1969</v>
      </c>
      <c r="O306">
        <v>2090.6650929818079</v>
      </c>
      <c r="P306">
        <v>1597.58</v>
      </c>
      <c r="Q306">
        <v>1579.4295999999999</v>
      </c>
      <c r="R306" t="s">
        <v>67</v>
      </c>
      <c r="S306" t="s">
        <v>38</v>
      </c>
      <c r="T306" t="s">
        <v>38</v>
      </c>
      <c r="U306" t="s">
        <v>39</v>
      </c>
      <c r="W306" t="s">
        <v>40</v>
      </c>
    </row>
    <row r="307" spans="1:23" x14ac:dyDescent="0.3">
      <c r="A307" t="s">
        <v>23</v>
      </c>
      <c r="B307" t="s">
        <v>1970</v>
      </c>
      <c r="C307" t="s">
        <v>1971</v>
      </c>
      <c r="D307" t="s">
        <v>1274</v>
      </c>
      <c r="E307" t="s">
        <v>58</v>
      </c>
      <c r="F307" t="s">
        <v>59</v>
      </c>
      <c r="G307" t="s">
        <v>60</v>
      </c>
      <c r="H307" t="s">
        <v>1972</v>
      </c>
      <c r="I307" t="s">
        <v>62</v>
      </c>
      <c r="J307" t="s">
        <v>63</v>
      </c>
      <c r="K307" t="s">
        <v>33</v>
      </c>
      <c r="L307" t="s">
        <v>1973</v>
      </c>
      <c r="M307" t="s">
        <v>1974</v>
      </c>
      <c r="N307" t="s">
        <v>1975</v>
      </c>
      <c r="O307">
        <v>217.0166422058935</v>
      </c>
      <c r="P307">
        <v>196.56</v>
      </c>
      <c r="Q307">
        <v>194.7996</v>
      </c>
      <c r="R307" t="s">
        <v>75</v>
      </c>
      <c r="S307" t="s">
        <v>38</v>
      </c>
      <c r="T307" t="s">
        <v>106</v>
      </c>
      <c r="U307" t="s">
        <v>767</v>
      </c>
      <c r="V307" t="s">
        <v>108</v>
      </c>
      <c r="W307" t="s">
        <v>54</v>
      </c>
    </row>
    <row r="308" spans="1:23" x14ac:dyDescent="0.3">
      <c r="A308" t="s">
        <v>23</v>
      </c>
      <c r="B308" t="s">
        <v>1976</v>
      </c>
      <c r="C308" t="s">
        <v>1977</v>
      </c>
      <c r="D308" t="s">
        <v>219</v>
      </c>
      <c r="E308" t="s">
        <v>27</v>
      </c>
      <c r="F308" t="s">
        <v>28</v>
      </c>
      <c r="G308" t="s">
        <v>29</v>
      </c>
      <c r="H308" t="s">
        <v>1978</v>
      </c>
      <c r="I308" t="s">
        <v>72</v>
      </c>
      <c r="J308" t="s">
        <v>32</v>
      </c>
      <c r="K308" t="s">
        <v>33</v>
      </c>
      <c r="L308" t="s">
        <v>1979</v>
      </c>
      <c r="M308" t="s">
        <v>1980</v>
      </c>
      <c r="N308" t="s">
        <v>1981</v>
      </c>
      <c r="O308">
        <v>6972.1900453605685</v>
      </c>
      <c r="P308">
        <v>2057.89</v>
      </c>
      <c r="Q308">
        <v>2019.8356000000001</v>
      </c>
      <c r="R308" t="s">
        <v>37</v>
      </c>
      <c r="S308" t="s">
        <v>51</v>
      </c>
      <c r="T308" t="s">
        <v>51</v>
      </c>
      <c r="U308" t="s">
        <v>143</v>
      </c>
      <c r="V308" t="s">
        <v>262</v>
      </c>
      <c r="W308" t="s">
        <v>40</v>
      </c>
    </row>
    <row r="309" spans="1:23" x14ac:dyDescent="0.3">
      <c r="A309" t="s">
        <v>23</v>
      </c>
      <c r="B309" t="s">
        <v>1982</v>
      </c>
      <c r="C309" t="s">
        <v>1983</v>
      </c>
      <c r="D309" t="s">
        <v>175</v>
      </c>
      <c r="E309" t="s">
        <v>90</v>
      </c>
      <c r="F309" t="s">
        <v>91</v>
      </c>
      <c r="G309" t="s">
        <v>92</v>
      </c>
      <c r="H309" t="s">
        <v>1984</v>
      </c>
      <c r="I309" t="s">
        <v>102</v>
      </c>
      <c r="J309" t="s">
        <v>32</v>
      </c>
      <c r="K309" t="s">
        <v>33</v>
      </c>
      <c r="L309" t="s">
        <v>1985</v>
      </c>
      <c r="M309" t="s">
        <v>1986</v>
      </c>
      <c r="N309" t="s">
        <v>283</v>
      </c>
      <c r="O309">
        <v>318.32187353475302</v>
      </c>
      <c r="P309">
        <v>318.02999999999997</v>
      </c>
      <c r="Q309">
        <v>318.03480000000002</v>
      </c>
      <c r="R309" t="s">
        <v>67</v>
      </c>
      <c r="S309" t="s">
        <v>38</v>
      </c>
      <c r="T309" t="s">
        <v>38</v>
      </c>
      <c r="U309" t="s">
        <v>39</v>
      </c>
      <c r="W309" t="s">
        <v>40</v>
      </c>
    </row>
    <row r="310" spans="1:23" x14ac:dyDescent="0.3">
      <c r="A310" t="s">
        <v>23</v>
      </c>
      <c r="B310" t="s">
        <v>1987</v>
      </c>
      <c r="C310" t="s">
        <v>1988</v>
      </c>
      <c r="D310" t="s">
        <v>80</v>
      </c>
      <c r="E310" t="s">
        <v>81</v>
      </c>
      <c r="F310" t="s">
        <v>59</v>
      </c>
      <c r="G310" t="s">
        <v>82</v>
      </c>
      <c r="H310" t="s">
        <v>1989</v>
      </c>
      <c r="I310" t="s">
        <v>62</v>
      </c>
      <c r="J310" t="s">
        <v>63</v>
      </c>
      <c r="K310" t="s">
        <v>33</v>
      </c>
      <c r="L310" t="s">
        <v>1990</v>
      </c>
      <c r="M310" t="s">
        <v>1991</v>
      </c>
      <c r="N310" t="s">
        <v>1992</v>
      </c>
      <c r="O310">
        <v>566.10413223300168</v>
      </c>
      <c r="P310">
        <v>565.75</v>
      </c>
      <c r="Q310">
        <v>565.68280000000004</v>
      </c>
      <c r="R310" t="s">
        <v>75</v>
      </c>
      <c r="S310" t="s">
        <v>38</v>
      </c>
      <c r="T310" t="s">
        <v>38</v>
      </c>
      <c r="U310" t="s">
        <v>39</v>
      </c>
      <c r="W310" t="s">
        <v>40</v>
      </c>
    </row>
    <row r="311" spans="1:23" x14ac:dyDescent="0.3">
      <c r="A311" t="s">
        <v>23</v>
      </c>
      <c r="B311" t="s">
        <v>1993</v>
      </c>
      <c r="C311" t="s">
        <v>1994</v>
      </c>
      <c r="D311" t="s">
        <v>563</v>
      </c>
      <c r="E311" t="s">
        <v>44</v>
      </c>
      <c r="F311" t="s">
        <v>28</v>
      </c>
      <c r="G311" t="s">
        <v>45</v>
      </c>
      <c r="H311" t="s">
        <v>1995</v>
      </c>
      <c r="I311" t="s">
        <v>1033</v>
      </c>
      <c r="J311" t="s">
        <v>213</v>
      </c>
      <c r="K311" t="s">
        <v>33</v>
      </c>
      <c r="L311" t="s">
        <v>1996</v>
      </c>
      <c r="M311" t="s">
        <v>1997</v>
      </c>
      <c r="N311" t="s">
        <v>1998</v>
      </c>
      <c r="O311">
        <v>13885.529763104019</v>
      </c>
      <c r="P311">
        <v>21818.54</v>
      </c>
      <c r="Q311">
        <v>13625.0836</v>
      </c>
      <c r="R311" t="s">
        <v>37</v>
      </c>
      <c r="S311" t="s">
        <v>38</v>
      </c>
      <c r="T311" t="s">
        <v>38</v>
      </c>
      <c r="U311" t="s">
        <v>39</v>
      </c>
      <c r="W311" t="s">
        <v>40</v>
      </c>
    </row>
    <row r="312" spans="1:23" x14ac:dyDescent="0.3">
      <c r="A312" t="s">
        <v>23</v>
      </c>
      <c r="B312" t="s">
        <v>1999</v>
      </c>
      <c r="C312" t="s">
        <v>2000</v>
      </c>
      <c r="D312" t="s">
        <v>265</v>
      </c>
      <c r="E312" t="s">
        <v>81</v>
      </c>
      <c r="F312" t="s">
        <v>59</v>
      </c>
      <c r="G312" t="s">
        <v>82</v>
      </c>
      <c r="H312" t="s">
        <v>2001</v>
      </c>
      <c r="I312" t="s">
        <v>62</v>
      </c>
      <c r="J312" t="s">
        <v>63</v>
      </c>
      <c r="K312" t="s">
        <v>33</v>
      </c>
      <c r="L312" t="s">
        <v>2002</v>
      </c>
      <c r="M312" t="s">
        <v>2003</v>
      </c>
      <c r="N312" t="s">
        <v>2004</v>
      </c>
      <c r="O312">
        <v>50.55169663801621</v>
      </c>
      <c r="P312">
        <v>50.54</v>
      </c>
      <c r="Q312">
        <v>50.508800000000001</v>
      </c>
      <c r="R312" t="s">
        <v>67</v>
      </c>
      <c r="S312" t="s">
        <v>38</v>
      </c>
      <c r="T312" t="s">
        <v>38</v>
      </c>
      <c r="U312" t="s">
        <v>39</v>
      </c>
      <c r="W312" t="s">
        <v>40</v>
      </c>
    </row>
    <row r="313" spans="1:23" x14ac:dyDescent="0.3">
      <c r="A313" t="s">
        <v>23</v>
      </c>
      <c r="B313" t="s">
        <v>2005</v>
      </c>
      <c r="C313" t="s">
        <v>2006</v>
      </c>
      <c r="D313" t="s">
        <v>1026</v>
      </c>
      <c r="E313" t="s">
        <v>112</v>
      </c>
      <c r="F313" t="s">
        <v>921</v>
      </c>
      <c r="G313" t="s">
        <v>922</v>
      </c>
      <c r="H313" t="s">
        <v>2007</v>
      </c>
      <c r="I313" t="s">
        <v>62</v>
      </c>
      <c r="J313" t="s">
        <v>32</v>
      </c>
      <c r="K313" t="s">
        <v>33</v>
      </c>
      <c r="L313" t="s">
        <v>2008</v>
      </c>
      <c r="M313" t="s">
        <v>2009</v>
      </c>
      <c r="N313" t="s">
        <v>2010</v>
      </c>
      <c r="O313">
        <v>13.21102592945936</v>
      </c>
      <c r="P313">
        <v>9.69</v>
      </c>
      <c r="Q313">
        <v>9.4984000000000002</v>
      </c>
      <c r="R313" t="s">
        <v>37</v>
      </c>
      <c r="S313" t="s">
        <v>106</v>
      </c>
      <c r="T313" t="s">
        <v>106</v>
      </c>
      <c r="U313" t="s">
        <v>133</v>
      </c>
      <c r="V313" t="s">
        <v>1594</v>
      </c>
      <c r="W313" t="s">
        <v>40</v>
      </c>
    </row>
    <row r="314" spans="1:23" x14ac:dyDescent="0.3">
      <c r="A314" t="s">
        <v>23</v>
      </c>
      <c r="B314" t="s">
        <v>2011</v>
      </c>
      <c r="C314" t="s">
        <v>2012</v>
      </c>
      <c r="D314" t="s">
        <v>198</v>
      </c>
      <c r="E314" t="s">
        <v>90</v>
      </c>
      <c r="F314" t="s">
        <v>91</v>
      </c>
      <c r="G314" t="s">
        <v>92</v>
      </c>
      <c r="H314" t="s">
        <v>2013</v>
      </c>
      <c r="I314" t="s">
        <v>102</v>
      </c>
      <c r="J314" t="s">
        <v>32</v>
      </c>
      <c r="K314" t="s">
        <v>33</v>
      </c>
      <c r="L314" t="s">
        <v>2014</v>
      </c>
      <c r="M314" t="s">
        <v>2015</v>
      </c>
      <c r="N314" t="s">
        <v>2016</v>
      </c>
      <c r="O314">
        <v>91.843162388567222</v>
      </c>
      <c r="P314">
        <v>31.88</v>
      </c>
      <c r="Q314">
        <v>31.235199999999999</v>
      </c>
      <c r="R314" t="s">
        <v>125</v>
      </c>
      <c r="S314" t="s">
        <v>106</v>
      </c>
      <c r="T314" t="s">
        <v>106</v>
      </c>
      <c r="U314" t="s">
        <v>133</v>
      </c>
      <c r="V314" t="s">
        <v>504</v>
      </c>
      <c r="W314" t="s">
        <v>40</v>
      </c>
    </row>
    <row r="315" spans="1:23" x14ac:dyDescent="0.3">
      <c r="A315" t="s">
        <v>23</v>
      </c>
      <c r="B315" t="s">
        <v>2017</v>
      </c>
      <c r="C315" t="s">
        <v>2018</v>
      </c>
      <c r="D315" t="s">
        <v>563</v>
      </c>
      <c r="E315" t="s">
        <v>44</v>
      </c>
      <c r="F315" t="s">
        <v>28</v>
      </c>
      <c r="G315" t="s">
        <v>137</v>
      </c>
      <c r="H315" t="s">
        <v>2019</v>
      </c>
      <c r="I315" t="s">
        <v>31</v>
      </c>
      <c r="J315" t="s">
        <v>32</v>
      </c>
      <c r="K315" t="s">
        <v>33</v>
      </c>
      <c r="L315" t="s">
        <v>2020</v>
      </c>
      <c r="M315" t="s">
        <v>2021</v>
      </c>
      <c r="N315" t="s">
        <v>2022</v>
      </c>
      <c r="O315">
        <v>1457.8619246160681</v>
      </c>
      <c r="P315">
        <v>1419.25</v>
      </c>
      <c r="Q315">
        <v>1418.3444</v>
      </c>
      <c r="R315" t="s">
        <v>37</v>
      </c>
      <c r="S315" t="s">
        <v>38</v>
      </c>
      <c r="T315" t="s">
        <v>38</v>
      </c>
      <c r="U315" t="s">
        <v>39</v>
      </c>
      <c r="W315" t="s">
        <v>40</v>
      </c>
    </row>
    <row r="316" spans="1:23" x14ac:dyDescent="0.3">
      <c r="A316" t="s">
        <v>23</v>
      </c>
      <c r="B316" t="s">
        <v>2023</v>
      </c>
      <c r="C316" t="s">
        <v>2024</v>
      </c>
      <c r="D316" t="s">
        <v>57</v>
      </c>
      <c r="E316" t="s">
        <v>58</v>
      </c>
      <c r="F316" t="s">
        <v>59</v>
      </c>
      <c r="G316" t="s">
        <v>60</v>
      </c>
      <c r="H316" t="s">
        <v>2025</v>
      </c>
      <c r="I316" t="s">
        <v>62</v>
      </c>
      <c r="J316" t="s">
        <v>63</v>
      </c>
      <c r="K316" t="s">
        <v>33</v>
      </c>
      <c r="L316" t="s">
        <v>2026</v>
      </c>
      <c r="M316" t="s">
        <v>2027</v>
      </c>
      <c r="N316" t="s">
        <v>2028</v>
      </c>
      <c r="O316">
        <v>592.28274665304775</v>
      </c>
      <c r="P316">
        <v>592.20000000000005</v>
      </c>
      <c r="Q316">
        <v>591.94439999999997</v>
      </c>
      <c r="R316" t="s">
        <v>67</v>
      </c>
      <c r="S316" t="s">
        <v>38</v>
      </c>
      <c r="T316" t="s">
        <v>38</v>
      </c>
      <c r="U316" t="s">
        <v>39</v>
      </c>
      <c r="W316" t="s">
        <v>40</v>
      </c>
    </row>
    <row r="317" spans="1:23" x14ac:dyDescent="0.3">
      <c r="A317" t="s">
        <v>23</v>
      </c>
      <c r="B317" t="s">
        <v>2029</v>
      </c>
      <c r="C317" t="s">
        <v>2030</v>
      </c>
      <c r="D317" t="s">
        <v>198</v>
      </c>
      <c r="E317" t="s">
        <v>90</v>
      </c>
      <c r="F317" t="s">
        <v>91</v>
      </c>
      <c r="G317" t="s">
        <v>92</v>
      </c>
      <c r="H317" t="s">
        <v>2031</v>
      </c>
      <c r="I317" t="s">
        <v>102</v>
      </c>
      <c r="J317" t="s">
        <v>32</v>
      </c>
      <c r="K317" t="s">
        <v>33</v>
      </c>
      <c r="L317" t="s">
        <v>2032</v>
      </c>
      <c r="M317" t="s">
        <v>2033</v>
      </c>
      <c r="N317" t="s">
        <v>2034</v>
      </c>
      <c r="O317">
        <v>134.52456450423591</v>
      </c>
      <c r="P317">
        <v>128.36000000000001</v>
      </c>
      <c r="Q317">
        <v>128.20599999999999</v>
      </c>
      <c r="R317" t="s">
        <v>67</v>
      </c>
      <c r="S317" t="s">
        <v>51</v>
      </c>
      <c r="T317" t="s">
        <v>51</v>
      </c>
      <c r="U317" t="s">
        <v>143</v>
      </c>
      <c r="V317" t="s">
        <v>108</v>
      </c>
      <c r="W317" t="s">
        <v>40</v>
      </c>
    </row>
    <row r="318" spans="1:23" x14ac:dyDescent="0.3">
      <c r="A318" t="s">
        <v>23</v>
      </c>
      <c r="B318" t="s">
        <v>2035</v>
      </c>
      <c r="C318" t="s">
        <v>2036</v>
      </c>
      <c r="D318" t="s">
        <v>175</v>
      </c>
      <c r="E318" t="s">
        <v>90</v>
      </c>
      <c r="F318" t="s">
        <v>91</v>
      </c>
      <c r="G318" t="s">
        <v>92</v>
      </c>
      <c r="H318" t="s">
        <v>2037</v>
      </c>
      <c r="I318" t="s">
        <v>102</v>
      </c>
      <c r="J318" t="s">
        <v>32</v>
      </c>
      <c r="K318" t="s">
        <v>33</v>
      </c>
      <c r="L318" t="s">
        <v>2038</v>
      </c>
      <c r="M318" t="s">
        <v>2039</v>
      </c>
      <c r="N318" t="s">
        <v>2040</v>
      </c>
      <c r="O318">
        <v>501.66954676677392</v>
      </c>
      <c r="P318">
        <v>434.64</v>
      </c>
      <c r="Q318">
        <v>432.65879999999999</v>
      </c>
      <c r="R318" t="s">
        <v>37</v>
      </c>
      <c r="S318" t="s">
        <v>38</v>
      </c>
      <c r="T318" t="s">
        <v>38</v>
      </c>
      <c r="U318" t="s">
        <v>39</v>
      </c>
      <c r="W318" t="s">
        <v>40</v>
      </c>
    </row>
    <row r="319" spans="1:23" x14ac:dyDescent="0.3">
      <c r="A319" t="s">
        <v>23</v>
      </c>
      <c r="B319" t="s">
        <v>2041</v>
      </c>
      <c r="C319" t="s">
        <v>2042</v>
      </c>
      <c r="D319" t="s">
        <v>279</v>
      </c>
      <c r="E319" t="s">
        <v>90</v>
      </c>
      <c r="F319" t="s">
        <v>91</v>
      </c>
      <c r="G319" t="s">
        <v>92</v>
      </c>
      <c r="H319" t="s">
        <v>2043</v>
      </c>
      <c r="I319" t="s">
        <v>102</v>
      </c>
      <c r="J319" t="s">
        <v>32</v>
      </c>
      <c r="K319" t="s">
        <v>33</v>
      </c>
      <c r="L319" t="s">
        <v>2044</v>
      </c>
      <c r="M319" t="s">
        <v>2045</v>
      </c>
      <c r="N319" t="s">
        <v>2046</v>
      </c>
      <c r="O319">
        <v>1343.1811509813231</v>
      </c>
      <c r="P319">
        <v>950.33</v>
      </c>
      <c r="Q319">
        <v>937.83199999999999</v>
      </c>
      <c r="R319" t="s">
        <v>37</v>
      </c>
      <c r="S319" t="s">
        <v>38</v>
      </c>
      <c r="T319" t="s">
        <v>38</v>
      </c>
      <c r="U319" t="s">
        <v>39</v>
      </c>
      <c r="W319" t="s">
        <v>40</v>
      </c>
    </row>
    <row r="320" spans="1:23" x14ac:dyDescent="0.3">
      <c r="A320" t="s">
        <v>23</v>
      </c>
      <c r="B320" t="s">
        <v>2047</v>
      </c>
      <c r="C320" t="s">
        <v>2048</v>
      </c>
      <c r="D320" t="s">
        <v>182</v>
      </c>
      <c r="E320" t="s">
        <v>27</v>
      </c>
      <c r="F320" t="s">
        <v>28</v>
      </c>
      <c r="G320" t="s">
        <v>29</v>
      </c>
      <c r="H320" t="s">
        <v>2049</v>
      </c>
      <c r="I320" t="s">
        <v>184</v>
      </c>
      <c r="J320" t="s">
        <v>185</v>
      </c>
      <c r="K320" t="s">
        <v>33</v>
      </c>
      <c r="L320" t="s">
        <v>2050</v>
      </c>
      <c r="M320" t="s">
        <v>2051</v>
      </c>
      <c r="N320" t="s">
        <v>2052</v>
      </c>
      <c r="O320">
        <v>4028.3592654742329</v>
      </c>
      <c r="P320">
        <v>17293.47</v>
      </c>
      <c r="Q320">
        <v>17291.404399999999</v>
      </c>
      <c r="R320" t="s">
        <v>37</v>
      </c>
      <c r="S320" t="s">
        <v>38</v>
      </c>
      <c r="T320" t="s">
        <v>38</v>
      </c>
      <c r="U320" t="s">
        <v>39</v>
      </c>
      <c r="W320" t="s">
        <v>40</v>
      </c>
    </row>
    <row r="321" spans="1:23" x14ac:dyDescent="0.3">
      <c r="A321" t="s">
        <v>23</v>
      </c>
      <c r="B321" t="s">
        <v>2053</v>
      </c>
      <c r="C321" t="s">
        <v>2054</v>
      </c>
      <c r="D321" t="s">
        <v>872</v>
      </c>
      <c r="E321" t="s">
        <v>873</v>
      </c>
      <c r="F321" t="s">
        <v>890</v>
      </c>
      <c r="G321" t="s">
        <v>891</v>
      </c>
      <c r="H321" t="s">
        <v>2055</v>
      </c>
      <c r="I321" t="s">
        <v>72</v>
      </c>
      <c r="J321" t="s">
        <v>32</v>
      </c>
      <c r="K321" t="s">
        <v>33</v>
      </c>
      <c r="L321" t="s">
        <v>2056</v>
      </c>
      <c r="M321" t="s">
        <v>816</v>
      </c>
      <c r="N321" t="s">
        <v>2057</v>
      </c>
      <c r="O321">
        <v>1062.162837306706</v>
      </c>
      <c r="P321">
        <v>885.2</v>
      </c>
      <c r="Q321">
        <v>883.91639999999995</v>
      </c>
      <c r="R321" t="s">
        <v>125</v>
      </c>
      <c r="S321" t="s">
        <v>38</v>
      </c>
      <c r="T321" t="s">
        <v>38</v>
      </c>
      <c r="U321" t="s">
        <v>39</v>
      </c>
      <c r="W321" t="s">
        <v>40</v>
      </c>
    </row>
    <row r="322" spans="1:23" x14ac:dyDescent="0.3">
      <c r="A322" t="s">
        <v>23</v>
      </c>
      <c r="B322" t="s">
        <v>2058</v>
      </c>
      <c r="C322" t="s">
        <v>2059</v>
      </c>
      <c r="D322" t="s">
        <v>205</v>
      </c>
      <c r="E322" t="s">
        <v>81</v>
      </c>
      <c r="F322" t="s">
        <v>59</v>
      </c>
      <c r="G322" t="s">
        <v>82</v>
      </c>
      <c r="H322" t="s">
        <v>2060</v>
      </c>
      <c r="I322" t="s">
        <v>121</v>
      </c>
      <c r="J322" t="s">
        <v>32</v>
      </c>
      <c r="K322" t="s">
        <v>33</v>
      </c>
      <c r="L322" t="s">
        <v>2061</v>
      </c>
      <c r="M322" t="s">
        <v>2062</v>
      </c>
      <c r="N322" t="s">
        <v>2063</v>
      </c>
      <c r="O322">
        <v>928.57578944929026</v>
      </c>
      <c r="P322">
        <v>903.99</v>
      </c>
      <c r="Q322">
        <v>902.99720000000002</v>
      </c>
      <c r="R322" t="s">
        <v>37</v>
      </c>
      <c r="S322" t="s">
        <v>38</v>
      </c>
      <c r="T322" t="s">
        <v>38</v>
      </c>
      <c r="U322" t="s">
        <v>39</v>
      </c>
      <c r="W322" t="s">
        <v>40</v>
      </c>
    </row>
    <row r="323" spans="1:23" x14ac:dyDescent="0.3">
      <c r="A323" t="s">
        <v>23</v>
      </c>
      <c r="B323" t="s">
        <v>2064</v>
      </c>
      <c r="C323" t="s">
        <v>2065</v>
      </c>
      <c r="D323" t="s">
        <v>80</v>
      </c>
      <c r="E323" t="s">
        <v>81</v>
      </c>
      <c r="F323" t="s">
        <v>59</v>
      </c>
      <c r="G323" t="s">
        <v>82</v>
      </c>
      <c r="H323" t="s">
        <v>2066</v>
      </c>
      <c r="I323" t="s">
        <v>62</v>
      </c>
      <c r="J323" t="s">
        <v>32</v>
      </c>
      <c r="K323" t="s">
        <v>33</v>
      </c>
      <c r="L323" t="s">
        <v>2067</v>
      </c>
      <c r="M323" t="s">
        <v>2068</v>
      </c>
      <c r="N323" t="s">
        <v>2069</v>
      </c>
      <c r="O323">
        <v>508.05443233557071</v>
      </c>
      <c r="P323">
        <v>316.16000000000003</v>
      </c>
      <c r="Q323">
        <v>311.04919999999998</v>
      </c>
      <c r="R323" t="s">
        <v>75</v>
      </c>
      <c r="S323" t="s">
        <v>106</v>
      </c>
      <c r="T323" t="s">
        <v>106</v>
      </c>
      <c r="U323" t="s">
        <v>133</v>
      </c>
      <c r="V323" t="s">
        <v>53</v>
      </c>
      <c r="W323" t="s">
        <v>40</v>
      </c>
    </row>
    <row r="324" spans="1:23" x14ac:dyDescent="0.3">
      <c r="A324" t="s">
        <v>23</v>
      </c>
      <c r="B324" t="s">
        <v>2070</v>
      </c>
      <c r="C324" t="s">
        <v>2071</v>
      </c>
      <c r="D324" t="s">
        <v>43</v>
      </c>
      <c r="E324" t="s">
        <v>44</v>
      </c>
      <c r="F324" t="s">
        <v>28</v>
      </c>
      <c r="G324" t="s">
        <v>45</v>
      </c>
      <c r="H324" t="s">
        <v>2072</v>
      </c>
      <c r="I324" t="s">
        <v>1200</v>
      </c>
      <c r="J324" t="s">
        <v>32</v>
      </c>
      <c r="K324" t="s">
        <v>33</v>
      </c>
      <c r="L324" t="s">
        <v>2073</v>
      </c>
      <c r="M324" t="s">
        <v>2074</v>
      </c>
      <c r="N324" t="s">
        <v>2075</v>
      </c>
      <c r="O324">
        <v>17384.069132328739</v>
      </c>
      <c r="P324">
        <v>11010.86</v>
      </c>
      <c r="Q324">
        <v>10862.7248</v>
      </c>
      <c r="R324" t="s">
        <v>37</v>
      </c>
      <c r="S324" t="s">
        <v>38</v>
      </c>
      <c r="T324" t="s">
        <v>38</v>
      </c>
      <c r="U324" t="s">
        <v>39</v>
      </c>
      <c r="W324" t="s">
        <v>40</v>
      </c>
    </row>
    <row r="325" spans="1:23" x14ac:dyDescent="0.3">
      <c r="A325" t="s">
        <v>23</v>
      </c>
      <c r="B325" t="s">
        <v>2076</v>
      </c>
      <c r="C325" t="s">
        <v>2077</v>
      </c>
      <c r="D325" t="s">
        <v>175</v>
      </c>
      <c r="E325" t="s">
        <v>90</v>
      </c>
      <c r="F325" t="s">
        <v>91</v>
      </c>
      <c r="G325" t="s">
        <v>92</v>
      </c>
      <c r="H325" t="s">
        <v>2078</v>
      </c>
      <c r="I325" t="s">
        <v>102</v>
      </c>
      <c r="J325" t="s">
        <v>32</v>
      </c>
      <c r="K325" t="s">
        <v>33</v>
      </c>
      <c r="L325" t="s">
        <v>2079</v>
      </c>
      <c r="M325" t="s">
        <v>2080</v>
      </c>
      <c r="N325" t="s">
        <v>2081</v>
      </c>
      <c r="O325">
        <v>106.5310086149827</v>
      </c>
      <c r="P325">
        <v>101.37</v>
      </c>
      <c r="Q325">
        <v>101.2852</v>
      </c>
      <c r="R325" t="s">
        <v>67</v>
      </c>
      <c r="S325" t="s">
        <v>38</v>
      </c>
      <c r="T325" t="s">
        <v>38</v>
      </c>
      <c r="U325" t="s">
        <v>39</v>
      </c>
      <c r="W325" t="s">
        <v>40</v>
      </c>
    </row>
    <row r="326" spans="1:23" x14ac:dyDescent="0.3">
      <c r="A326" t="s">
        <v>23</v>
      </c>
      <c r="B326" t="s">
        <v>2082</v>
      </c>
      <c r="C326" t="s">
        <v>2083</v>
      </c>
      <c r="D326" t="s">
        <v>265</v>
      </c>
      <c r="E326" t="s">
        <v>81</v>
      </c>
      <c r="F326" t="s">
        <v>91</v>
      </c>
      <c r="G326" t="s">
        <v>92</v>
      </c>
      <c r="H326" t="s">
        <v>2084</v>
      </c>
      <c r="I326" t="s">
        <v>62</v>
      </c>
      <c r="J326" t="s">
        <v>63</v>
      </c>
      <c r="K326" t="s">
        <v>33</v>
      </c>
      <c r="L326" t="s">
        <v>2085</v>
      </c>
      <c r="M326" t="s">
        <v>2086</v>
      </c>
      <c r="N326" t="s">
        <v>2087</v>
      </c>
      <c r="O326">
        <v>1200.383254313497</v>
      </c>
      <c r="P326">
        <v>1200.07</v>
      </c>
      <c r="Q326">
        <v>1199.7116000000001</v>
      </c>
      <c r="R326" t="s">
        <v>67</v>
      </c>
      <c r="S326" t="s">
        <v>38</v>
      </c>
      <c r="T326" t="s">
        <v>38</v>
      </c>
      <c r="U326" t="s">
        <v>39</v>
      </c>
      <c r="W326" t="s">
        <v>40</v>
      </c>
    </row>
    <row r="327" spans="1:23" x14ac:dyDescent="0.3">
      <c r="A327" t="s">
        <v>23</v>
      </c>
      <c r="B327" t="s">
        <v>2088</v>
      </c>
      <c r="C327" t="s">
        <v>2089</v>
      </c>
      <c r="D327" t="s">
        <v>219</v>
      </c>
      <c r="E327" t="s">
        <v>27</v>
      </c>
      <c r="F327" t="s">
        <v>28</v>
      </c>
      <c r="G327" t="s">
        <v>29</v>
      </c>
      <c r="H327" t="s">
        <v>2090</v>
      </c>
      <c r="I327" t="s">
        <v>2091</v>
      </c>
      <c r="J327" t="s">
        <v>32</v>
      </c>
      <c r="K327" t="s">
        <v>33</v>
      </c>
      <c r="L327" t="s">
        <v>2092</v>
      </c>
      <c r="M327" t="s">
        <v>2093</v>
      </c>
      <c r="N327" t="s">
        <v>2094</v>
      </c>
      <c r="O327">
        <v>1742.2811358587539</v>
      </c>
      <c r="P327">
        <v>1568.42</v>
      </c>
      <c r="Q327">
        <v>1563.8284000000001</v>
      </c>
      <c r="R327" t="s">
        <v>37</v>
      </c>
      <c r="S327" t="s">
        <v>38</v>
      </c>
      <c r="T327" t="s">
        <v>38</v>
      </c>
      <c r="U327" t="s">
        <v>39</v>
      </c>
      <c r="W327" t="s">
        <v>40</v>
      </c>
    </row>
    <row r="328" spans="1:23" x14ac:dyDescent="0.3">
      <c r="A328" t="s">
        <v>23</v>
      </c>
      <c r="B328" t="s">
        <v>2095</v>
      </c>
      <c r="C328" t="s">
        <v>2096</v>
      </c>
      <c r="D328" t="s">
        <v>481</v>
      </c>
      <c r="E328" t="s">
        <v>90</v>
      </c>
      <c r="F328" t="s">
        <v>91</v>
      </c>
      <c r="G328" t="s">
        <v>92</v>
      </c>
      <c r="H328" t="s">
        <v>2097</v>
      </c>
      <c r="I328" t="s">
        <v>102</v>
      </c>
      <c r="J328" t="s">
        <v>32</v>
      </c>
      <c r="K328" t="s">
        <v>33</v>
      </c>
      <c r="L328" t="s">
        <v>2098</v>
      </c>
      <c r="M328" t="s">
        <v>2099</v>
      </c>
      <c r="N328" t="s">
        <v>2100</v>
      </c>
      <c r="O328">
        <v>209.7585515230017</v>
      </c>
      <c r="P328">
        <v>29.16</v>
      </c>
      <c r="Q328">
        <v>28.572399999999998</v>
      </c>
      <c r="R328" t="s">
        <v>75</v>
      </c>
      <c r="S328" t="s">
        <v>51</v>
      </c>
      <c r="T328" t="s">
        <v>51</v>
      </c>
      <c r="U328" t="s">
        <v>143</v>
      </c>
      <c r="V328" t="s">
        <v>2101</v>
      </c>
      <c r="W328" t="s">
        <v>40</v>
      </c>
    </row>
    <row r="329" spans="1:23" x14ac:dyDescent="0.3">
      <c r="A329" t="s">
        <v>23</v>
      </c>
      <c r="B329" t="s">
        <v>2102</v>
      </c>
      <c r="C329" t="s">
        <v>2103</v>
      </c>
      <c r="D329" t="s">
        <v>43</v>
      </c>
      <c r="E329" t="s">
        <v>44</v>
      </c>
      <c r="F329" t="s">
        <v>28</v>
      </c>
      <c r="G329" t="s">
        <v>45</v>
      </c>
      <c r="H329" t="s">
        <v>2104</v>
      </c>
      <c r="I329" t="s">
        <v>1571</v>
      </c>
      <c r="J329" t="s">
        <v>32</v>
      </c>
      <c r="K329" t="s">
        <v>33</v>
      </c>
      <c r="L329" t="s">
        <v>2105</v>
      </c>
      <c r="M329" t="s">
        <v>2106</v>
      </c>
      <c r="N329" t="s">
        <v>2107</v>
      </c>
      <c r="O329">
        <v>3103.5872757553489</v>
      </c>
      <c r="P329">
        <v>1600.93</v>
      </c>
      <c r="Q329">
        <v>2592.9764</v>
      </c>
      <c r="R329" t="s">
        <v>125</v>
      </c>
      <c r="S329" t="s">
        <v>38</v>
      </c>
      <c r="T329" t="s">
        <v>38</v>
      </c>
      <c r="U329" t="s">
        <v>39</v>
      </c>
      <c r="W329" t="s">
        <v>40</v>
      </c>
    </row>
    <row r="330" spans="1:23" x14ac:dyDescent="0.3">
      <c r="A330" t="s">
        <v>23</v>
      </c>
      <c r="B330" t="s">
        <v>2108</v>
      </c>
      <c r="C330" t="s">
        <v>2109</v>
      </c>
      <c r="D330" t="s">
        <v>43</v>
      </c>
      <c r="E330" t="s">
        <v>44</v>
      </c>
      <c r="F330" t="s">
        <v>28</v>
      </c>
      <c r="G330" t="s">
        <v>45</v>
      </c>
      <c r="H330" t="s">
        <v>2110</v>
      </c>
      <c r="I330" t="s">
        <v>162</v>
      </c>
      <c r="J330" t="s">
        <v>32</v>
      </c>
      <c r="K330" t="s">
        <v>33</v>
      </c>
      <c r="L330" t="s">
        <v>2111</v>
      </c>
      <c r="M330" t="s">
        <v>2112</v>
      </c>
      <c r="N330" t="s">
        <v>2113</v>
      </c>
      <c r="O330">
        <v>2285.066785656581</v>
      </c>
      <c r="P330">
        <v>878.47</v>
      </c>
      <c r="Q330">
        <v>709.02760000000001</v>
      </c>
      <c r="R330" t="s">
        <v>37</v>
      </c>
      <c r="S330" t="s">
        <v>51</v>
      </c>
      <c r="T330" t="s">
        <v>51</v>
      </c>
      <c r="U330" t="s">
        <v>143</v>
      </c>
      <c r="V330" t="s">
        <v>53</v>
      </c>
      <c r="W330" t="s">
        <v>40</v>
      </c>
    </row>
    <row r="331" spans="1:23" x14ac:dyDescent="0.3">
      <c r="A331" t="s">
        <v>23</v>
      </c>
      <c r="B331" t="s">
        <v>2114</v>
      </c>
      <c r="C331" t="s">
        <v>2115</v>
      </c>
      <c r="D331" t="s">
        <v>219</v>
      </c>
      <c r="E331" t="s">
        <v>27</v>
      </c>
      <c r="F331" t="s">
        <v>28</v>
      </c>
      <c r="G331" t="s">
        <v>45</v>
      </c>
      <c r="H331" t="s">
        <v>2116</v>
      </c>
      <c r="I331" t="s">
        <v>139</v>
      </c>
      <c r="J331" t="s">
        <v>32</v>
      </c>
      <c r="K331" t="s">
        <v>33</v>
      </c>
      <c r="L331" t="s">
        <v>2117</v>
      </c>
      <c r="M331" t="s">
        <v>2118</v>
      </c>
      <c r="N331" t="s">
        <v>2119</v>
      </c>
      <c r="O331">
        <v>3606.3033376591579</v>
      </c>
      <c r="P331">
        <v>3003.81</v>
      </c>
      <c r="Q331">
        <v>2980.2071999999998</v>
      </c>
      <c r="R331" t="s">
        <v>75</v>
      </c>
      <c r="S331" t="s">
        <v>38</v>
      </c>
      <c r="T331" t="s">
        <v>38</v>
      </c>
      <c r="U331" t="s">
        <v>39</v>
      </c>
      <c r="W331" t="s">
        <v>40</v>
      </c>
    </row>
    <row r="332" spans="1:23" x14ac:dyDescent="0.3">
      <c r="A332" t="s">
        <v>23</v>
      </c>
      <c r="B332" t="s">
        <v>2120</v>
      </c>
      <c r="C332" t="s">
        <v>2121</v>
      </c>
      <c r="D332" t="s">
        <v>563</v>
      </c>
      <c r="E332" t="s">
        <v>44</v>
      </c>
      <c r="F332" t="s">
        <v>28</v>
      </c>
      <c r="G332" t="s">
        <v>137</v>
      </c>
      <c r="H332" t="s">
        <v>2122</v>
      </c>
      <c r="I332" t="s">
        <v>62</v>
      </c>
      <c r="J332" t="s">
        <v>32</v>
      </c>
      <c r="K332" t="s">
        <v>33</v>
      </c>
      <c r="L332" t="s">
        <v>2123</v>
      </c>
      <c r="M332" t="s">
        <v>2124</v>
      </c>
      <c r="N332" t="s">
        <v>2125</v>
      </c>
      <c r="O332">
        <v>929.2298695844205</v>
      </c>
      <c r="P332">
        <v>888.01</v>
      </c>
      <c r="Q332">
        <v>880.81960000000004</v>
      </c>
      <c r="R332" t="s">
        <v>75</v>
      </c>
      <c r="S332" t="s">
        <v>38</v>
      </c>
      <c r="T332" t="s">
        <v>38</v>
      </c>
      <c r="U332" t="s">
        <v>39</v>
      </c>
      <c r="W332" t="s">
        <v>40</v>
      </c>
    </row>
    <row r="333" spans="1:23" x14ac:dyDescent="0.3">
      <c r="A333" t="s">
        <v>23</v>
      </c>
      <c r="B333" t="s">
        <v>2126</v>
      </c>
      <c r="C333" t="s">
        <v>2127</v>
      </c>
      <c r="D333" t="s">
        <v>26</v>
      </c>
      <c r="E333" t="s">
        <v>27</v>
      </c>
      <c r="F333" t="s">
        <v>28</v>
      </c>
      <c r="G333" t="s">
        <v>29</v>
      </c>
      <c r="H333" t="s">
        <v>2128</v>
      </c>
      <c r="I333" t="s">
        <v>2129</v>
      </c>
      <c r="J333" t="s">
        <v>213</v>
      </c>
      <c r="K333" t="s">
        <v>33</v>
      </c>
      <c r="L333" t="s">
        <v>2130</v>
      </c>
      <c r="M333" t="s">
        <v>2131</v>
      </c>
      <c r="N333" t="s">
        <v>2132</v>
      </c>
      <c r="O333">
        <v>8598.4495455445522</v>
      </c>
      <c r="P333">
        <v>5651.33</v>
      </c>
      <c r="Q333">
        <v>5469.0240000000003</v>
      </c>
      <c r="R333" t="s">
        <v>37</v>
      </c>
      <c r="S333" t="s">
        <v>38</v>
      </c>
      <c r="T333" t="s">
        <v>38</v>
      </c>
      <c r="U333" t="s">
        <v>39</v>
      </c>
      <c r="W333" t="s">
        <v>40</v>
      </c>
    </row>
    <row r="334" spans="1:23" x14ac:dyDescent="0.3">
      <c r="A334" t="s">
        <v>23</v>
      </c>
      <c r="B334" t="s">
        <v>2133</v>
      </c>
      <c r="C334" t="s">
        <v>2134</v>
      </c>
      <c r="D334" t="s">
        <v>239</v>
      </c>
      <c r="E334" t="s">
        <v>27</v>
      </c>
      <c r="F334" t="s">
        <v>28</v>
      </c>
      <c r="G334" t="s">
        <v>29</v>
      </c>
      <c r="H334" t="s">
        <v>2135</v>
      </c>
      <c r="I334" t="s">
        <v>395</v>
      </c>
      <c r="J334" t="s">
        <v>32</v>
      </c>
      <c r="K334" t="s">
        <v>33</v>
      </c>
      <c r="L334" t="s">
        <v>2136</v>
      </c>
      <c r="M334" t="s">
        <v>2137</v>
      </c>
      <c r="N334" t="s">
        <v>2138</v>
      </c>
      <c r="O334">
        <v>4216.7946981688092</v>
      </c>
      <c r="P334">
        <v>2011.26</v>
      </c>
      <c r="Q334">
        <v>1966.934</v>
      </c>
      <c r="R334" t="s">
        <v>37</v>
      </c>
      <c r="S334" t="s">
        <v>51</v>
      </c>
      <c r="T334" t="s">
        <v>51</v>
      </c>
      <c r="U334" t="s">
        <v>143</v>
      </c>
      <c r="V334" t="s">
        <v>53</v>
      </c>
      <c r="W334" t="s">
        <v>40</v>
      </c>
    </row>
    <row r="335" spans="1:23" x14ac:dyDescent="0.3">
      <c r="A335" t="s">
        <v>23</v>
      </c>
      <c r="B335" t="s">
        <v>2139</v>
      </c>
      <c r="C335" t="s">
        <v>2140</v>
      </c>
      <c r="D335" t="s">
        <v>239</v>
      </c>
      <c r="E335" t="s">
        <v>27</v>
      </c>
      <c r="F335" t="s">
        <v>28</v>
      </c>
      <c r="G335" t="s">
        <v>29</v>
      </c>
      <c r="H335" t="s">
        <v>2141</v>
      </c>
      <c r="I335" t="s">
        <v>1448</v>
      </c>
      <c r="J335" t="s">
        <v>32</v>
      </c>
      <c r="K335" t="s">
        <v>33</v>
      </c>
      <c r="L335" t="s">
        <v>2142</v>
      </c>
      <c r="M335" t="s">
        <v>2143</v>
      </c>
      <c r="N335" t="s">
        <v>2144</v>
      </c>
      <c r="O335">
        <v>9891.6311687899124</v>
      </c>
      <c r="P335">
        <v>5498.52</v>
      </c>
      <c r="Q335">
        <v>5465.0860000000002</v>
      </c>
      <c r="R335" t="s">
        <v>75</v>
      </c>
      <c r="S335" t="s">
        <v>38</v>
      </c>
      <c r="T335" t="s">
        <v>38</v>
      </c>
      <c r="U335" t="s">
        <v>39</v>
      </c>
      <c r="W335" t="s">
        <v>40</v>
      </c>
    </row>
    <row r="336" spans="1:23" x14ac:dyDescent="0.3">
      <c r="A336" t="s">
        <v>23</v>
      </c>
      <c r="B336" t="s">
        <v>2145</v>
      </c>
      <c r="C336" t="s">
        <v>2146</v>
      </c>
      <c r="D336" t="s">
        <v>239</v>
      </c>
      <c r="E336" t="s">
        <v>27</v>
      </c>
      <c r="F336" t="s">
        <v>28</v>
      </c>
      <c r="G336" t="s">
        <v>29</v>
      </c>
      <c r="H336" t="s">
        <v>2147</v>
      </c>
      <c r="I336" t="s">
        <v>1448</v>
      </c>
      <c r="J336" t="s">
        <v>32</v>
      </c>
      <c r="K336" t="s">
        <v>33</v>
      </c>
      <c r="L336" t="s">
        <v>2148</v>
      </c>
      <c r="M336" t="s">
        <v>2149</v>
      </c>
      <c r="N336" t="s">
        <v>2150</v>
      </c>
      <c r="O336">
        <v>30.025196023896878</v>
      </c>
      <c r="P336">
        <v>27.63</v>
      </c>
      <c r="Q336">
        <v>27.613199999999999</v>
      </c>
      <c r="R336" t="s">
        <v>37</v>
      </c>
      <c r="S336" t="s">
        <v>38</v>
      </c>
      <c r="T336" t="s">
        <v>38</v>
      </c>
      <c r="U336" t="s">
        <v>39</v>
      </c>
      <c r="W336" t="s">
        <v>40</v>
      </c>
    </row>
    <row r="337" spans="1:23" x14ac:dyDescent="0.3">
      <c r="A337" t="s">
        <v>23</v>
      </c>
      <c r="B337" t="s">
        <v>2151</v>
      </c>
      <c r="C337" t="s">
        <v>2152</v>
      </c>
      <c r="D337" t="s">
        <v>239</v>
      </c>
      <c r="E337" t="s">
        <v>27</v>
      </c>
      <c r="F337" t="s">
        <v>28</v>
      </c>
      <c r="G337" t="s">
        <v>29</v>
      </c>
      <c r="H337" t="s">
        <v>2153</v>
      </c>
      <c r="I337" t="s">
        <v>1571</v>
      </c>
      <c r="J337" t="s">
        <v>32</v>
      </c>
      <c r="K337" t="s">
        <v>33</v>
      </c>
      <c r="L337" t="s">
        <v>2154</v>
      </c>
      <c r="M337" t="s">
        <v>2155</v>
      </c>
      <c r="N337" t="s">
        <v>2156</v>
      </c>
      <c r="O337">
        <v>14492.85929664688</v>
      </c>
      <c r="P337">
        <v>5693.68</v>
      </c>
      <c r="Q337">
        <v>5504.366</v>
      </c>
      <c r="R337" t="s">
        <v>75</v>
      </c>
      <c r="S337" t="s">
        <v>76</v>
      </c>
      <c r="T337" t="s">
        <v>76</v>
      </c>
      <c r="U337" t="s">
        <v>261</v>
      </c>
      <c r="V337" t="s">
        <v>1796</v>
      </c>
      <c r="W337" t="s">
        <v>40</v>
      </c>
    </row>
    <row r="338" spans="1:23" x14ac:dyDescent="0.3">
      <c r="A338" t="s">
        <v>23</v>
      </c>
      <c r="B338" t="s">
        <v>2157</v>
      </c>
      <c r="C338" t="s">
        <v>2158</v>
      </c>
      <c r="D338" t="s">
        <v>219</v>
      </c>
      <c r="E338" t="s">
        <v>27</v>
      </c>
      <c r="F338" t="s">
        <v>28</v>
      </c>
      <c r="G338" t="s">
        <v>29</v>
      </c>
      <c r="H338" t="s">
        <v>2159</v>
      </c>
      <c r="I338" t="s">
        <v>72</v>
      </c>
      <c r="J338" t="s">
        <v>32</v>
      </c>
      <c r="K338" t="s">
        <v>33</v>
      </c>
      <c r="L338" t="s">
        <v>2160</v>
      </c>
      <c r="M338" t="s">
        <v>2161</v>
      </c>
      <c r="N338" t="s">
        <v>2162</v>
      </c>
      <c r="O338">
        <v>2342.1280975907139</v>
      </c>
      <c r="P338">
        <v>1030.33</v>
      </c>
      <c r="Q338">
        <v>1020.7436</v>
      </c>
      <c r="R338" t="s">
        <v>37</v>
      </c>
      <c r="S338" t="s">
        <v>51</v>
      </c>
      <c r="T338" t="s">
        <v>51</v>
      </c>
      <c r="U338" t="s">
        <v>143</v>
      </c>
      <c r="V338" t="s">
        <v>53</v>
      </c>
      <c r="W338" t="s">
        <v>40</v>
      </c>
    </row>
    <row r="339" spans="1:23" x14ac:dyDescent="0.3">
      <c r="A339" t="s">
        <v>23</v>
      </c>
      <c r="B339" t="s">
        <v>2163</v>
      </c>
      <c r="C339" t="s">
        <v>2164</v>
      </c>
      <c r="D339" t="s">
        <v>219</v>
      </c>
      <c r="E339" t="s">
        <v>27</v>
      </c>
      <c r="F339" t="s">
        <v>28</v>
      </c>
      <c r="G339" t="s">
        <v>29</v>
      </c>
      <c r="H339" t="s">
        <v>2165</v>
      </c>
      <c r="I339" t="s">
        <v>72</v>
      </c>
      <c r="J339" t="s">
        <v>32</v>
      </c>
      <c r="K339" t="s">
        <v>33</v>
      </c>
      <c r="L339" t="s">
        <v>2166</v>
      </c>
      <c r="M339" t="s">
        <v>2167</v>
      </c>
      <c r="N339" t="s">
        <v>2168</v>
      </c>
      <c r="O339">
        <v>8728.1379109763675</v>
      </c>
      <c r="P339">
        <v>4719.59</v>
      </c>
      <c r="Q339">
        <v>4697.9348</v>
      </c>
      <c r="R339" t="s">
        <v>37</v>
      </c>
      <c r="S339" t="s">
        <v>51</v>
      </c>
      <c r="T339" t="s">
        <v>51</v>
      </c>
      <c r="U339" t="s">
        <v>143</v>
      </c>
      <c r="V339" t="s">
        <v>53</v>
      </c>
      <c r="W339" t="s">
        <v>40</v>
      </c>
    </row>
    <row r="340" spans="1:23" x14ac:dyDescent="0.3">
      <c r="A340" t="s">
        <v>23</v>
      </c>
      <c r="B340" t="s">
        <v>2169</v>
      </c>
      <c r="C340" t="s">
        <v>2170</v>
      </c>
      <c r="D340" t="s">
        <v>219</v>
      </c>
      <c r="E340" t="s">
        <v>27</v>
      </c>
      <c r="F340" t="s">
        <v>28</v>
      </c>
      <c r="G340" t="s">
        <v>29</v>
      </c>
      <c r="H340" t="s">
        <v>2171</v>
      </c>
      <c r="I340" t="s">
        <v>147</v>
      </c>
      <c r="J340" t="s">
        <v>32</v>
      </c>
      <c r="K340" t="s">
        <v>33</v>
      </c>
      <c r="L340" t="s">
        <v>2172</v>
      </c>
      <c r="M340" t="s">
        <v>2173</v>
      </c>
      <c r="N340" t="s">
        <v>2174</v>
      </c>
      <c r="O340">
        <v>7440.413250550625</v>
      </c>
      <c r="P340">
        <v>4262.99</v>
      </c>
      <c r="Q340">
        <v>4243.0244000000002</v>
      </c>
      <c r="R340" t="s">
        <v>37</v>
      </c>
      <c r="S340" t="s">
        <v>76</v>
      </c>
      <c r="T340" t="s">
        <v>76</v>
      </c>
      <c r="U340" t="s">
        <v>261</v>
      </c>
      <c r="V340" t="s">
        <v>53</v>
      </c>
      <c r="W340" t="s">
        <v>40</v>
      </c>
    </row>
    <row r="341" spans="1:23" x14ac:dyDescent="0.3">
      <c r="A341" t="s">
        <v>23</v>
      </c>
      <c r="B341" t="s">
        <v>2175</v>
      </c>
      <c r="C341" t="s">
        <v>2176</v>
      </c>
      <c r="D341" t="s">
        <v>168</v>
      </c>
      <c r="E341" t="s">
        <v>154</v>
      </c>
      <c r="F341" t="s">
        <v>59</v>
      </c>
      <c r="G341" t="s">
        <v>113</v>
      </c>
      <c r="H341" t="s">
        <v>2177</v>
      </c>
      <c r="I341" t="s">
        <v>62</v>
      </c>
      <c r="J341" t="s">
        <v>63</v>
      </c>
      <c r="K341" t="s">
        <v>33</v>
      </c>
      <c r="L341" t="s">
        <v>2178</v>
      </c>
      <c r="M341" t="s">
        <v>2179</v>
      </c>
      <c r="N341" t="s">
        <v>2180</v>
      </c>
      <c r="O341">
        <v>4670.9862936481559</v>
      </c>
      <c r="P341">
        <v>4641.46</v>
      </c>
      <c r="Q341">
        <v>4637.5303999999996</v>
      </c>
      <c r="R341" t="s">
        <v>37</v>
      </c>
      <c r="S341" t="s">
        <v>38</v>
      </c>
      <c r="T341" t="s">
        <v>38</v>
      </c>
      <c r="U341" t="s">
        <v>39</v>
      </c>
      <c r="W341" t="s">
        <v>40</v>
      </c>
    </row>
    <row r="342" spans="1:23" x14ac:dyDescent="0.3">
      <c r="A342" t="s">
        <v>23</v>
      </c>
      <c r="B342" t="s">
        <v>2181</v>
      </c>
      <c r="C342" t="s">
        <v>2182</v>
      </c>
      <c r="D342" t="s">
        <v>519</v>
      </c>
      <c r="E342" t="s">
        <v>81</v>
      </c>
      <c r="F342" t="s">
        <v>91</v>
      </c>
      <c r="G342" t="s">
        <v>92</v>
      </c>
      <c r="H342" t="s">
        <v>2183</v>
      </c>
      <c r="I342" t="s">
        <v>102</v>
      </c>
      <c r="J342" t="s">
        <v>32</v>
      </c>
      <c r="K342" t="s">
        <v>33</v>
      </c>
      <c r="L342" t="s">
        <v>2184</v>
      </c>
      <c r="M342" t="s">
        <v>2185</v>
      </c>
      <c r="N342" t="s">
        <v>2186</v>
      </c>
      <c r="O342">
        <v>988.55242139897723</v>
      </c>
      <c r="P342">
        <v>834.92</v>
      </c>
      <c r="Q342">
        <v>829.21159999999998</v>
      </c>
      <c r="R342" t="s">
        <v>75</v>
      </c>
      <c r="S342" t="s">
        <v>38</v>
      </c>
      <c r="T342" t="s">
        <v>38</v>
      </c>
      <c r="U342" t="s">
        <v>39</v>
      </c>
      <c r="W342" t="s">
        <v>40</v>
      </c>
    </row>
    <row r="343" spans="1:23" x14ac:dyDescent="0.3">
      <c r="A343" t="s">
        <v>23</v>
      </c>
      <c r="B343" t="s">
        <v>2187</v>
      </c>
      <c r="C343" t="s">
        <v>2188</v>
      </c>
      <c r="D343" t="s">
        <v>519</v>
      </c>
      <c r="E343" t="s">
        <v>81</v>
      </c>
      <c r="F343" t="s">
        <v>59</v>
      </c>
      <c r="G343" t="s">
        <v>82</v>
      </c>
      <c r="H343" t="s">
        <v>2189</v>
      </c>
      <c r="I343" t="s">
        <v>102</v>
      </c>
      <c r="J343" t="s">
        <v>32</v>
      </c>
      <c r="K343" t="s">
        <v>33</v>
      </c>
      <c r="M343" t="s">
        <v>2190</v>
      </c>
      <c r="N343" t="s">
        <v>2191</v>
      </c>
      <c r="O343">
        <v>59.827904344509868</v>
      </c>
      <c r="P343">
        <v>57.25</v>
      </c>
      <c r="Q343">
        <v>57.0456</v>
      </c>
      <c r="R343" t="s">
        <v>125</v>
      </c>
      <c r="S343" t="s">
        <v>38</v>
      </c>
      <c r="T343" t="s">
        <v>38</v>
      </c>
      <c r="U343" t="s">
        <v>39</v>
      </c>
      <c r="W343" t="s">
        <v>40</v>
      </c>
    </row>
    <row r="344" spans="1:23" x14ac:dyDescent="0.3">
      <c r="A344" t="s">
        <v>23</v>
      </c>
      <c r="B344" t="s">
        <v>2192</v>
      </c>
      <c r="C344" t="s">
        <v>2193</v>
      </c>
      <c r="D344" t="s">
        <v>265</v>
      </c>
      <c r="E344" t="s">
        <v>81</v>
      </c>
      <c r="F344" t="s">
        <v>59</v>
      </c>
      <c r="G344" t="s">
        <v>82</v>
      </c>
      <c r="H344" t="s">
        <v>2194</v>
      </c>
      <c r="I344" t="s">
        <v>62</v>
      </c>
      <c r="J344" t="s">
        <v>32</v>
      </c>
      <c r="K344" t="s">
        <v>33</v>
      </c>
      <c r="L344" t="s">
        <v>2195</v>
      </c>
      <c r="M344" t="s">
        <v>2196</v>
      </c>
      <c r="N344" t="s">
        <v>2197</v>
      </c>
      <c r="O344">
        <v>127.5632294262132</v>
      </c>
      <c r="P344">
        <v>127.49</v>
      </c>
      <c r="Q344">
        <v>127.13</v>
      </c>
      <c r="R344" t="s">
        <v>75</v>
      </c>
      <c r="S344" t="s">
        <v>38</v>
      </c>
      <c r="T344" t="s">
        <v>38</v>
      </c>
      <c r="U344" t="s">
        <v>39</v>
      </c>
      <c r="W344" t="s">
        <v>40</v>
      </c>
    </row>
    <row r="345" spans="1:23" x14ac:dyDescent="0.3">
      <c r="A345" t="s">
        <v>23</v>
      </c>
      <c r="B345" t="s">
        <v>2198</v>
      </c>
      <c r="C345" t="s">
        <v>2199</v>
      </c>
      <c r="D345" t="s">
        <v>265</v>
      </c>
      <c r="E345" t="s">
        <v>81</v>
      </c>
      <c r="F345" t="s">
        <v>59</v>
      </c>
      <c r="G345" t="s">
        <v>82</v>
      </c>
      <c r="H345" t="s">
        <v>2200</v>
      </c>
      <c r="I345" t="s">
        <v>62</v>
      </c>
      <c r="J345" t="s">
        <v>32</v>
      </c>
      <c r="K345" t="s">
        <v>33</v>
      </c>
      <c r="L345" t="s">
        <v>2201</v>
      </c>
      <c r="M345" t="s">
        <v>2202</v>
      </c>
      <c r="N345" t="s">
        <v>2203</v>
      </c>
      <c r="O345">
        <v>722.66361996346382</v>
      </c>
      <c r="P345">
        <v>722.31</v>
      </c>
      <c r="Q345">
        <v>721.81479999999999</v>
      </c>
      <c r="R345" t="s">
        <v>75</v>
      </c>
      <c r="S345" t="s">
        <v>38</v>
      </c>
      <c r="T345" t="s">
        <v>106</v>
      </c>
      <c r="U345" t="s">
        <v>767</v>
      </c>
      <c r="V345" t="s">
        <v>2204</v>
      </c>
      <c r="W345" t="s">
        <v>54</v>
      </c>
    </row>
    <row r="346" spans="1:23" x14ac:dyDescent="0.3">
      <c r="A346" t="s">
        <v>23</v>
      </c>
      <c r="B346" t="s">
        <v>2205</v>
      </c>
      <c r="C346" t="s">
        <v>2206</v>
      </c>
      <c r="D346" t="s">
        <v>265</v>
      </c>
      <c r="E346" t="s">
        <v>81</v>
      </c>
      <c r="F346" t="s">
        <v>59</v>
      </c>
      <c r="G346" t="s">
        <v>82</v>
      </c>
      <c r="H346" t="s">
        <v>2207</v>
      </c>
      <c r="I346" t="s">
        <v>62</v>
      </c>
      <c r="J346" t="s">
        <v>32</v>
      </c>
      <c r="K346" t="s">
        <v>33</v>
      </c>
      <c r="L346" t="s">
        <v>2208</v>
      </c>
      <c r="M346" t="s">
        <v>2209</v>
      </c>
      <c r="N346" t="s">
        <v>2210</v>
      </c>
      <c r="O346">
        <v>192.10896442392141</v>
      </c>
      <c r="P346">
        <v>191.65</v>
      </c>
      <c r="Q346">
        <v>191.33879999999999</v>
      </c>
      <c r="R346" t="s">
        <v>125</v>
      </c>
      <c r="S346" t="s">
        <v>38</v>
      </c>
      <c r="T346" t="s">
        <v>106</v>
      </c>
      <c r="U346" t="s">
        <v>767</v>
      </c>
      <c r="V346" t="s">
        <v>2204</v>
      </c>
      <c r="W346" t="s">
        <v>54</v>
      </c>
    </row>
    <row r="347" spans="1:23" x14ac:dyDescent="0.3">
      <c r="A347" t="s">
        <v>23</v>
      </c>
      <c r="B347" t="s">
        <v>2211</v>
      </c>
      <c r="C347" t="s">
        <v>2212</v>
      </c>
      <c r="D347" t="s">
        <v>265</v>
      </c>
      <c r="E347" t="s">
        <v>81</v>
      </c>
      <c r="F347" t="s">
        <v>59</v>
      </c>
      <c r="G347" t="s">
        <v>82</v>
      </c>
      <c r="H347" t="s">
        <v>2213</v>
      </c>
      <c r="I347" t="s">
        <v>62</v>
      </c>
      <c r="J347" t="s">
        <v>32</v>
      </c>
      <c r="K347" t="s">
        <v>33</v>
      </c>
      <c r="L347" t="s">
        <v>2214</v>
      </c>
      <c r="M347" t="s">
        <v>2215</v>
      </c>
      <c r="N347" t="s">
        <v>2216</v>
      </c>
      <c r="O347">
        <v>18.372019752031051</v>
      </c>
      <c r="P347">
        <v>18.37</v>
      </c>
      <c r="Q347">
        <v>18.372</v>
      </c>
      <c r="R347" t="s">
        <v>67</v>
      </c>
      <c r="S347" t="s">
        <v>38</v>
      </c>
      <c r="T347" t="s">
        <v>38</v>
      </c>
      <c r="U347" t="s">
        <v>39</v>
      </c>
      <c r="W347" t="s">
        <v>40</v>
      </c>
    </row>
    <row r="348" spans="1:23" x14ac:dyDescent="0.3">
      <c r="A348" t="s">
        <v>23</v>
      </c>
      <c r="B348" t="s">
        <v>2217</v>
      </c>
      <c r="C348" t="s">
        <v>2218</v>
      </c>
      <c r="D348" t="s">
        <v>265</v>
      </c>
      <c r="E348" t="s">
        <v>81</v>
      </c>
      <c r="F348" t="s">
        <v>59</v>
      </c>
      <c r="G348" t="s">
        <v>82</v>
      </c>
      <c r="H348" t="s">
        <v>2219</v>
      </c>
      <c r="I348" t="s">
        <v>62</v>
      </c>
      <c r="J348" t="s">
        <v>32</v>
      </c>
      <c r="K348" t="s">
        <v>33</v>
      </c>
      <c r="L348" t="s">
        <v>2220</v>
      </c>
      <c r="M348" t="s">
        <v>2221</v>
      </c>
      <c r="N348" t="s">
        <v>2222</v>
      </c>
      <c r="O348">
        <v>65.869296091772085</v>
      </c>
      <c r="P348">
        <v>65.87</v>
      </c>
      <c r="Q348">
        <v>65.8232</v>
      </c>
      <c r="R348" t="s">
        <v>67</v>
      </c>
      <c r="S348" t="s">
        <v>38</v>
      </c>
      <c r="T348" t="s">
        <v>38</v>
      </c>
      <c r="U348" t="s">
        <v>39</v>
      </c>
      <c r="W348" t="s">
        <v>40</v>
      </c>
    </row>
    <row r="349" spans="1:23" x14ac:dyDescent="0.3">
      <c r="A349" t="s">
        <v>23</v>
      </c>
      <c r="B349" t="s">
        <v>2223</v>
      </c>
      <c r="C349" t="s">
        <v>2224</v>
      </c>
      <c r="D349" t="s">
        <v>265</v>
      </c>
      <c r="E349" t="s">
        <v>81</v>
      </c>
      <c r="F349" t="s">
        <v>59</v>
      </c>
      <c r="G349" t="s">
        <v>82</v>
      </c>
      <c r="H349" t="s">
        <v>2225</v>
      </c>
      <c r="I349" t="s">
        <v>62</v>
      </c>
      <c r="J349" t="s">
        <v>63</v>
      </c>
      <c r="K349" t="s">
        <v>33</v>
      </c>
      <c r="L349" t="s">
        <v>2226</v>
      </c>
      <c r="M349" t="s">
        <v>2227</v>
      </c>
      <c r="N349" t="s">
        <v>2228</v>
      </c>
      <c r="O349">
        <v>327.15279398391772</v>
      </c>
      <c r="P349">
        <v>327.11</v>
      </c>
      <c r="Q349">
        <v>326.56880000000001</v>
      </c>
      <c r="R349" t="s">
        <v>67</v>
      </c>
      <c r="S349" t="s">
        <v>38</v>
      </c>
      <c r="T349" t="s">
        <v>51</v>
      </c>
      <c r="U349" t="s">
        <v>52</v>
      </c>
      <c r="V349" t="s">
        <v>2204</v>
      </c>
      <c r="W349" t="s">
        <v>54</v>
      </c>
    </row>
    <row r="350" spans="1:23" x14ac:dyDescent="0.3">
      <c r="A350" t="s">
        <v>23</v>
      </c>
      <c r="B350" t="s">
        <v>2229</v>
      </c>
      <c r="C350" t="s">
        <v>2230</v>
      </c>
      <c r="D350" t="s">
        <v>80</v>
      </c>
      <c r="E350" t="s">
        <v>81</v>
      </c>
      <c r="F350" t="s">
        <v>59</v>
      </c>
      <c r="G350" t="s">
        <v>82</v>
      </c>
      <c r="H350" t="s">
        <v>2231</v>
      </c>
      <c r="I350" t="s">
        <v>62</v>
      </c>
      <c r="J350" t="s">
        <v>32</v>
      </c>
      <c r="K350" t="s">
        <v>33</v>
      </c>
      <c r="L350" t="s">
        <v>2232</v>
      </c>
      <c r="M350" t="s">
        <v>2233</v>
      </c>
      <c r="N350" t="s">
        <v>2234</v>
      </c>
      <c r="O350">
        <v>136.4149528490004</v>
      </c>
      <c r="P350">
        <v>134.38999999999999</v>
      </c>
      <c r="Q350">
        <v>133.97479999999999</v>
      </c>
      <c r="R350" t="s">
        <v>67</v>
      </c>
      <c r="S350" t="s">
        <v>38</v>
      </c>
      <c r="T350" t="s">
        <v>38</v>
      </c>
      <c r="U350" t="s">
        <v>39</v>
      </c>
      <c r="W350" t="s">
        <v>40</v>
      </c>
    </row>
    <row r="351" spans="1:23" x14ac:dyDescent="0.3">
      <c r="A351" t="s">
        <v>23</v>
      </c>
      <c r="B351" t="s">
        <v>2235</v>
      </c>
      <c r="C351" t="s">
        <v>2236</v>
      </c>
      <c r="D351" t="s">
        <v>80</v>
      </c>
      <c r="E351" t="s">
        <v>81</v>
      </c>
      <c r="F351" t="s">
        <v>59</v>
      </c>
      <c r="G351" t="s">
        <v>82</v>
      </c>
      <c r="H351" t="s">
        <v>2237</v>
      </c>
      <c r="I351" t="s">
        <v>102</v>
      </c>
      <c r="J351" t="s">
        <v>32</v>
      </c>
      <c r="K351" t="s">
        <v>33</v>
      </c>
      <c r="L351" t="s">
        <v>2238</v>
      </c>
      <c r="M351" t="s">
        <v>2239</v>
      </c>
      <c r="N351" t="s">
        <v>2240</v>
      </c>
      <c r="O351">
        <v>201.11937213726779</v>
      </c>
      <c r="P351">
        <v>110.69</v>
      </c>
      <c r="Q351">
        <v>108.1596</v>
      </c>
      <c r="R351" t="s">
        <v>75</v>
      </c>
      <c r="S351" t="s">
        <v>106</v>
      </c>
      <c r="T351" t="s">
        <v>106</v>
      </c>
      <c r="U351" t="s">
        <v>133</v>
      </c>
      <c r="V351" t="s">
        <v>53</v>
      </c>
      <c r="W351" t="s">
        <v>40</v>
      </c>
    </row>
    <row r="352" spans="1:23" x14ac:dyDescent="0.3">
      <c r="A352" t="s">
        <v>23</v>
      </c>
      <c r="B352" t="s">
        <v>2241</v>
      </c>
      <c r="C352" t="s">
        <v>2242</v>
      </c>
      <c r="D352" t="s">
        <v>80</v>
      </c>
      <c r="E352" t="s">
        <v>81</v>
      </c>
      <c r="F352" t="s">
        <v>59</v>
      </c>
      <c r="G352" t="s">
        <v>82</v>
      </c>
      <c r="H352" t="s">
        <v>2243</v>
      </c>
      <c r="I352" t="s">
        <v>62</v>
      </c>
      <c r="J352" t="s">
        <v>32</v>
      </c>
      <c r="K352" t="s">
        <v>33</v>
      </c>
      <c r="L352" t="s">
        <v>2244</v>
      </c>
      <c r="M352" t="s">
        <v>2245</v>
      </c>
      <c r="N352" t="s">
        <v>2246</v>
      </c>
      <c r="O352">
        <v>917.42580682028677</v>
      </c>
      <c r="P352">
        <v>888.08</v>
      </c>
      <c r="Q352">
        <v>884.69560000000001</v>
      </c>
      <c r="R352" t="s">
        <v>37</v>
      </c>
      <c r="S352" t="s">
        <v>38</v>
      </c>
      <c r="T352" t="s">
        <v>38</v>
      </c>
      <c r="U352" t="s">
        <v>39</v>
      </c>
      <c r="W352" t="s">
        <v>40</v>
      </c>
    </row>
    <row r="353" spans="1:23" x14ac:dyDescent="0.3">
      <c r="A353" t="s">
        <v>23</v>
      </c>
      <c r="B353" t="s">
        <v>2247</v>
      </c>
      <c r="C353" t="s">
        <v>2248</v>
      </c>
      <c r="D353" t="s">
        <v>43</v>
      </c>
      <c r="E353" t="s">
        <v>44</v>
      </c>
      <c r="F353" t="s">
        <v>28</v>
      </c>
      <c r="G353" t="s">
        <v>45</v>
      </c>
      <c r="H353" t="s">
        <v>2249</v>
      </c>
      <c r="I353" t="s">
        <v>1571</v>
      </c>
      <c r="J353" t="s">
        <v>32</v>
      </c>
      <c r="K353" t="s">
        <v>33</v>
      </c>
      <c r="L353" t="s">
        <v>2250</v>
      </c>
      <c r="M353" t="s">
        <v>816</v>
      </c>
      <c r="N353" t="s">
        <v>2251</v>
      </c>
      <c r="O353">
        <v>3285.5796616503708</v>
      </c>
      <c r="P353">
        <v>1438.99</v>
      </c>
      <c r="Q353">
        <v>2493.5868</v>
      </c>
      <c r="R353" t="s">
        <v>37</v>
      </c>
      <c r="S353" t="s">
        <v>38</v>
      </c>
      <c r="T353" t="s">
        <v>38</v>
      </c>
      <c r="U353" t="s">
        <v>39</v>
      </c>
      <c r="W353" t="s">
        <v>40</v>
      </c>
    </row>
    <row r="354" spans="1:23" x14ac:dyDescent="0.3">
      <c r="A354" t="s">
        <v>23</v>
      </c>
      <c r="B354" t="s">
        <v>2252</v>
      </c>
      <c r="C354" t="s">
        <v>2253</v>
      </c>
      <c r="D354" t="s">
        <v>43</v>
      </c>
      <c r="E354" t="s">
        <v>44</v>
      </c>
      <c r="F354" t="s">
        <v>28</v>
      </c>
      <c r="G354" t="s">
        <v>45</v>
      </c>
      <c r="H354" t="s">
        <v>2254</v>
      </c>
      <c r="I354" t="s">
        <v>249</v>
      </c>
      <c r="J354" t="s">
        <v>32</v>
      </c>
      <c r="K354" t="s">
        <v>33</v>
      </c>
      <c r="L354" t="s">
        <v>2255</v>
      </c>
      <c r="M354" t="s">
        <v>2256</v>
      </c>
      <c r="N354" t="s">
        <v>2257</v>
      </c>
      <c r="O354">
        <v>759.91108596699144</v>
      </c>
      <c r="P354">
        <v>448.41</v>
      </c>
      <c r="Q354">
        <v>441.2636</v>
      </c>
      <c r="R354" t="s">
        <v>37</v>
      </c>
      <c r="S354" t="s">
        <v>38</v>
      </c>
      <c r="T354" t="s">
        <v>38</v>
      </c>
      <c r="U354" t="s">
        <v>39</v>
      </c>
      <c r="W354" t="s">
        <v>40</v>
      </c>
    </row>
    <row r="355" spans="1:23" x14ac:dyDescent="0.3">
      <c r="A355" t="s">
        <v>23</v>
      </c>
      <c r="B355" t="s">
        <v>2258</v>
      </c>
      <c r="C355" t="s">
        <v>2259</v>
      </c>
      <c r="D355" t="s">
        <v>43</v>
      </c>
      <c r="E355" t="s">
        <v>44</v>
      </c>
      <c r="F355" t="s">
        <v>28</v>
      </c>
      <c r="G355" t="s">
        <v>137</v>
      </c>
      <c r="H355" t="s">
        <v>2260</v>
      </c>
      <c r="I355" t="s">
        <v>47</v>
      </c>
      <c r="J355" t="s">
        <v>213</v>
      </c>
      <c r="K355" t="s">
        <v>33</v>
      </c>
      <c r="L355" t="s">
        <v>2261</v>
      </c>
      <c r="M355" t="s">
        <v>2262</v>
      </c>
      <c r="N355" t="s">
        <v>2263</v>
      </c>
      <c r="O355">
        <v>6496.3686293713299</v>
      </c>
      <c r="P355">
        <v>5157.8500000000004</v>
      </c>
      <c r="Q355">
        <v>5101.7687999999998</v>
      </c>
      <c r="R355" t="s">
        <v>125</v>
      </c>
      <c r="S355" t="s">
        <v>38</v>
      </c>
      <c r="T355" t="s">
        <v>38</v>
      </c>
      <c r="U355" t="s">
        <v>39</v>
      </c>
      <c r="W355" t="s">
        <v>40</v>
      </c>
    </row>
    <row r="356" spans="1:23" x14ac:dyDescent="0.3">
      <c r="A356" t="s">
        <v>23</v>
      </c>
      <c r="B356" t="s">
        <v>2264</v>
      </c>
      <c r="C356" t="s">
        <v>2265</v>
      </c>
      <c r="D356" t="s">
        <v>43</v>
      </c>
      <c r="E356" t="s">
        <v>44</v>
      </c>
      <c r="F356" t="s">
        <v>28</v>
      </c>
      <c r="G356" t="s">
        <v>45</v>
      </c>
      <c r="H356" t="s">
        <v>2266</v>
      </c>
      <c r="I356" t="s">
        <v>47</v>
      </c>
      <c r="J356" t="s">
        <v>32</v>
      </c>
      <c r="K356" t="s">
        <v>33</v>
      </c>
      <c r="L356" t="s">
        <v>2267</v>
      </c>
      <c r="M356" t="s">
        <v>2268</v>
      </c>
      <c r="N356" t="s">
        <v>2269</v>
      </c>
      <c r="O356">
        <v>666.92909869802668</v>
      </c>
      <c r="P356">
        <v>599.02</v>
      </c>
      <c r="Q356">
        <v>596.73559999999998</v>
      </c>
      <c r="R356" t="s">
        <v>37</v>
      </c>
      <c r="S356" t="s">
        <v>38</v>
      </c>
      <c r="T356" t="s">
        <v>38</v>
      </c>
      <c r="U356" t="s">
        <v>39</v>
      </c>
      <c r="W356" t="s">
        <v>40</v>
      </c>
    </row>
    <row r="357" spans="1:23" x14ac:dyDescent="0.3">
      <c r="A357" t="s">
        <v>23</v>
      </c>
      <c r="B357" t="s">
        <v>2270</v>
      </c>
      <c r="C357" t="s">
        <v>2271</v>
      </c>
      <c r="D357" t="s">
        <v>43</v>
      </c>
      <c r="E357" t="s">
        <v>44</v>
      </c>
      <c r="F357" t="s">
        <v>28</v>
      </c>
      <c r="G357" t="s">
        <v>45</v>
      </c>
      <c r="H357" t="s">
        <v>2272</v>
      </c>
      <c r="I357" t="s">
        <v>162</v>
      </c>
      <c r="J357" t="s">
        <v>32</v>
      </c>
      <c r="K357" t="s">
        <v>33</v>
      </c>
      <c r="L357" t="s">
        <v>2273</v>
      </c>
      <c r="M357" t="s">
        <v>2274</v>
      </c>
      <c r="N357" t="s">
        <v>2275</v>
      </c>
      <c r="O357">
        <v>1833.36548432779</v>
      </c>
      <c r="P357">
        <v>1890.59</v>
      </c>
      <c r="Q357">
        <v>843.35879999999997</v>
      </c>
      <c r="R357" t="s">
        <v>37</v>
      </c>
      <c r="S357" t="s">
        <v>38</v>
      </c>
      <c r="T357" t="s">
        <v>51</v>
      </c>
      <c r="U357" t="s">
        <v>52</v>
      </c>
      <c r="V357" t="s">
        <v>53</v>
      </c>
      <c r="W357" t="s">
        <v>54</v>
      </c>
    </row>
    <row r="358" spans="1:23" x14ac:dyDescent="0.3">
      <c r="A358" t="s">
        <v>23</v>
      </c>
      <c r="B358" t="s">
        <v>2276</v>
      </c>
      <c r="C358" t="s">
        <v>2277</v>
      </c>
      <c r="D358" t="s">
        <v>563</v>
      </c>
      <c r="E358" t="s">
        <v>44</v>
      </c>
      <c r="F358" t="s">
        <v>28</v>
      </c>
      <c r="G358" t="s">
        <v>137</v>
      </c>
      <c r="H358" t="s">
        <v>2278</v>
      </c>
      <c r="I358" t="s">
        <v>62</v>
      </c>
      <c r="J358" t="s">
        <v>32</v>
      </c>
      <c r="K358" t="s">
        <v>33</v>
      </c>
      <c r="L358" t="s">
        <v>2279</v>
      </c>
      <c r="M358" t="s">
        <v>2280</v>
      </c>
      <c r="N358" t="s">
        <v>2281</v>
      </c>
      <c r="O358">
        <v>8517.6863506128648</v>
      </c>
      <c r="P358">
        <v>8440.9699999999993</v>
      </c>
      <c r="Q358">
        <v>8409.3819999999996</v>
      </c>
      <c r="R358" t="s">
        <v>37</v>
      </c>
      <c r="S358" t="s">
        <v>38</v>
      </c>
      <c r="T358" t="s">
        <v>38</v>
      </c>
      <c r="U358" t="s">
        <v>39</v>
      </c>
      <c r="W358" t="s">
        <v>40</v>
      </c>
    </row>
    <row r="359" spans="1:23" x14ac:dyDescent="0.3">
      <c r="A359" t="s">
        <v>23</v>
      </c>
      <c r="B359" t="s">
        <v>2282</v>
      </c>
      <c r="C359" t="s">
        <v>2283</v>
      </c>
      <c r="D359" t="s">
        <v>563</v>
      </c>
      <c r="E359" t="s">
        <v>44</v>
      </c>
      <c r="F359" t="s">
        <v>28</v>
      </c>
      <c r="G359" t="s">
        <v>137</v>
      </c>
      <c r="H359" t="s">
        <v>2284</v>
      </c>
      <c r="I359" t="s">
        <v>62</v>
      </c>
      <c r="J359" t="s">
        <v>683</v>
      </c>
      <c r="K359" t="s">
        <v>33</v>
      </c>
      <c r="L359" t="s">
        <v>2285</v>
      </c>
      <c r="M359" t="s">
        <v>2286</v>
      </c>
      <c r="N359" t="s">
        <v>2287</v>
      </c>
      <c r="O359">
        <v>7918.6127432198527</v>
      </c>
      <c r="P359">
        <v>7910.83</v>
      </c>
      <c r="Q359">
        <v>7905.8220000000001</v>
      </c>
      <c r="R359" t="s">
        <v>125</v>
      </c>
      <c r="S359" t="s">
        <v>38</v>
      </c>
      <c r="T359" t="s">
        <v>38</v>
      </c>
      <c r="U359" t="s">
        <v>39</v>
      </c>
      <c r="W359" t="s">
        <v>40</v>
      </c>
    </row>
    <row r="360" spans="1:23" x14ac:dyDescent="0.3">
      <c r="A360" t="s">
        <v>23</v>
      </c>
      <c r="B360" t="s">
        <v>2288</v>
      </c>
      <c r="C360" t="s">
        <v>2289</v>
      </c>
      <c r="D360" t="s">
        <v>563</v>
      </c>
      <c r="E360" t="s">
        <v>44</v>
      </c>
      <c r="F360" t="s">
        <v>28</v>
      </c>
      <c r="G360" t="s">
        <v>137</v>
      </c>
      <c r="H360" t="s">
        <v>2290</v>
      </c>
      <c r="I360" t="s">
        <v>337</v>
      </c>
      <c r="J360" t="s">
        <v>32</v>
      </c>
      <c r="K360" t="s">
        <v>33</v>
      </c>
      <c r="L360" t="s">
        <v>1871</v>
      </c>
      <c r="M360" t="s">
        <v>2291</v>
      </c>
      <c r="N360" t="s">
        <v>2292</v>
      </c>
      <c r="O360">
        <v>4206.5685471324614</v>
      </c>
      <c r="P360">
        <v>1895.12</v>
      </c>
      <c r="Q360">
        <v>3227.3371999999999</v>
      </c>
      <c r="R360" t="s">
        <v>75</v>
      </c>
      <c r="S360" t="s">
        <v>38</v>
      </c>
      <c r="T360" t="s">
        <v>38</v>
      </c>
      <c r="U360" t="s">
        <v>39</v>
      </c>
      <c r="W360" t="s">
        <v>40</v>
      </c>
    </row>
    <row r="361" spans="1:23" x14ac:dyDescent="0.3">
      <c r="A361" t="s">
        <v>23</v>
      </c>
      <c r="B361" t="s">
        <v>2293</v>
      </c>
      <c r="C361" t="s">
        <v>2294</v>
      </c>
      <c r="D361" t="s">
        <v>563</v>
      </c>
      <c r="E361" t="s">
        <v>44</v>
      </c>
      <c r="F361" t="s">
        <v>28</v>
      </c>
      <c r="G361" t="s">
        <v>137</v>
      </c>
      <c r="H361" t="s">
        <v>2295</v>
      </c>
      <c r="I361" t="s">
        <v>337</v>
      </c>
      <c r="J361" t="s">
        <v>32</v>
      </c>
      <c r="K361" t="s">
        <v>33</v>
      </c>
      <c r="L361" t="s">
        <v>2296</v>
      </c>
      <c r="M361" t="s">
        <v>2297</v>
      </c>
      <c r="N361" t="s">
        <v>2298</v>
      </c>
      <c r="O361">
        <v>1366.935191595483</v>
      </c>
      <c r="P361">
        <v>988.82</v>
      </c>
      <c r="Q361">
        <v>576.26440000000002</v>
      </c>
      <c r="R361" t="s">
        <v>37</v>
      </c>
      <c r="S361" t="s">
        <v>76</v>
      </c>
      <c r="T361" t="s">
        <v>76</v>
      </c>
      <c r="U361" t="s">
        <v>261</v>
      </c>
      <c r="V361" t="s">
        <v>262</v>
      </c>
      <c r="W361" t="s">
        <v>40</v>
      </c>
    </row>
    <row r="362" spans="1:23" x14ac:dyDescent="0.3">
      <c r="A362" t="s">
        <v>23</v>
      </c>
      <c r="B362" t="s">
        <v>2299</v>
      </c>
      <c r="C362" t="s">
        <v>2300</v>
      </c>
      <c r="D362" t="s">
        <v>563</v>
      </c>
      <c r="E362" t="s">
        <v>44</v>
      </c>
      <c r="F362" t="s">
        <v>28</v>
      </c>
      <c r="G362" t="s">
        <v>137</v>
      </c>
      <c r="H362" t="s">
        <v>2301</v>
      </c>
      <c r="I362" t="s">
        <v>2302</v>
      </c>
      <c r="J362" t="s">
        <v>32</v>
      </c>
      <c r="K362" t="s">
        <v>33</v>
      </c>
      <c r="L362" t="s">
        <v>2303</v>
      </c>
      <c r="M362" t="s">
        <v>2304</v>
      </c>
      <c r="N362" t="s">
        <v>2305</v>
      </c>
      <c r="O362">
        <v>16649.887329977741</v>
      </c>
      <c r="P362">
        <v>14207.65</v>
      </c>
      <c r="Q362">
        <v>12455.302</v>
      </c>
      <c r="R362" t="s">
        <v>37</v>
      </c>
      <c r="S362" t="s">
        <v>38</v>
      </c>
      <c r="T362" t="s">
        <v>38</v>
      </c>
      <c r="U362" t="s">
        <v>39</v>
      </c>
      <c r="W362" t="s">
        <v>40</v>
      </c>
    </row>
    <row r="363" spans="1:23" x14ac:dyDescent="0.3">
      <c r="A363" t="s">
        <v>23</v>
      </c>
      <c r="B363" t="s">
        <v>2306</v>
      </c>
      <c r="C363" t="s">
        <v>2307</v>
      </c>
      <c r="D363" t="s">
        <v>563</v>
      </c>
      <c r="E363" t="s">
        <v>44</v>
      </c>
      <c r="F363" t="s">
        <v>28</v>
      </c>
      <c r="G363" t="s">
        <v>137</v>
      </c>
      <c r="H363" t="s">
        <v>2308</v>
      </c>
      <c r="I363" t="s">
        <v>2302</v>
      </c>
      <c r="J363" t="s">
        <v>32</v>
      </c>
      <c r="K363" t="s">
        <v>33</v>
      </c>
      <c r="M363" t="s">
        <v>2309</v>
      </c>
      <c r="N363" t="s">
        <v>2310</v>
      </c>
      <c r="O363">
        <v>5313.888892106349</v>
      </c>
      <c r="P363">
        <v>4102.01</v>
      </c>
      <c r="Q363">
        <v>4220.2731999999996</v>
      </c>
      <c r="R363" t="s">
        <v>75</v>
      </c>
      <c r="S363" t="s">
        <v>38</v>
      </c>
      <c r="T363" t="s">
        <v>38</v>
      </c>
      <c r="U363" t="s">
        <v>39</v>
      </c>
      <c r="W363" t="s">
        <v>40</v>
      </c>
    </row>
    <row r="364" spans="1:23" x14ac:dyDescent="0.3">
      <c r="A364" t="s">
        <v>23</v>
      </c>
      <c r="B364" t="s">
        <v>2311</v>
      </c>
      <c r="C364" t="s">
        <v>2312</v>
      </c>
      <c r="D364" t="s">
        <v>563</v>
      </c>
      <c r="E364" t="s">
        <v>44</v>
      </c>
      <c r="F364" t="s">
        <v>28</v>
      </c>
      <c r="G364" t="s">
        <v>137</v>
      </c>
      <c r="H364" t="s">
        <v>2313</v>
      </c>
      <c r="I364" t="s">
        <v>1033</v>
      </c>
      <c r="J364" t="s">
        <v>32</v>
      </c>
      <c r="K364" t="s">
        <v>33</v>
      </c>
      <c r="L364" t="s">
        <v>2314</v>
      </c>
      <c r="M364" t="s">
        <v>2315</v>
      </c>
      <c r="N364" t="s">
        <v>2316</v>
      </c>
      <c r="O364">
        <v>13360.547087113961</v>
      </c>
      <c r="P364">
        <v>15096.22</v>
      </c>
      <c r="Q364">
        <v>13112.5744</v>
      </c>
      <c r="R364" t="s">
        <v>75</v>
      </c>
      <c r="S364" t="s">
        <v>38</v>
      </c>
      <c r="T364" t="s">
        <v>38</v>
      </c>
      <c r="U364" t="s">
        <v>39</v>
      </c>
      <c r="W364" t="s">
        <v>40</v>
      </c>
    </row>
    <row r="365" spans="1:23" x14ac:dyDescent="0.3">
      <c r="A365" t="s">
        <v>23</v>
      </c>
      <c r="B365" t="s">
        <v>2317</v>
      </c>
      <c r="C365" t="s">
        <v>2318</v>
      </c>
      <c r="D365" t="s">
        <v>681</v>
      </c>
      <c r="E365" t="s">
        <v>44</v>
      </c>
      <c r="F365" t="s">
        <v>28</v>
      </c>
      <c r="G365" t="s">
        <v>137</v>
      </c>
      <c r="H365" t="s">
        <v>2319</v>
      </c>
      <c r="I365" t="s">
        <v>62</v>
      </c>
      <c r="J365" t="s">
        <v>683</v>
      </c>
      <c r="K365" t="s">
        <v>33</v>
      </c>
      <c r="L365" t="s">
        <v>2320</v>
      </c>
      <c r="M365" t="s">
        <v>2321</v>
      </c>
      <c r="N365" t="s">
        <v>2322</v>
      </c>
      <c r="O365">
        <v>2242.3487701748768</v>
      </c>
      <c r="P365">
        <v>2241.81</v>
      </c>
      <c r="Q365">
        <v>2239.5108</v>
      </c>
      <c r="R365" t="s">
        <v>67</v>
      </c>
      <c r="S365" t="s">
        <v>38</v>
      </c>
      <c r="T365" t="s">
        <v>38</v>
      </c>
      <c r="U365" t="s">
        <v>39</v>
      </c>
      <c r="W365" t="s">
        <v>40</v>
      </c>
    </row>
    <row r="366" spans="1:23" x14ac:dyDescent="0.3">
      <c r="A366" t="s">
        <v>23</v>
      </c>
      <c r="B366" t="s">
        <v>2323</v>
      </c>
      <c r="C366" t="s">
        <v>2324</v>
      </c>
      <c r="D366" t="s">
        <v>681</v>
      </c>
      <c r="E366" t="s">
        <v>44</v>
      </c>
      <c r="F366" t="s">
        <v>28</v>
      </c>
      <c r="G366" t="s">
        <v>137</v>
      </c>
      <c r="H366" t="s">
        <v>2325</v>
      </c>
      <c r="I366" t="s">
        <v>62</v>
      </c>
      <c r="J366" t="s">
        <v>683</v>
      </c>
      <c r="K366" t="s">
        <v>33</v>
      </c>
      <c r="M366" t="s">
        <v>2326</v>
      </c>
      <c r="N366" t="s">
        <v>2327</v>
      </c>
      <c r="O366">
        <v>2898.0542674985641</v>
      </c>
      <c r="P366">
        <v>2897.94</v>
      </c>
      <c r="Q366">
        <v>2898.12</v>
      </c>
      <c r="R366" t="s">
        <v>67</v>
      </c>
      <c r="S366" t="s">
        <v>38</v>
      </c>
      <c r="T366" t="s">
        <v>38</v>
      </c>
      <c r="U366" t="s">
        <v>39</v>
      </c>
      <c r="W366" t="s">
        <v>40</v>
      </c>
    </row>
    <row r="367" spans="1:23" x14ac:dyDescent="0.3">
      <c r="A367" t="s">
        <v>23</v>
      </c>
      <c r="B367" t="s">
        <v>2328</v>
      </c>
      <c r="C367" t="s">
        <v>2329</v>
      </c>
      <c r="D367" t="s">
        <v>247</v>
      </c>
      <c r="E367" t="s">
        <v>44</v>
      </c>
      <c r="F367" t="s">
        <v>28</v>
      </c>
      <c r="G367" t="s">
        <v>45</v>
      </c>
      <c r="H367" t="s">
        <v>2330</v>
      </c>
      <c r="I367" t="s">
        <v>147</v>
      </c>
      <c r="J367" t="s">
        <v>250</v>
      </c>
      <c r="K367" t="s">
        <v>33</v>
      </c>
      <c r="L367" t="s">
        <v>2331</v>
      </c>
      <c r="M367" t="s">
        <v>2332</v>
      </c>
      <c r="N367" t="s">
        <v>2333</v>
      </c>
      <c r="O367">
        <v>1645.1193611903291</v>
      </c>
      <c r="P367">
        <v>663.18</v>
      </c>
      <c r="Q367">
        <v>648.52919999999995</v>
      </c>
      <c r="R367" t="s">
        <v>125</v>
      </c>
      <c r="S367" t="s">
        <v>51</v>
      </c>
      <c r="T367" t="s">
        <v>51</v>
      </c>
      <c r="U367" t="s">
        <v>143</v>
      </c>
      <c r="V367" t="s">
        <v>53</v>
      </c>
      <c r="W367" t="s">
        <v>40</v>
      </c>
    </row>
    <row r="368" spans="1:23" x14ac:dyDescent="0.3">
      <c r="A368" t="s">
        <v>23</v>
      </c>
      <c r="B368" t="s">
        <v>2334</v>
      </c>
      <c r="C368" t="s">
        <v>2335</v>
      </c>
      <c r="D368" t="s">
        <v>247</v>
      </c>
      <c r="E368" t="s">
        <v>44</v>
      </c>
      <c r="F368" t="s">
        <v>28</v>
      </c>
      <c r="G368" t="s">
        <v>137</v>
      </c>
      <c r="H368" t="s">
        <v>2336</v>
      </c>
      <c r="I368" t="s">
        <v>147</v>
      </c>
      <c r="J368" t="s">
        <v>250</v>
      </c>
      <c r="K368" t="s">
        <v>33</v>
      </c>
      <c r="L368" t="s">
        <v>2337</v>
      </c>
      <c r="M368" t="s">
        <v>2338</v>
      </c>
      <c r="N368" t="s">
        <v>2339</v>
      </c>
      <c r="O368">
        <v>335.10006990084099</v>
      </c>
      <c r="P368">
        <v>272.05</v>
      </c>
      <c r="Q368">
        <v>268.62560000000002</v>
      </c>
      <c r="R368" t="s">
        <v>67</v>
      </c>
      <c r="S368" t="s">
        <v>38</v>
      </c>
      <c r="T368" t="s">
        <v>38</v>
      </c>
      <c r="U368" t="s">
        <v>39</v>
      </c>
      <c r="W368" t="s">
        <v>40</v>
      </c>
    </row>
    <row r="369" spans="1:23" x14ac:dyDescent="0.3">
      <c r="A369" t="s">
        <v>23</v>
      </c>
      <c r="B369" t="s">
        <v>2340</v>
      </c>
      <c r="C369" t="s">
        <v>2341</v>
      </c>
      <c r="D369" t="s">
        <v>136</v>
      </c>
      <c r="E369" t="s">
        <v>112</v>
      </c>
      <c r="F369" t="s">
        <v>91</v>
      </c>
      <c r="G369" t="s">
        <v>92</v>
      </c>
      <c r="H369" t="s">
        <v>2342</v>
      </c>
      <c r="I369" t="s">
        <v>102</v>
      </c>
      <c r="J369" t="s">
        <v>32</v>
      </c>
      <c r="K369" t="s">
        <v>33</v>
      </c>
      <c r="L369" t="s">
        <v>2343</v>
      </c>
      <c r="M369" t="s">
        <v>2344</v>
      </c>
      <c r="N369" t="s">
        <v>2345</v>
      </c>
      <c r="O369">
        <v>350.8098427316649</v>
      </c>
      <c r="P369">
        <v>118.72</v>
      </c>
      <c r="Q369">
        <v>116.18640000000001</v>
      </c>
      <c r="R369" t="s">
        <v>75</v>
      </c>
      <c r="S369" t="s">
        <v>51</v>
      </c>
      <c r="T369" t="s">
        <v>51</v>
      </c>
      <c r="U369" t="s">
        <v>143</v>
      </c>
      <c r="V369" t="s">
        <v>811</v>
      </c>
      <c r="W369" t="s">
        <v>40</v>
      </c>
    </row>
    <row r="370" spans="1:23" x14ac:dyDescent="0.3">
      <c r="A370" t="s">
        <v>23</v>
      </c>
      <c r="B370" t="s">
        <v>2346</v>
      </c>
      <c r="C370" t="s">
        <v>2347</v>
      </c>
      <c r="D370" t="s">
        <v>136</v>
      </c>
      <c r="E370" t="s">
        <v>112</v>
      </c>
      <c r="F370" t="s">
        <v>59</v>
      </c>
      <c r="G370" t="s">
        <v>113</v>
      </c>
      <c r="H370" t="s">
        <v>2348</v>
      </c>
      <c r="I370" t="s">
        <v>31</v>
      </c>
      <c r="J370" t="s">
        <v>32</v>
      </c>
      <c r="K370" t="s">
        <v>33</v>
      </c>
      <c r="L370" t="s">
        <v>2349</v>
      </c>
      <c r="M370" t="s">
        <v>2350</v>
      </c>
      <c r="N370" t="s">
        <v>2351</v>
      </c>
      <c r="O370">
        <v>1787.326662165525</v>
      </c>
      <c r="P370">
        <v>1257.51</v>
      </c>
      <c r="Q370">
        <v>1248.2552000000001</v>
      </c>
      <c r="R370" t="s">
        <v>37</v>
      </c>
      <c r="S370" t="s">
        <v>38</v>
      </c>
      <c r="T370" t="s">
        <v>38</v>
      </c>
      <c r="U370" t="s">
        <v>39</v>
      </c>
      <c r="W370" t="s">
        <v>40</v>
      </c>
    </row>
    <row r="371" spans="1:23" x14ac:dyDescent="0.3">
      <c r="A371" t="s">
        <v>23</v>
      </c>
      <c r="B371" t="s">
        <v>2352</v>
      </c>
      <c r="C371" t="s">
        <v>2353</v>
      </c>
      <c r="D371" t="s">
        <v>1026</v>
      </c>
      <c r="E371" t="s">
        <v>112</v>
      </c>
      <c r="F371" t="s">
        <v>921</v>
      </c>
      <c r="G371" t="s">
        <v>922</v>
      </c>
      <c r="H371" t="s">
        <v>2354</v>
      </c>
      <c r="I371" t="s">
        <v>62</v>
      </c>
      <c r="J371" t="s">
        <v>32</v>
      </c>
      <c r="K371" t="s">
        <v>33</v>
      </c>
      <c r="L371" t="s">
        <v>2355</v>
      </c>
      <c r="M371" t="s">
        <v>2356</v>
      </c>
      <c r="N371" t="s">
        <v>2357</v>
      </c>
      <c r="O371">
        <v>6.4353689366286408</v>
      </c>
      <c r="P371">
        <v>0.35</v>
      </c>
      <c r="Q371">
        <v>0.31559999999999999</v>
      </c>
      <c r="R371" t="s">
        <v>75</v>
      </c>
      <c r="S371" t="s">
        <v>106</v>
      </c>
      <c r="T371" t="s">
        <v>106</v>
      </c>
      <c r="U371" t="s">
        <v>133</v>
      </c>
      <c r="V371" t="s">
        <v>1748</v>
      </c>
      <c r="W371" t="s">
        <v>40</v>
      </c>
    </row>
    <row r="372" spans="1:23" x14ac:dyDescent="0.3">
      <c r="A372" t="s">
        <v>23</v>
      </c>
      <c r="B372" t="s">
        <v>2358</v>
      </c>
      <c r="C372" t="s">
        <v>2359</v>
      </c>
      <c r="D372" t="s">
        <v>111</v>
      </c>
      <c r="E372" t="s">
        <v>112</v>
      </c>
      <c r="F372" t="s">
        <v>59</v>
      </c>
      <c r="G372" t="s">
        <v>82</v>
      </c>
      <c r="H372" t="s">
        <v>2360</v>
      </c>
      <c r="I372" t="s">
        <v>121</v>
      </c>
      <c r="J372" t="s">
        <v>32</v>
      </c>
      <c r="K372" t="s">
        <v>33</v>
      </c>
      <c r="L372" t="s">
        <v>2361</v>
      </c>
      <c r="M372" t="s">
        <v>2362</v>
      </c>
      <c r="N372" t="s">
        <v>2363</v>
      </c>
      <c r="O372">
        <v>1363.843108800738</v>
      </c>
      <c r="P372">
        <v>1207.1500000000001</v>
      </c>
      <c r="Q372">
        <v>1200.0740000000001</v>
      </c>
      <c r="R372" t="s">
        <v>37</v>
      </c>
      <c r="S372" t="s">
        <v>38</v>
      </c>
      <c r="T372" t="s">
        <v>38</v>
      </c>
      <c r="U372" t="s">
        <v>39</v>
      </c>
      <c r="W372" t="s">
        <v>40</v>
      </c>
    </row>
    <row r="373" spans="1:23" x14ac:dyDescent="0.3">
      <c r="A373" t="s">
        <v>23</v>
      </c>
      <c r="B373" t="s">
        <v>2364</v>
      </c>
      <c r="C373" t="s">
        <v>2365</v>
      </c>
      <c r="D373" t="s">
        <v>616</v>
      </c>
      <c r="E373" t="s">
        <v>616</v>
      </c>
      <c r="F373" t="s">
        <v>28</v>
      </c>
      <c r="G373" t="s">
        <v>45</v>
      </c>
      <c r="H373" t="s">
        <v>2366</v>
      </c>
      <c r="I373" t="s">
        <v>147</v>
      </c>
      <c r="J373" t="s">
        <v>32</v>
      </c>
      <c r="K373" t="s">
        <v>33</v>
      </c>
      <c r="L373" t="s">
        <v>2367</v>
      </c>
      <c r="M373" t="s">
        <v>2368</v>
      </c>
      <c r="N373" t="s">
        <v>2369</v>
      </c>
      <c r="O373">
        <v>4141.7682964776577</v>
      </c>
      <c r="P373">
        <v>695.98</v>
      </c>
      <c r="Q373">
        <v>672.51840000000004</v>
      </c>
      <c r="R373" t="s">
        <v>75</v>
      </c>
      <c r="S373" t="s">
        <v>51</v>
      </c>
      <c r="T373" t="s">
        <v>51</v>
      </c>
      <c r="U373" t="s">
        <v>143</v>
      </c>
      <c r="V373" t="s">
        <v>236</v>
      </c>
      <c r="W373" t="s">
        <v>40</v>
      </c>
    </row>
    <row r="374" spans="1:23" x14ac:dyDescent="0.3">
      <c r="A374" t="s">
        <v>23</v>
      </c>
      <c r="B374" t="s">
        <v>2370</v>
      </c>
      <c r="C374" t="s">
        <v>2371</v>
      </c>
      <c r="D374" t="s">
        <v>656</v>
      </c>
      <c r="E374" t="s">
        <v>90</v>
      </c>
      <c r="F374" t="s">
        <v>91</v>
      </c>
      <c r="G374" t="s">
        <v>92</v>
      </c>
      <c r="H374" t="s">
        <v>2372</v>
      </c>
      <c r="I374" t="s">
        <v>102</v>
      </c>
      <c r="J374" t="s">
        <v>32</v>
      </c>
      <c r="K374" t="s">
        <v>33</v>
      </c>
      <c r="L374" t="s">
        <v>2373</v>
      </c>
      <c r="M374" t="s">
        <v>2374</v>
      </c>
      <c r="N374" t="s">
        <v>2375</v>
      </c>
      <c r="O374">
        <v>61.941978330649121</v>
      </c>
      <c r="P374">
        <v>55.06</v>
      </c>
      <c r="Q374">
        <v>54.065199999999997</v>
      </c>
      <c r="R374" t="s">
        <v>67</v>
      </c>
      <c r="S374" t="s">
        <v>38</v>
      </c>
      <c r="T374" t="s">
        <v>38</v>
      </c>
      <c r="U374" t="s">
        <v>39</v>
      </c>
      <c r="W374" t="s">
        <v>40</v>
      </c>
    </row>
    <row r="375" spans="1:23" x14ac:dyDescent="0.3">
      <c r="A375" t="s">
        <v>23</v>
      </c>
      <c r="B375" t="s">
        <v>2376</v>
      </c>
      <c r="C375" t="s">
        <v>2377</v>
      </c>
      <c r="D375" t="s">
        <v>89</v>
      </c>
      <c r="E375" t="s">
        <v>90</v>
      </c>
      <c r="F375" t="s">
        <v>91</v>
      </c>
      <c r="G375" t="s">
        <v>92</v>
      </c>
      <c r="H375" t="s">
        <v>2378</v>
      </c>
      <c r="I375" t="s">
        <v>94</v>
      </c>
      <c r="J375" t="s">
        <v>32</v>
      </c>
      <c r="K375" t="s">
        <v>33</v>
      </c>
      <c r="L375" t="s">
        <v>2379</v>
      </c>
      <c r="M375" t="s">
        <v>2380</v>
      </c>
      <c r="N375" t="s">
        <v>2381</v>
      </c>
      <c r="O375">
        <v>108.35981568683989</v>
      </c>
      <c r="P375">
        <v>96.24</v>
      </c>
      <c r="Q375">
        <v>95.790800000000004</v>
      </c>
      <c r="R375" t="s">
        <v>67</v>
      </c>
      <c r="S375" t="s">
        <v>38</v>
      </c>
      <c r="T375" t="s">
        <v>38</v>
      </c>
      <c r="U375" t="s">
        <v>39</v>
      </c>
      <c r="W375" t="s">
        <v>40</v>
      </c>
    </row>
    <row r="376" spans="1:23" x14ac:dyDescent="0.3">
      <c r="A376" t="s">
        <v>23</v>
      </c>
      <c r="B376" t="s">
        <v>2382</v>
      </c>
      <c r="C376" t="s">
        <v>2383</v>
      </c>
      <c r="D376" t="s">
        <v>89</v>
      </c>
      <c r="E376" t="s">
        <v>90</v>
      </c>
      <c r="F376" t="s">
        <v>91</v>
      </c>
      <c r="G376" t="s">
        <v>92</v>
      </c>
      <c r="H376" t="s">
        <v>2384</v>
      </c>
      <c r="I376" t="s">
        <v>102</v>
      </c>
      <c r="J376" t="s">
        <v>32</v>
      </c>
      <c r="K376" t="s">
        <v>33</v>
      </c>
      <c r="L376" t="s">
        <v>2385</v>
      </c>
      <c r="M376" t="s">
        <v>2386</v>
      </c>
      <c r="N376" t="s">
        <v>2387</v>
      </c>
      <c r="O376">
        <v>498.21152243894039</v>
      </c>
      <c r="P376">
        <v>182.97</v>
      </c>
      <c r="Q376">
        <v>177.68119999999999</v>
      </c>
      <c r="R376" t="s">
        <v>75</v>
      </c>
      <c r="S376" t="s">
        <v>106</v>
      </c>
      <c r="T376" t="s">
        <v>106</v>
      </c>
      <c r="U376" t="s">
        <v>133</v>
      </c>
      <c r="V376" t="s">
        <v>811</v>
      </c>
      <c r="W376" t="s">
        <v>40</v>
      </c>
    </row>
    <row r="377" spans="1:23" x14ac:dyDescent="0.3">
      <c r="A377" t="s">
        <v>23</v>
      </c>
      <c r="B377" t="s">
        <v>2388</v>
      </c>
      <c r="C377" t="s">
        <v>2389</v>
      </c>
      <c r="D377" t="s">
        <v>175</v>
      </c>
      <c r="E377" t="s">
        <v>90</v>
      </c>
      <c r="F377" t="s">
        <v>91</v>
      </c>
      <c r="G377" t="s">
        <v>92</v>
      </c>
      <c r="H377" t="s">
        <v>2390</v>
      </c>
      <c r="I377" t="s">
        <v>102</v>
      </c>
      <c r="J377" t="s">
        <v>32</v>
      </c>
      <c r="K377" t="s">
        <v>33</v>
      </c>
      <c r="L377" t="s">
        <v>2391</v>
      </c>
      <c r="M377" t="s">
        <v>2392</v>
      </c>
      <c r="N377" t="s">
        <v>2393</v>
      </c>
      <c r="O377">
        <v>332.58934438669888</v>
      </c>
      <c r="P377">
        <v>331.03</v>
      </c>
      <c r="Q377">
        <v>330.90480000000002</v>
      </c>
      <c r="R377" t="s">
        <v>67</v>
      </c>
      <c r="S377" t="s">
        <v>38</v>
      </c>
      <c r="T377" t="s">
        <v>38</v>
      </c>
      <c r="U377" t="s">
        <v>39</v>
      </c>
      <c r="W377" t="s">
        <v>40</v>
      </c>
    </row>
    <row r="378" spans="1:23" x14ac:dyDescent="0.3">
      <c r="A378" t="s">
        <v>23</v>
      </c>
      <c r="B378" t="s">
        <v>2394</v>
      </c>
      <c r="C378" t="s">
        <v>2395</v>
      </c>
      <c r="D378" t="s">
        <v>89</v>
      </c>
      <c r="E378" t="s">
        <v>90</v>
      </c>
      <c r="F378" t="s">
        <v>91</v>
      </c>
      <c r="G378" t="s">
        <v>92</v>
      </c>
      <c r="H378" t="s">
        <v>2396</v>
      </c>
      <c r="I378" t="s">
        <v>94</v>
      </c>
      <c r="J378" t="s">
        <v>32</v>
      </c>
      <c r="K378" t="s">
        <v>33</v>
      </c>
      <c r="M378" t="s">
        <v>2397</v>
      </c>
      <c r="N378" t="s">
        <v>2398</v>
      </c>
      <c r="O378">
        <v>4052.1694754771761</v>
      </c>
      <c r="P378">
        <v>3707.98</v>
      </c>
      <c r="Q378">
        <v>3696.4011999999998</v>
      </c>
      <c r="R378" t="s">
        <v>67</v>
      </c>
      <c r="S378" t="s">
        <v>38</v>
      </c>
      <c r="T378" t="s">
        <v>38</v>
      </c>
      <c r="U378" t="s">
        <v>39</v>
      </c>
      <c r="W378" t="s">
        <v>40</v>
      </c>
    </row>
    <row r="379" spans="1:23" x14ac:dyDescent="0.3">
      <c r="A379" t="s">
        <v>23</v>
      </c>
      <c r="B379" t="s">
        <v>2399</v>
      </c>
      <c r="C379" t="s">
        <v>2400</v>
      </c>
      <c r="D379" t="s">
        <v>89</v>
      </c>
      <c r="E379" t="s">
        <v>90</v>
      </c>
      <c r="F379" t="s">
        <v>91</v>
      </c>
      <c r="G379" t="s">
        <v>92</v>
      </c>
      <c r="H379" t="s">
        <v>2401</v>
      </c>
      <c r="I379" t="s">
        <v>139</v>
      </c>
      <c r="J379" t="s">
        <v>32</v>
      </c>
      <c r="K379" t="s">
        <v>33</v>
      </c>
      <c r="L379" t="s">
        <v>2402</v>
      </c>
      <c r="M379" t="s">
        <v>2403</v>
      </c>
      <c r="N379" t="s">
        <v>2404</v>
      </c>
      <c r="O379">
        <v>334.19310826296402</v>
      </c>
      <c r="P379">
        <v>139.93</v>
      </c>
      <c r="Q379">
        <v>131.702</v>
      </c>
      <c r="R379" t="s">
        <v>37</v>
      </c>
      <c r="S379" t="s">
        <v>106</v>
      </c>
      <c r="T379" t="s">
        <v>106</v>
      </c>
      <c r="U379" t="s">
        <v>133</v>
      </c>
      <c r="V379" t="s">
        <v>504</v>
      </c>
      <c r="W379" t="s">
        <v>40</v>
      </c>
    </row>
    <row r="380" spans="1:23" x14ac:dyDescent="0.3">
      <c r="A380" t="s">
        <v>23</v>
      </c>
      <c r="B380" t="s">
        <v>2405</v>
      </c>
      <c r="C380" t="s">
        <v>2406</v>
      </c>
      <c r="D380" t="s">
        <v>481</v>
      </c>
      <c r="E380" t="s">
        <v>90</v>
      </c>
      <c r="F380" t="s">
        <v>91</v>
      </c>
      <c r="G380" t="s">
        <v>92</v>
      </c>
      <c r="H380" t="s">
        <v>2407</v>
      </c>
      <c r="I380" t="s">
        <v>102</v>
      </c>
      <c r="J380" t="s">
        <v>32</v>
      </c>
      <c r="K380" t="s">
        <v>33</v>
      </c>
      <c r="L380" t="s">
        <v>2408</v>
      </c>
      <c r="M380" t="s">
        <v>2409</v>
      </c>
      <c r="N380" t="s">
        <v>2410</v>
      </c>
      <c r="O380">
        <v>1193.651252958452</v>
      </c>
      <c r="P380">
        <v>159.22999999999999</v>
      </c>
      <c r="Q380">
        <v>153.0608</v>
      </c>
      <c r="R380" t="s">
        <v>75</v>
      </c>
      <c r="S380" t="s">
        <v>106</v>
      </c>
      <c r="T380" t="s">
        <v>106</v>
      </c>
      <c r="U380" t="s">
        <v>133</v>
      </c>
      <c r="V380" t="s">
        <v>504</v>
      </c>
      <c r="W380" t="s">
        <v>40</v>
      </c>
    </row>
    <row r="381" spans="1:23" x14ac:dyDescent="0.3">
      <c r="A381" t="s">
        <v>23</v>
      </c>
      <c r="B381" t="s">
        <v>2411</v>
      </c>
      <c r="C381" t="s">
        <v>2412</v>
      </c>
      <c r="D381" t="s">
        <v>481</v>
      </c>
      <c r="E381" t="s">
        <v>90</v>
      </c>
      <c r="F381" t="s">
        <v>91</v>
      </c>
      <c r="G381" t="s">
        <v>92</v>
      </c>
      <c r="H381" t="s">
        <v>2413</v>
      </c>
      <c r="I381" t="s">
        <v>102</v>
      </c>
      <c r="J381" t="s">
        <v>32</v>
      </c>
      <c r="K381" t="s">
        <v>33</v>
      </c>
      <c r="L381" t="s">
        <v>2414</v>
      </c>
      <c r="M381" t="s">
        <v>2415</v>
      </c>
      <c r="N381" t="s">
        <v>2416</v>
      </c>
      <c r="O381">
        <v>2027.4981825987561</v>
      </c>
      <c r="P381">
        <v>204.23</v>
      </c>
      <c r="Q381">
        <v>195.70840000000001</v>
      </c>
      <c r="R381" t="s">
        <v>75</v>
      </c>
      <c r="S381" t="s">
        <v>106</v>
      </c>
      <c r="T381" t="s">
        <v>106</v>
      </c>
      <c r="U381" t="s">
        <v>133</v>
      </c>
      <c r="V381" t="s">
        <v>262</v>
      </c>
      <c r="W381" t="s">
        <v>40</v>
      </c>
    </row>
    <row r="382" spans="1:23" x14ac:dyDescent="0.3">
      <c r="A382" t="s">
        <v>23</v>
      </c>
      <c r="B382" t="s">
        <v>2417</v>
      </c>
      <c r="C382" t="s">
        <v>2418</v>
      </c>
      <c r="D382" t="s">
        <v>695</v>
      </c>
      <c r="E382" t="s">
        <v>90</v>
      </c>
      <c r="F382" t="s">
        <v>91</v>
      </c>
      <c r="G382" t="s">
        <v>92</v>
      </c>
      <c r="H382" t="s">
        <v>2419</v>
      </c>
      <c r="I382" t="s">
        <v>102</v>
      </c>
      <c r="J382" t="s">
        <v>32</v>
      </c>
      <c r="K382" t="s">
        <v>33</v>
      </c>
      <c r="M382" t="s">
        <v>2420</v>
      </c>
      <c r="N382" t="s">
        <v>2421</v>
      </c>
      <c r="O382">
        <v>1643.37729928472</v>
      </c>
      <c r="P382">
        <v>594.11</v>
      </c>
      <c r="Q382">
        <v>580.77</v>
      </c>
      <c r="R382" t="s">
        <v>37</v>
      </c>
      <c r="S382" t="s">
        <v>51</v>
      </c>
      <c r="T382" t="s">
        <v>51</v>
      </c>
      <c r="U382" t="s">
        <v>143</v>
      </c>
      <c r="V382" t="s">
        <v>504</v>
      </c>
      <c r="W382" t="s">
        <v>40</v>
      </c>
    </row>
    <row r="383" spans="1:23" x14ac:dyDescent="0.3">
      <c r="A383" t="s">
        <v>23</v>
      </c>
      <c r="B383" t="s">
        <v>2422</v>
      </c>
      <c r="C383" t="s">
        <v>2423</v>
      </c>
      <c r="D383" t="s">
        <v>695</v>
      </c>
      <c r="E383" t="s">
        <v>90</v>
      </c>
      <c r="F383" t="s">
        <v>91</v>
      </c>
      <c r="G383" t="s">
        <v>92</v>
      </c>
      <c r="H383" t="s">
        <v>2424</v>
      </c>
      <c r="I383" t="s">
        <v>102</v>
      </c>
      <c r="J383" t="s">
        <v>32</v>
      </c>
      <c r="K383" t="s">
        <v>33</v>
      </c>
      <c r="L383" t="s">
        <v>2425</v>
      </c>
      <c r="M383" t="s">
        <v>2426</v>
      </c>
      <c r="N383" t="s">
        <v>2427</v>
      </c>
      <c r="O383">
        <v>61.578204347325922</v>
      </c>
      <c r="P383">
        <v>49.84</v>
      </c>
      <c r="Q383">
        <v>49.477200000000003</v>
      </c>
      <c r="R383" t="s">
        <v>125</v>
      </c>
      <c r="S383" t="s">
        <v>106</v>
      </c>
      <c r="T383" t="s">
        <v>106</v>
      </c>
      <c r="U383" t="s">
        <v>133</v>
      </c>
      <c r="V383" t="s">
        <v>108</v>
      </c>
      <c r="W383" t="s">
        <v>40</v>
      </c>
    </row>
    <row r="384" spans="1:23" x14ac:dyDescent="0.3">
      <c r="A384" t="s">
        <v>23</v>
      </c>
      <c r="B384" t="s">
        <v>2428</v>
      </c>
      <c r="C384" t="s">
        <v>2429</v>
      </c>
      <c r="D384" t="s">
        <v>1347</v>
      </c>
      <c r="E384" t="s">
        <v>90</v>
      </c>
      <c r="F384" t="s">
        <v>91</v>
      </c>
      <c r="G384" t="s">
        <v>92</v>
      </c>
      <c r="H384" t="s">
        <v>2430</v>
      </c>
      <c r="I384" t="s">
        <v>102</v>
      </c>
      <c r="J384" t="s">
        <v>32</v>
      </c>
      <c r="K384" t="s">
        <v>33</v>
      </c>
      <c r="L384" t="s">
        <v>2431</v>
      </c>
      <c r="M384" t="s">
        <v>2432</v>
      </c>
      <c r="N384" t="s">
        <v>2433</v>
      </c>
      <c r="O384">
        <v>27.995419922757119</v>
      </c>
      <c r="P384">
        <v>12.63</v>
      </c>
      <c r="Q384">
        <v>12.378</v>
      </c>
      <c r="R384" t="s">
        <v>75</v>
      </c>
      <c r="S384" t="s">
        <v>106</v>
      </c>
      <c r="T384" t="s">
        <v>106</v>
      </c>
      <c r="U384" t="s">
        <v>133</v>
      </c>
      <c r="V384" t="s">
        <v>2434</v>
      </c>
      <c r="W384" t="s">
        <v>40</v>
      </c>
    </row>
    <row r="385" spans="1:23" x14ac:dyDescent="0.3">
      <c r="A385" t="s">
        <v>23</v>
      </c>
      <c r="B385" t="s">
        <v>2435</v>
      </c>
      <c r="C385" t="s">
        <v>2436</v>
      </c>
      <c r="D385" t="s">
        <v>182</v>
      </c>
      <c r="E385" t="s">
        <v>27</v>
      </c>
      <c r="F385" t="s">
        <v>28</v>
      </c>
      <c r="G385" t="s">
        <v>29</v>
      </c>
      <c r="H385" t="s">
        <v>2437</v>
      </c>
      <c r="I385" t="s">
        <v>72</v>
      </c>
      <c r="J385" t="s">
        <v>32</v>
      </c>
      <c r="K385" t="s">
        <v>33</v>
      </c>
      <c r="L385" t="s">
        <v>2438</v>
      </c>
      <c r="M385" t="s">
        <v>2439</v>
      </c>
      <c r="N385" t="s">
        <v>2440</v>
      </c>
      <c r="O385">
        <v>6646.1076641180616</v>
      </c>
      <c r="P385">
        <v>6014.89</v>
      </c>
      <c r="Q385">
        <v>5993.6872000000003</v>
      </c>
      <c r="R385" t="s">
        <v>37</v>
      </c>
      <c r="S385" t="s">
        <v>38</v>
      </c>
      <c r="T385" t="s">
        <v>38</v>
      </c>
      <c r="U385" t="s">
        <v>39</v>
      </c>
      <c r="W385" t="s">
        <v>40</v>
      </c>
    </row>
    <row r="386" spans="1:23" x14ac:dyDescent="0.3">
      <c r="A386" t="s">
        <v>23</v>
      </c>
      <c r="B386" t="s">
        <v>2441</v>
      </c>
      <c r="C386" t="s">
        <v>2442</v>
      </c>
      <c r="D386" t="s">
        <v>26</v>
      </c>
      <c r="E386" t="s">
        <v>27</v>
      </c>
      <c r="F386" t="s">
        <v>28</v>
      </c>
      <c r="G386" t="s">
        <v>29</v>
      </c>
      <c r="H386" t="s">
        <v>2443</v>
      </c>
      <c r="I386" t="s">
        <v>129</v>
      </c>
      <c r="J386" t="s">
        <v>32</v>
      </c>
      <c r="K386" t="s">
        <v>33</v>
      </c>
      <c r="L386" t="s">
        <v>2444</v>
      </c>
      <c r="M386" t="s">
        <v>2445</v>
      </c>
      <c r="N386" t="s">
        <v>2446</v>
      </c>
      <c r="O386">
        <v>25965.641726160011</v>
      </c>
      <c r="P386">
        <v>6331.64</v>
      </c>
      <c r="Q386">
        <v>5813.0068000000001</v>
      </c>
      <c r="R386" t="s">
        <v>75</v>
      </c>
      <c r="S386" t="s">
        <v>51</v>
      </c>
      <c r="T386" t="s">
        <v>51</v>
      </c>
      <c r="U386" t="s">
        <v>143</v>
      </c>
      <c r="V386" t="s">
        <v>262</v>
      </c>
      <c r="W386" t="s">
        <v>40</v>
      </c>
    </row>
    <row r="387" spans="1:23" x14ac:dyDescent="0.3">
      <c r="A387" t="s">
        <v>23</v>
      </c>
      <c r="B387" t="s">
        <v>2447</v>
      </c>
      <c r="C387" t="s">
        <v>2448</v>
      </c>
      <c r="D387" t="s">
        <v>153</v>
      </c>
      <c r="E387" t="s">
        <v>154</v>
      </c>
      <c r="F387" t="s">
        <v>59</v>
      </c>
      <c r="G387" t="s">
        <v>113</v>
      </c>
      <c r="H387" t="s">
        <v>2449</v>
      </c>
      <c r="I387" t="s">
        <v>94</v>
      </c>
      <c r="J387" t="s">
        <v>32</v>
      </c>
      <c r="K387" t="s">
        <v>33</v>
      </c>
      <c r="L387" t="s">
        <v>2450</v>
      </c>
      <c r="M387" t="s">
        <v>2451</v>
      </c>
      <c r="N387" t="s">
        <v>2452</v>
      </c>
      <c r="O387">
        <v>20205.969923000619</v>
      </c>
      <c r="P387">
        <v>20118.75</v>
      </c>
      <c r="Q387">
        <v>20074.7356</v>
      </c>
      <c r="R387" t="s">
        <v>37</v>
      </c>
      <c r="S387" t="s">
        <v>38</v>
      </c>
      <c r="T387" t="s">
        <v>38</v>
      </c>
      <c r="U387" t="s">
        <v>39</v>
      </c>
      <c r="W387" t="s">
        <v>40</v>
      </c>
    </row>
    <row r="388" spans="1:23" x14ac:dyDescent="0.3">
      <c r="A388" t="s">
        <v>23</v>
      </c>
      <c r="B388" t="s">
        <v>2453</v>
      </c>
      <c r="C388" t="s">
        <v>2454</v>
      </c>
      <c r="D388" t="s">
        <v>519</v>
      </c>
      <c r="E388" t="s">
        <v>81</v>
      </c>
      <c r="F388" t="s">
        <v>59</v>
      </c>
      <c r="G388" t="s">
        <v>82</v>
      </c>
      <c r="H388" t="s">
        <v>2455</v>
      </c>
      <c r="I388" t="s">
        <v>121</v>
      </c>
      <c r="J388" t="s">
        <v>32</v>
      </c>
      <c r="K388" t="s">
        <v>33</v>
      </c>
      <c r="L388" t="s">
        <v>1687</v>
      </c>
      <c r="M388" t="s">
        <v>2456</v>
      </c>
      <c r="N388" t="s">
        <v>2457</v>
      </c>
      <c r="O388">
        <v>1673.7834283502741</v>
      </c>
      <c r="P388">
        <v>1670.23</v>
      </c>
      <c r="Q388">
        <v>1666.8707999999999</v>
      </c>
      <c r="R388" t="s">
        <v>125</v>
      </c>
      <c r="S388" t="s">
        <v>38</v>
      </c>
      <c r="T388" t="s">
        <v>38</v>
      </c>
      <c r="U388" t="s">
        <v>39</v>
      </c>
      <c r="W388" t="s">
        <v>40</v>
      </c>
    </row>
    <row r="389" spans="1:23" x14ac:dyDescent="0.3">
      <c r="A389" t="s">
        <v>23</v>
      </c>
      <c r="B389" t="s">
        <v>2458</v>
      </c>
      <c r="C389" t="s">
        <v>2459</v>
      </c>
      <c r="D389" t="s">
        <v>205</v>
      </c>
      <c r="E389" t="s">
        <v>81</v>
      </c>
      <c r="F389" t="s">
        <v>59</v>
      </c>
      <c r="G389" t="s">
        <v>82</v>
      </c>
      <c r="H389" t="s">
        <v>2460</v>
      </c>
      <c r="I389" t="s">
        <v>102</v>
      </c>
      <c r="J389" t="s">
        <v>32</v>
      </c>
      <c r="K389" t="s">
        <v>33</v>
      </c>
      <c r="L389" t="s">
        <v>2461</v>
      </c>
      <c r="M389" t="s">
        <v>2462</v>
      </c>
      <c r="N389" t="s">
        <v>2463</v>
      </c>
      <c r="O389">
        <v>1578.5019008587531</v>
      </c>
      <c r="P389">
        <v>1379.67</v>
      </c>
      <c r="Q389">
        <v>1369.2056</v>
      </c>
      <c r="R389" t="s">
        <v>37</v>
      </c>
      <c r="S389" t="s">
        <v>51</v>
      </c>
      <c r="T389" t="s">
        <v>51</v>
      </c>
      <c r="U389" t="s">
        <v>143</v>
      </c>
      <c r="V389" t="s">
        <v>2464</v>
      </c>
      <c r="W389" t="s">
        <v>40</v>
      </c>
    </row>
    <row r="390" spans="1:23" x14ac:dyDescent="0.3">
      <c r="A390" t="s">
        <v>23</v>
      </c>
      <c r="B390" t="s">
        <v>2465</v>
      </c>
      <c r="C390" t="s">
        <v>2466</v>
      </c>
      <c r="D390" t="s">
        <v>205</v>
      </c>
      <c r="E390" t="s">
        <v>81</v>
      </c>
      <c r="F390" t="s">
        <v>59</v>
      </c>
      <c r="G390" t="s">
        <v>82</v>
      </c>
      <c r="H390" t="s">
        <v>2467</v>
      </c>
      <c r="I390" t="s">
        <v>102</v>
      </c>
      <c r="J390" t="s">
        <v>32</v>
      </c>
      <c r="K390" t="s">
        <v>33</v>
      </c>
      <c r="L390" t="s">
        <v>2468</v>
      </c>
      <c r="M390" t="s">
        <v>2469</v>
      </c>
      <c r="N390" t="s">
        <v>2470</v>
      </c>
      <c r="O390">
        <v>4714.5007467095311</v>
      </c>
      <c r="P390">
        <v>4683.0200000000004</v>
      </c>
      <c r="Q390">
        <v>4674.8752000000004</v>
      </c>
      <c r="R390" t="s">
        <v>75</v>
      </c>
      <c r="S390" t="s">
        <v>38</v>
      </c>
      <c r="T390" t="s">
        <v>38</v>
      </c>
      <c r="U390" t="s">
        <v>39</v>
      </c>
      <c r="W390" t="s">
        <v>40</v>
      </c>
    </row>
    <row r="391" spans="1:23" x14ac:dyDescent="0.3">
      <c r="A391" t="s">
        <v>23</v>
      </c>
      <c r="B391" t="s">
        <v>2471</v>
      </c>
      <c r="C391" t="s">
        <v>2472</v>
      </c>
      <c r="D391" t="s">
        <v>247</v>
      </c>
      <c r="E391" t="s">
        <v>44</v>
      </c>
      <c r="F391" t="s">
        <v>28</v>
      </c>
      <c r="G391" t="s">
        <v>45</v>
      </c>
      <c r="H391" t="s">
        <v>2473</v>
      </c>
      <c r="I391" t="s">
        <v>241</v>
      </c>
      <c r="J391" t="s">
        <v>32</v>
      </c>
      <c r="K391" t="s">
        <v>33</v>
      </c>
      <c r="L391" t="s">
        <v>2474</v>
      </c>
      <c r="M391" t="s">
        <v>2475</v>
      </c>
      <c r="N391" t="s">
        <v>2476</v>
      </c>
      <c r="O391">
        <v>109.49049451432251</v>
      </c>
      <c r="P391">
        <v>72.819999999999993</v>
      </c>
      <c r="Q391">
        <v>72.506799999999998</v>
      </c>
      <c r="R391" t="s">
        <v>67</v>
      </c>
      <c r="S391" t="s">
        <v>38</v>
      </c>
      <c r="T391" t="s">
        <v>38</v>
      </c>
      <c r="U391" t="s">
        <v>39</v>
      </c>
      <c r="W391" t="s">
        <v>40</v>
      </c>
    </row>
    <row r="392" spans="1:23" x14ac:dyDescent="0.3">
      <c r="A392" t="s">
        <v>23</v>
      </c>
      <c r="B392" t="s">
        <v>2477</v>
      </c>
      <c r="C392" t="s">
        <v>2478</v>
      </c>
      <c r="D392" t="s">
        <v>247</v>
      </c>
      <c r="E392" t="s">
        <v>44</v>
      </c>
      <c r="F392" t="s">
        <v>28</v>
      </c>
      <c r="G392" t="s">
        <v>45</v>
      </c>
      <c r="H392" t="s">
        <v>2479</v>
      </c>
      <c r="I392" t="s">
        <v>147</v>
      </c>
      <c r="J392" t="s">
        <v>250</v>
      </c>
      <c r="K392" t="s">
        <v>33</v>
      </c>
      <c r="L392" t="s">
        <v>2480</v>
      </c>
      <c r="M392" t="s">
        <v>816</v>
      </c>
      <c r="N392" t="s">
        <v>2481</v>
      </c>
      <c r="O392">
        <v>703.54675911505331</v>
      </c>
      <c r="P392">
        <v>524.64</v>
      </c>
      <c r="Q392">
        <v>510.36840000000001</v>
      </c>
      <c r="R392" t="s">
        <v>37</v>
      </c>
      <c r="S392" t="s">
        <v>106</v>
      </c>
      <c r="T392" t="s">
        <v>106</v>
      </c>
      <c r="U392" t="s">
        <v>133</v>
      </c>
      <c r="V392" t="s">
        <v>53</v>
      </c>
      <c r="W392" t="s">
        <v>40</v>
      </c>
    </row>
    <row r="393" spans="1:23" x14ac:dyDescent="0.3">
      <c r="A393" t="s">
        <v>23</v>
      </c>
      <c r="B393" t="s">
        <v>2482</v>
      </c>
      <c r="C393" t="s">
        <v>2483</v>
      </c>
      <c r="D393" t="s">
        <v>616</v>
      </c>
      <c r="E393" t="s">
        <v>616</v>
      </c>
      <c r="F393" t="s">
        <v>28</v>
      </c>
      <c r="G393" t="s">
        <v>45</v>
      </c>
      <c r="H393" t="s">
        <v>2484</v>
      </c>
      <c r="I393" t="s">
        <v>147</v>
      </c>
      <c r="J393" t="s">
        <v>32</v>
      </c>
      <c r="K393" t="s">
        <v>33</v>
      </c>
      <c r="L393" t="s">
        <v>2485</v>
      </c>
      <c r="M393" t="s">
        <v>816</v>
      </c>
      <c r="O393">
        <v>1121.190136289672</v>
      </c>
      <c r="P393">
        <v>416.98</v>
      </c>
      <c r="Q393">
        <v>411.44959999999998</v>
      </c>
      <c r="R393" t="s">
        <v>75</v>
      </c>
      <c r="S393" t="s">
        <v>51</v>
      </c>
      <c r="T393" t="s">
        <v>51</v>
      </c>
      <c r="U393" t="s">
        <v>143</v>
      </c>
      <c r="V393" t="s">
        <v>811</v>
      </c>
      <c r="W393" t="s">
        <v>40</v>
      </c>
    </row>
    <row r="394" spans="1:23" x14ac:dyDescent="0.3">
      <c r="A394" t="s">
        <v>23</v>
      </c>
      <c r="B394" t="s">
        <v>2486</v>
      </c>
      <c r="C394" t="s">
        <v>2487</v>
      </c>
      <c r="D394" t="s">
        <v>175</v>
      </c>
      <c r="E394" t="s">
        <v>90</v>
      </c>
      <c r="F394" t="s">
        <v>91</v>
      </c>
      <c r="G394" t="s">
        <v>92</v>
      </c>
      <c r="H394" t="s">
        <v>816</v>
      </c>
      <c r="I394" t="s">
        <v>121</v>
      </c>
      <c r="J394" t="s">
        <v>32</v>
      </c>
      <c r="K394" t="s">
        <v>33</v>
      </c>
      <c r="M394" t="s">
        <v>816</v>
      </c>
      <c r="O394">
        <v>547.96354673914789</v>
      </c>
      <c r="P394">
        <v>361.44</v>
      </c>
      <c r="Q394">
        <v>354.36320000000001</v>
      </c>
      <c r="R394" t="s">
        <v>75</v>
      </c>
      <c r="S394" t="s">
        <v>106</v>
      </c>
      <c r="T394" t="s">
        <v>106</v>
      </c>
      <c r="U394" t="s">
        <v>133</v>
      </c>
      <c r="V394" t="s">
        <v>53</v>
      </c>
      <c r="W394" t="s">
        <v>40</v>
      </c>
    </row>
    <row r="395" spans="1:23" x14ac:dyDescent="0.3">
      <c r="A395" t="s">
        <v>23</v>
      </c>
      <c r="B395" t="s">
        <v>2488</v>
      </c>
      <c r="C395" t="s">
        <v>2489</v>
      </c>
      <c r="D395" t="s">
        <v>89</v>
      </c>
      <c r="E395" t="s">
        <v>90</v>
      </c>
      <c r="F395" t="s">
        <v>91</v>
      </c>
      <c r="G395" t="s">
        <v>92</v>
      </c>
      <c r="H395" t="s">
        <v>816</v>
      </c>
      <c r="I395" t="s">
        <v>102</v>
      </c>
      <c r="J395" t="s">
        <v>32</v>
      </c>
      <c r="K395" t="s">
        <v>33</v>
      </c>
      <c r="M395" t="s">
        <v>816</v>
      </c>
      <c r="O395">
        <v>46.997936961831321</v>
      </c>
      <c r="P395">
        <v>11.82</v>
      </c>
      <c r="Q395">
        <v>11.4216</v>
      </c>
      <c r="R395" t="s">
        <v>75</v>
      </c>
      <c r="S395" t="s">
        <v>106</v>
      </c>
      <c r="T395" t="s">
        <v>106</v>
      </c>
      <c r="U395" t="s">
        <v>133</v>
      </c>
      <c r="V395" t="s">
        <v>53</v>
      </c>
      <c r="W395" t="s">
        <v>40</v>
      </c>
    </row>
    <row r="396" spans="1:23" x14ac:dyDescent="0.3">
      <c r="A396" t="s">
        <v>23</v>
      </c>
      <c r="B396" t="s">
        <v>2490</v>
      </c>
      <c r="C396" t="s">
        <v>2491</v>
      </c>
      <c r="D396" t="s">
        <v>239</v>
      </c>
      <c r="E396" t="s">
        <v>27</v>
      </c>
      <c r="F396" t="s">
        <v>28</v>
      </c>
      <c r="G396" t="s">
        <v>29</v>
      </c>
      <c r="H396" t="s">
        <v>2492</v>
      </c>
      <c r="I396" t="s">
        <v>249</v>
      </c>
      <c r="J396" t="s">
        <v>32</v>
      </c>
      <c r="K396" t="s">
        <v>33</v>
      </c>
      <c r="L396" t="s">
        <v>2493</v>
      </c>
      <c r="M396" t="s">
        <v>816</v>
      </c>
      <c r="N396" t="s">
        <v>2494</v>
      </c>
      <c r="O396">
        <v>3858.6934918921738</v>
      </c>
      <c r="P396">
        <v>2645.28</v>
      </c>
      <c r="Q396">
        <v>2611.2055999999998</v>
      </c>
      <c r="R396" t="s">
        <v>37</v>
      </c>
      <c r="S396" t="s">
        <v>38</v>
      </c>
      <c r="T396" t="s">
        <v>38</v>
      </c>
      <c r="U396" t="s">
        <v>39</v>
      </c>
      <c r="W396" t="s">
        <v>40</v>
      </c>
    </row>
    <row r="397" spans="1:23" x14ac:dyDescent="0.3">
      <c r="A397" t="s">
        <v>23</v>
      </c>
      <c r="B397" t="s">
        <v>2495</v>
      </c>
      <c r="C397" t="s">
        <v>2496</v>
      </c>
      <c r="D397" t="s">
        <v>239</v>
      </c>
      <c r="E397" t="s">
        <v>27</v>
      </c>
      <c r="F397" t="s">
        <v>28</v>
      </c>
      <c r="G397" t="s">
        <v>29</v>
      </c>
      <c r="H397" t="s">
        <v>2497</v>
      </c>
      <c r="I397" t="s">
        <v>249</v>
      </c>
      <c r="J397" t="s">
        <v>32</v>
      </c>
      <c r="K397" t="s">
        <v>33</v>
      </c>
      <c r="L397" t="s">
        <v>2498</v>
      </c>
      <c r="M397" t="s">
        <v>816</v>
      </c>
      <c r="N397" t="s">
        <v>2499</v>
      </c>
      <c r="O397">
        <v>1048.1363359095981</v>
      </c>
      <c r="P397">
        <v>539.80999999999995</v>
      </c>
      <c r="Q397">
        <v>535.92399999999998</v>
      </c>
      <c r="R397" t="s">
        <v>67</v>
      </c>
      <c r="S397" t="s">
        <v>38</v>
      </c>
      <c r="T397" t="s">
        <v>38</v>
      </c>
      <c r="U397" t="s">
        <v>39</v>
      </c>
      <c r="W397" t="s">
        <v>40</v>
      </c>
    </row>
    <row r="398" spans="1:23" x14ac:dyDescent="0.3">
      <c r="A398" t="s">
        <v>23</v>
      </c>
      <c r="B398" t="s">
        <v>2500</v>
      </c>
      <c r="C398" t="s">
        <v>2501</v>
      </c>
      <c r="D398" t="s">
        <v>219</v>
      </c>
      <c r="E398" t="s">
        <v>27</v>
      </c>
      <c r="F398" t="s">
        <v>28</v>
      </c>
      <c r="G398" t="s">
        <v>29</v>
      </c>
      <c r="H398" t="s">
        <v>2502</v>
      </c>
      <c r="I398" t="s">
        <v>72</v>
      </c>
      <c r="J398" t="s">
        <v>32</v>
      </c>
      <c r="K398" t="s">
        <v>33</v>
      </c>
      <c r="L398" t="s">
        <v>2503</v>
      </c>
      <c r="M398" t="s">
        <v>816</v>
      </c>
      <c r="N398" t="s">
        <v>2504</v>
      </c>
      <c r="O398">
        <v>3024.2389349058581</v>
      </c>
      <c r="P398">
        <v>1359.32</v>
      </c>
      <c r="Q398">
        <v>1334.6324</v>
      </c>
      <c r="R398" t="s">
        <v>75</v>
      </c>
      <c r="S398" t="s">
        <v>76</v>
      </c>
      <c r="T398" t="s">
        <v>76</v>
      </c>
      <c r="U398" t="s">
        <v>261</v>
      </c>
      <c r="V398" t="s">
        <v>1796</v>
      </c>
      <c r="W398" t="s">
        <v>40</v>
      </c>
    </row>
    <row r="399" spans="1:23" x14ac:dyDescent="0.3">
      <c r="A399" t="s">
        <v>23</v>
      </c>
      <c r="B399" t="s">
        <v>2505</v>
      </c>
      <c r="C399" t="s">
        <v>2506</v>
      </c>
      <c r="D399" t="s">
        <v>219</v>
      </c>
      <c r="E399" t="s">
        <v>27</v>
      </c>
      <c r="F399" t="s">
        <v>28</v>
      </c>
      <c r="G399" t="s">
        <v>29</v>
      </c>
      <c r="H399" t="s">
        <v>2507</v>
      </c>
      <c r="I399" t="s">
        <v>72</v>
      </c>
      <c r="J399" t="s">
        <v>32</v>
      </c>
      <c r="K399" t="s">
        <v>33</v>
      </c>
      <c r="M399" t="s">
        <v>816</v>
      </c>
      <c r="N399" t="s">
        <v>2508</v>
      </c>
      <c r="O399">
        <v>6280.5772534721946</v>
      </c>
      <c r="P399">
        <v>2293.33</v>
      </c>
      <c r="Q399">
        <v>2257.5124000000001</v>
      </c>
      <c r="R399" t="s">
        <v>75</v>
      </c>
      <c r="S399" t="s">
        <v>76</v>
      </c>
      <c r="T399" t="s">
        <v>76</v>
      </c>
      <c r="U399" t="s">
        <v>261</v>
      </c>
      <c r="V399" t="s">
        <v>1796</v>
      </c>
      <c r="W399" t="s">
        <v>40</v>
      </c>
    </row>
    <row r="400" spans="1:23" x14ac:dyDescent="0.3">
      <c r="A400" t="s">
        <v>23</v>
      </c>
      <c r="B400" t="s">
        <v>2509</v>
      </c>
      <c r="C400" t="s">
        <v>2510</v>
      </c>
      <c r="D400" t="s">
        <v>247</v>
      </c>
      <c r="E400" t="s">
        <v>44</v>
      </c>
      <c r="F400" t="s">
        <v>28</v>
      </c>
      <c r="G400" t="s">
        <v>45</v>
      </c>
      <c r="H400" t="s">
        <v>2511</v>
      </c>
      <c r="I400" t="s">
        <v>147</v>
      </c>
      <c r="J400" t="s">
        <v>250</v>
      </c>
      <c r="K400" t="s">
        <v>33</v>
      </c>
      <c r="L400" t="s">
        <v>2512</v>
      </c>
      <c r="M400" t="s">
        <v>816</v>
      </c>
      <c r="N400" t="s">
        <v>2513</v>
      </c>
      <c r="O400">
        <v>660.60972168777869</v>
      </c>
      <c r="P400">
        <v>477.97</v>
      </c>
      <c r="Q400">
        <v>472.8152</v>
      </c>
      <c r="R400" t="s">
        <v>125</v>
      </c>
      <c r="S400" t="s">
        <v>38</v>
      </c>
      <c r="T400" t="s">
        <v>38</v>
      </c>
      <c r="U400" t="s">
        <v>39</v>
      </c>
      <c r="W400" t="s">
        <v>40</v>
      </c>
    </row>
    <row r="401" spans="1:23" x14ac:dyDescent="0.3">
      <c r="A401" t="s">
        <v>23</v>
      </c>
      <c r="B401" t="s">
        <v>2514</v>
      </c>
      <c r="C401" t="s">
        <v>2515</v>
      </c>
      <c r="D401" t="s">
        <v>2516</v>
      </c>
      <c r="E401" t="s">
        <v>2516</v>
      </c>
      <c r="F401" t="s">
        <v>1379</v>
      </c>
      <c r="G401" t="s">
        <v>1380</v>
      </c>
      <c r="H401" t="s">
        <v>2517</v>
      </c>
      <c r="I401" t="s">
        <v>139</v>
      </c>
      <c r="J401" t="s">
        <v>32</v>
      </c>
      <c r="K401" t="s">
        <v>33</v>
      </c>
      <c r="L401" t="s">
        <v>2518</v>
      </c>
      <c r="M401" t="s">
        <v>2519</v>
      </c>
      <c r="O401">
        <v>53.771460489610988</v>
      </c>
      <c r="P401">
        <v>51.28</v>
      </c>
      <c r="Q401">
        <v>51.162399999999998</v>
      </c>
      <c r="R401" t="s">
        <v>37</v>
      </c>
      <c r="S401" t="s">
        <v>38</v>
      </c>
      <c r="T401" t="s">
        <v>38</v>
      </c>
      <c r="U401" t="s">
        <v>39</v>
      </c>
      <c r="W401" t="s">
        <v>40</v>
      </c>
    </row>
    <row r="402" spans="1:23" x14ac:dyDescent="0.3">
      <c r="A402" t="s">
        <v>23</v>
      </c>
      <c r="B402" t="s">
        <v>2520</v>
      </c>
      <c r="C402" t="s">
        <v>2521</v>
      </c>
      <c r="D402" t="s">
        <v>2516</v>
      </c>
      <c r="E402" t="s">
        <v>2516</v>
      </c>
      <c r="F402" t="s">
        <v>1379</v>
      </c>
      <c r="G402" t="s">
        <v>1380</v>
      </c>
      <c r="H402" t="s">
        <v>2522</v>
      </c>
      <c r="I402" t="s">
        <v>139</v>
      </c>
      <c r="J402" t="s">
        <v>32</v>
      </c>
      <c r="K402" t="s">
        <v>33</v>
      </c>
      <c r="M402" t="s">
        <v>2523</v>
      </c>
      <c r="O402">
        <v>729.20060532091418</v>
      </c>
      <c r="P402">
        <v>579.07000000000005</v>
      </c>
      <c r="Q402">
        <v>576.53039999999999</v>
      </c>
      <c r="R402" t="s">
        <v>125</v>
      </c>
      <c r="S402" t="s">
        <v>38</v>
      </c>
      <c r="T402" t="s">
        <v>38</v>
      </c>
      <c r="U402" t="s">
        <v>39</v>
      </c>
      <c r="W402" t="s">
        <v>40</v>
      </c>
    </row>
    <row r="403" spans="1:23" x14ac:dyDescent="0.3">
      <c r="A403" t="s">
        <v>23</v>
      </c>
      <c r="B403" t="s">
        <v>2524</v>
      </c>
      <c r="C403" t="s">
        <v>2525</v>
      </c>
      <c r="D403" t="s">
        <v>2516</v>
      </c>
      <c r="E403" t="s">
        <v>2516</v>
      </c>
      <c r="F403" t="s">
        <v>1379</v>
      </c>
      <c r="G403" t="s">
        <v>1380</v>
      </c>
      <c r="H403" t="s">
        <v>2526</v>
      </c>
      <c r="I403" t="s">
        <v>139</v>
      </c>
      <c r="J403" t="s">
        <v>32</v>
      </c>
      <c r="K403" t="s">
        <v>33</v>
      </c>
      <c r="M403" t="s">
        <v>2527</v>
      </c>
      <c r="O403">
        <v>1175.6957952026739</v>
      </c>
      <c r="P403">
        <v>1038.0999999999999</v>
      </c>
      <c r="Q403">
        <v>1034.6744000000001</v>
      </c>
      <c r="R403" t="s">
        <v>125</v>
      </c>
      <c r="S403" t="s">
        <v>38</v>
      </c>
      <c r="T403" t="s">
        <v>38</v>
      </c>
      <c r="U403" t="s">
        <v>39</v>
      </c>
      <c r="W403" t="s">
        <v>40</v>
      </c>
    </row>
    <row r="404" spans="1:23" x14ac:dyDescent="0.3">
      <c r="A404" t="s">
        <v>23</v>
      </c>
      <c r="B404" t="s">
        <v>2528</v>
      </c>
      <c r="C404" t="s">
        <v>2529</v>
      </c>
      <c r="D404" t="s">
        <v>2516</v>
      </c>
      <c r="E404" t="s">
        <v>2516</v>
      </c>
      <c r="F404" t="s">
        <v>1379</v>
      </c>
      <c r="G404" t="s">
        <v>1380</v>
      </c>
      <c r="H404" t="s">
        <v>2530</v>
      </c>
      <c r="I404" t="s">
        <v>139</v>
      </c>
      <c r="J404" t="s">
        <v>32</v>
      </c>
      <c r="K404" t="s">
        <v>33</v>
      </c>
      <c r="M404" t="s">
        <v>2531</v>
      </c>
      <c r="O404">
        <v>1077.9250187934961</v>
      </c>
      <c r="P404">
        <v>1062.6500000000001</v>
      </c>
      <c r="Q404">
        <v>1061.9251999999999</v>
      </c>
      <c r="R404" t="s">
        <v>67</v>
      </c>
      <c r="S404" t="s">
        <v>38</v>
      </c>
      <c r="T404" t="s">
        <v>38</v>
      </c>
      <c r="U404" t="s">
        <v>39</v>
      </c>
      <c r="W404" t="s">
        <v>40</v>
      </c>
    </row>
    <row r="405" spans="1:23" x14ac:dyDescent="0.3">
      <c r="A405" t="s">
        <v>23</v>
      </c>
      <c r="B405" t="s">
        <v>2532</v>
      </c>
      <c r="C405" t="s">
        <v>2533</v>
      </c>
      <c r="D405" t="s">
        <v>2516</v>
      </c>
      <c r="E405" t="s">
        <v>2516</v>
      </c>
      <c r="F405" t="s">
        <v>1379</v>
      </c>
      <c r="G405" t="s">
        <v>1380</v>
      </c>
      <c r="H405" t="s">
        <v>2534</v>
      </c>
      <c r="I405" t="s">
        <v>139</v>
      </c>
      <c r="J405" t="s">
        <v>32</v>
      </c>
      <c r="K405" t="s">
        <v>33</v>
      </c>
      <c r="L405" t="s">
        <v>2535</v>
      </c>
      <c r="M405" t="s">
        <v>2536</v>
      </c>
      <c r="O405">
        <v>35.515503318366719</v>
      </c>
      <c r="P405">
        <v>20.18</v>
      </c>
      <c r="Q405">
        <v>19.952400000000001</v>
      </c>
      <c r="R405" t="s">
        <v>75</v>
      </c>
      <c r="S405" t="s">
        <v>38</v>
      </c>
      <c r="T405" t="s">
        <v>38</v>
      </c>
      <c r="U405" t="s">
        <v>39</v>
      </c>
      <c r="W405" t="s">
        <v>40</v>
      </c>
    </row>
    <row r="406" spans="1:23" x14ac:dyDescent="0.3">
      <c r="A406" t="s">
        <v>23</v>
      </c>
      <c r="B406" t="s">
        <v>2537</v>
      </c>
      <c r="C406" t="s">
        <v>2538</v>
      </c>
      <c r="D406" t="s">
        <v>2516</v>
      </c>
      <c r="E406" t="s">
        <v>2516</v>
      </c>
      <c r="F406" t="s">
        <v>1379</v>
      </c>
      <c r="G406" t="s">
        <v>1380</v>
      </c>
      <c r="H406" t="s">
        <v>2539</v>
      </c>
      <c r="I406" t="s">
        <v>139</v>
      </c>
      <c r="J406" t="s">
        <v>32</v>
      </c>
      <c r="K406" t="s">
        <v>33</v>
      </c>
      <c r="M406" t="s">
        <v>2540</v>
      </c>
      <c r="O406">
        <v>386.3284256188756</v>
      </c>
      <c r="P406">
        <v>312.20999999999998</v>
      </c>
      <c r="Q406">
        <v>310.90839999999997</v>
      </c>
      <c r="R406" t="s">
        <v>37</v>
      </c>
      <c r="S406" t="s">
        <v>38</v>
      </c>
      <c r="T406" t="s">
        <v>38</v>
      </c>
      <c r="U406" t="s">
        <v>39</v>
      </c>
      <c r="W406" t="s">
        <v>40</v>
      </c>
    </row>
    <row r="407" spans="1:23" x14ac:dyDescent="0.3">
      <c r="A407" t="s">
        <v>23</v>
      </c>
      <c r="B407" t="s">
        <v>2541</v>
      </c>
      <c r="C407" t="s">
        <v>2542</v>
      </c>
      <c r="D407" t="s">
        <v>2516</v>
      </c>
      <c r="E407" t="s">
        <v>2516</v>
      </c>
      <c r="F407" t="s">
        <v>1379</v>
      </c>
      <c r="G407" t="s">
        <v>1380</v>
      </c>
      <c r="H407" t="s">
        <v>2543</v>
      </c>
      <c r="I407" t="s">
        <v>139</v>
      </c>
      <c r="J407" t="s">
        <v>32</v>
      </c>
      <c r="K407" t="s">
        <v>33</v>
      </c>
      <c r="M407" t="s">
        <v>2544</v>
      </c>
      <c r="O407">
        <v>215.451588499998</v>
      </c>
      <c r="P407">
        <v>94.26</v>
      </c>
      <c r="Q407">
        <v>92.447199999999995</v>
      </c>
      <c r="R407" t="s">
        <v>75</v>
      </c>
      <c r="S407" t="s">
        <v>106</v>
      </c>
      <c r="T407" t="s">
        <v>106</v>
      </c>
      <c r="U407" t="s">
        <v>133</v>
      </c>
      <c r="V407" t="s">
        <v>53</v>
      </c>
      <c r="W407" t="s">
        <v>40</v>
      </c>
    </row>
    <row r="408" spans="1:23" x14ac:dyDescent="0.3">
      <c r="A408" t="s">
        <v>23</v>
      </c>
      <c r="B408" t="s">
        <v>2545</v>
      </c>
      <c r="C408" t="s">
        <v>2546</v>
      </c>
      <c r="D408" t="s">
        <v>2516</v>
      </c>
      <c r="E408" t="s">
        <v>2516</v>
      </c>
      <c r="F408" t="s">
        <v>1379</v>
      </c>
      <c r="G408" t="s">
        <v>1380</v>
      </c>
      <c r="H408" t="s">
        <v>2547</v>
      </c>
      <c r="I408" t="s">
        <v>139</v>
      </c>
      <c r="J408" t="s">
        <v>32</v>
      </c>
      <c r="K408" t="s">
        <v>33</v>
      </c>
      <c r="M408" t="s">
        <v>2548</v>
      </c>
      <c r="O408">
        <v>311.18330703673689</v>
      </c>
      <c r="P408">
        <v>269.07</v>
      </c>
      <c r="Q408">
        <v>268.26</v>
      </c>
      <c r="R408" t="s">
        <v>125</v>
      </c>
      <c r="S408" t="s">
        <v>38</v>
      </c>
      <c r="T408" t="s">
        <v>38</v>
      </c>
      <c r="U408" t="s">
        <v>39</v>
      </c>
      <c r="W408" t="s">
        <v>40</v>
      </c>
    </row>
    <row r="409" spans="1:23" x14ac:dyDescent="0.3">
      <c r="A409" t="s">
        <v>23</v>
      </c>
      <c r="B409" t="s">
        <v>2549</v>
      </c>
      <c r="C409" t="s">
        <v>2550</v>
      </c>
      <c r="D409" t="s">
        <v>2516</v>
      </c>
      <c r="E409" t="s">
        <v>2516</v>
      </c>
      <c r="F409" t="s">
        <v>1379</v>
      </c>
      <c r="G409" t="s">
        <v>1380</v>
      </c>
      <c r="H409" t="s">
        <v>2551</v>
      </c>
      <c r="I409" t="s">
        <v>139</v>
      </c>
      <c r="J409" t="s">
        <v>32</v>
      </c>
      <c r="K409" t="s">
        <v>33</v>
      </c>
      <c r="M409" t="s">
        <v>2552</v>
      </c>
      <c r="O409">
        <v>2976.0580144497899</v>
      </c>
      <c r="P409">
        <v>2605.1</v>
      </c>
      <c r="Q409">
        <v>2598.0259999999998</v>
      </c>
      <c r="R409" t="s">
        <v>37</v>
      </c>
      <c r="S409" t="s">
        <v>38</v>
      </c>
      <c r="T409" t="s">
        <v>38</v>
      </c>
      <c r="U409" t="s">
        <v>39</v>
      </c>
      <c r="W409" t="s">
        <v>40</v>
      </c>
    </row>
    <row r="410" spans="1:23" x14ac:dyDescent="0.3">
      <c r="A410" t="s">
        <v>23</v>
      </c>
      <c r="B410" t="s">
        <v>2553</v>
      </c>
      <c r="C410" t="s">
        <v>2554</v>
      </c>
      <c r="D410" t="s">
        <v>2516</v>
      </c>
      <c r="E410" t="s">
        <v>2516</v>
      </c>
      <c r="F410" t="s">
        <v>1379</v>
      </c>
      <c r="G410" t="s">
        <v>1380</v>
      </c>
      <c r="H410" t="s">
        <v>2555</v>
      </c>
      <c r="I410" t="s">
        <v>139</v>
      </c>
      <c r="J410" t="s">
        <v>32</v>
      </c>
      <c r="K410" t="s">
        <v>33</v>
      </c>
      <c r="L410" t="s">
        <v>2556</v>
      </c>
      <c r="M410" t="s">
        <v>2557</v>
      </c>
      <c r="O410">
        <v>2129.0073737079301</v>
      </c>
      <c r="P410">
        <v>2114.14</v>
      </c>
      <c r="Q410">
        <v>2109.2375999999999</v>
      </c>
      <c r="R410" t="s">
        <v>125</v>
      </c>
      <c r="S410" t="s">
        <v>38</v>
      </c>
      <c r="T410" t="s">
        <v>38</v>
      </c>
      <c r="U410" t="s">
        <v>39</v>
      </c>
      <c r="W410" t="s">
        <v>40</v>
      </c>
    </row>
    <row r="411" spans="1:23" x14ac:dyDescent="0.3">
      <c r="A411" t="s">
        <v>23</v>
      </c>
      <c r="B411" t="s">
        <v>2558</v>
      </c>
      <c r="C411" t="s">
        <v>2559</v>
      </c>
      <c r="D411" t="s">
        <v>2516</v>
      </c>
      <c r="E411" t="s">
        <v>2516</v>
      </c>
      <c r="F411" t="s">
        <v>1379</v>
      </c>
      <c r="G411" t="s">
        <v>1380</v>
      </c>
      <c r="H411" t="s">
        <v>2560</v>
      </c>
      <c r="I411" t="s">
        <v>139</v>
      </c>
      <c r="J411" t="s">
        <v>32</v>
      </c>
      <c r="K411" t="s">
        <v>33</v>
      </c>
      <c r="M411" t="s">
        <v>2561</v>
      </c>
      <c r="O411">
        <v>40.47171868776455</v>
      </c>
      <c r="P411">
        <v>30.35</v>
      </c>
      <c r="Q411">
        <v>30.108000000000001</v>
      </c>
      <c r="R411" t="s">
        <v>37</v>
      </c>
      <c r="S411" t="s">
        <v>38</v>
      </c>
      <c r="T411" t="s">
        <v>38</v>
      </c>
      <c r="U411" t="s">
        <v>39</v>
      </c>
      <c r="W411" t="s">
        <v>40</v>
      </c>
    </row>
    <row r="412" spans="1:23" x14ac:dyDescent="0.3">
      <c r="A412" t="s">
        <v>23</v>
      </c>
      <c r="B412" t="s">
        <v>2562</v>
      </c>
      <c r="C412" t="s">
        <v>2563</v>
      </c>
      <c r="D412" t="s">
        <v>2516</v>
      </c>
      <c r="E412" t="s">
        <v>2516</v>
      </c>
      <c r="F412" t="s">
        <v>1379</v>
      </c>
      <c r="G412" t="s">
        <v>1380</v>
      </c>
      <c r="H412" t="s">
        <v>2564</v>
      </c>
      <c r="I412" t="s">
        <v>139</v>
      </c>
      <c r="J412" t="s">
        <v>32</v>
      </c>
      <c r="K412" t="s">
        <v>33</v>
      </c>
      <c r="M412" t="s">
        <v>2565</v>
      </c>
      <c r="O412">
        <v>1239.9315258910781</v>
      </c>
      <c r="P412">
        <v>1232.3</v>
      </c>
      <c r="Q412">
        <v>1230.8191999999999</v>
      </c>
      <c r="R412" t="s">
        <v>67</v>
      </c>
      <c r="S412" t="s">
        <v>38</v>
      </c>
      <c r="T412" t="s">
        <v>38</v>
      </c>
      <c r="U412" t="s">
        <v>39</v>
      </c>
      <c r="W412" t="s">
        <v>40</v>
      </c>
    </row>
    <row r="413" spans="1:23" x14ac:dyDescent="0.3">
      <c r="A413" t="s">
        <v>23</v>
      </c>
      <c r="B413" t="s">
        <v>2566</v>
      </c>
      <c r="C413" t="s">
        <v>2567</v>
      </c>
      <c r="D413" t="s">
        <v>2516</v>
      </c>
      <c r="E413" t="s">
        <v>2516</v>
      </c>
      <c r="F413" t="s">
        <v>1379</v>
      </c>
      <c r="G413" t="s">
        <v>1380</v>
      </c>
      <c r="H413" t="s">
        <v>2568</v>
      </c>
      <c r="I413" t="s">
        <v>139</v>
      </c>
      <c r="J413" t="s">
        <v>32</v>
      </c>
      <c r="K413" t="s">
        <v>33</v>
      </c>
      <c r="M413" t="s">
        <v>2569</v>
      </c>
      <c r="O413">
        <v>1030.463210812354</v>
      </c>
      <c r="P413">
        <v>910.02</v>
      </c>
      <c r="Q413">
        <v>908.16279999999995</v>
      </c>
      <c r="R413" t="s">
        <v>37</v>
      </c>
      <c r="S413" t="s">
        <v>38</v>
      </c>
      <c r="T413" t="s">
        <v>38</v>
      </c>
      <c r="U413" t="s">
        <v>39</v>
      </c>
      <c r="W413" t="s">
        <v>40</v>
      </c>
    </row>
    <row r="414" spans="1:23" x14ac:dyDescent="0.3">
      <c r="A414" t="s">
        <v>23</v>
      </c>
      <c r="B414" t="s">
        <v>2570</v>
      </c>
      <c r="C414" t="s">
        <v>2571</v>
      </c>
      <c r="D414" t="s">
        <v>2516</v>
      </c>
      <c r="E414" t="s">
        <v>2516</v>
      </c>
      <c r="F414" t="s">
        <v>1379</v>
      </c>
      <c r="G414" t="s">
        <v>1380</v>
      </c>
      <c r="H414" t="s">
        <v>2572</v>
      </c>
      <c r="I414" t="s">
        <v>139</v>
      </c>
      <c r="J414" t="s">
        <v>32</v>
      </c>
      <c r="K414" t="s">
        <v>33</v>
      </c>
      <c r="M414" t="s">
        <v>2573</v>
      </c>
      <c r="O414">
        <v>784.61147208215766</v>
      </c>
      <c r="P414">
        <v>769.25</v>
      </c>
      <c r="Q414">
        <v>768.05039999999997</v>
      </c>
      <c r="R414" t="s">
        <v>67</v>
      </c>
      <c r="S414" t="s">
        <v>38</v>
      </c>
      <c r="T414" t="s">
        <v>38</v>
      </c>
      <c r="U414" t="s">
        <v>39</v>
      </c>
      <c r="W414" t="s">
        <v>40</v>
      </c>
    </row>
    <row r="415" spans="1:23" x14ac:dyDescent="0.3">
      <c r="A415" t="s">
        <v>23</v>
      </c>
      <c r="B415" t="s">
        <v>2574</v>
      </c>
      <c r="C415" t="s">
        <v>2575</v>
      </c>
      <c r="D415" t="s">
        <v>2516</v>
      </c>
      <c r="E415" t="s">
        <v>2516</v>
      </c>
      <c r="F415" t="s">
        <v>1379</v>
      </c>
      <c r="G415" t="s">
        <v>1380</v>
      </c>
      <c r="H415" t="s">
        <v>2576</v>
      </c>
      <c r="I415" t="s">
        <v>139</v>
      </c>
      <c r="J415" t="s">
        <v>32</v>
      </c>
      <c r="K415" t="s">
        <v>33</v>
      </c>
      <c r="M415" t="s">
        <v>2577</v>
      </c>
      <c r="O415">
        <v>674.03815688529096</v>
      </c>
      <c r="P415">
        <v>627.82000000000005</v>
      </c>
      <c r="Q415">
        <v>625.30679999999995</v>
      </c>
      <c r="R415" t="s">
        <v>67</v>
      </c>
      <c r="S415" t="s">
        <v>38</v>
      </c>
      <c r="T415" t="s">
        <v>38</v>
      </c>
      <c r="U415" t="s">
        <v>39</v>
      </c>
      <c r="W415" t="s">
        <v>40</v>
      </c>
    </row>
    <row r="416" spans="1:23" x14ac:dyDescent="0.3">
      <c r="A416" t="s">
        <v>23</v>
      </c>
      <c r="B416" t="s">
        <v>2578</v>
      </c>
      <c r="C416" t="s">
        <v>2579</v>
      </c>
      <c r="D416" t="s">
        <v>2516</v>
      </c>
      <c r="E416" t="s">
        <v>2516</v>
      </c>
      <c r="F416" t="s">
        <v>1379</v>
      </c>
      <c r="G416" t="s">
        <v>1380</v>
      </c>
      <c r="H416" t="s">
        <v>2580</v>
      </c>
      <c r="I416" t="s">
        <v>139</v>
      </c>
      <c r="J416" t="s">
        <v>32</v>
      </c>
      <c r="K416" t="s">
        <v>33</v>
      </c>
      <c r="M416" t="s">
        <v>2581</v>
      </c>
      <c r="O416">
        <v>240.8442050593292</v>
      </c>
      <c r="P416">
        <v>211.25</v>
      </c>
      <c r="Q416">
        <v>210.13919999999999</v>
      </c>
      <c r="R416" t="s">
        <v>37</v>
      </c>
      <c r="S416" t="s">
        <v>38</v>
      </c>
      <c r="T416" t="s">
        <v>38</v>
      </c>
      <c r="U416" t="s">
        <v>39</v>
      </c>
      <c r="W416" t="s">
        <v>40</v>
      </c>
    </row>
    <row r="417" spans="1:23" x14ac:dyDescent="0.3">
      <c r="A417" t="s">
        <v>23</v>
      </c>
      <c r="B417" t="s">
        <v>2582</v>
      </c>
      <c r="C417" t="s">
        <v>2583</v>
      </c>
      <c r="D417" t="s">
        <v>2516</v>
      </c>
      <c r="E417" t="s">
        <v>2516</v>
      </c>
      <c r="F417" t="s">
        <v>1379</v>
      </c>
      <c r="G417" t="s">
        <v>1380</v>
      </c>
      <c r="H417" t="s">
        <v>2584</v>
      </c>
      <c r="I417" t="s">
        <v>139</v>
      </c>
      <c r="J417" t="s">
        <v>32</v>
      </c>
      <c r="K417" t="s">
        <v>33</v>
      </c>
      <c r="M417" t="s">
        <v>2585</v>
      </c>
      <c r="O417">
        <v>3596.2273541151221</v>
      </c>
      <c r="P417">
        <v>3457.97</v>
      </c>
      <c r="Q417">
        <v>3450.6923999999999</v>
      </c>
      <c r="R417" t="s">
        <v>125</v>
      </c>
      <c r="S417" t="s">
        <v>38</v>
      </c>
      <c r="T417" t="s">
        <v>38</v>
      </c>
      <c r="U417" t="s">
        <v>39</v>
      </c>
      <c r="W417" t="s">
        <v>40</v>
      </c>
    </row>
    <row r="418" spans="1:23" x14ac:dyDescent="0.3">
      <c r="A418" t="s">
        <v>23</v>
      </c>
      <c r="B418" t="s">
        <v>2586</v>
      </c>
      <c r="C418" t="s">
        <v>2587</v>
      </c>
      <c r="D418" t="s">
        <v>2516</v>
      </c>
      <c r="E418" t="s">
        <v>2516</v>
      </c>
      <c r="F418" t="s">
        <v>1379</v>
      </c>
      <c r="G418" t="s">
        <v>1380</v>
      </c>
      <c r="H418" t="s">
        <v>2588</v>
      </c>
      <c r="I418" t="s">
        <v>94</v>
      </c>
      <c r="J418" t="s">
        <v>32</v>
      </c>
      <c r="K418" t="s">
        <v>33</v>
      </c>
      <c r="M418" t="s">
        <v>2589</v>
      </c>
      <c r="O418">
        <v>491.83243806336441</v>
      </c>
      <c r="P418">
        <v>484.97</v>
      </c>
      <c r="Q418">
        <v>484.0616</v>
      </c>
      <c r="R418" t="s">
        <v>37</v>
      </c>
      <c r="S418" t="s">
        <v>38</v>
      </c>
      <c r="T418" t="s">
        <v>38</v>
      </c>
      <c r="U418" t="s">
        <v>39</v>
      </c>
      <c r="W418" t="s">
        <v>40</v>
      </c>
    </row>
    <row r="419" spans="1:23" x14ac:dyDescent="0.3">
      <c r="A419" t="s">
        <v>23</v>
      </c>
      <c r="B419" t="s">
        <v>2590</v>
      </c>
      <c r="C419" t="s">
        <v>2591</v>
      </c>
      <c r="D419" t="s">
        <v>2516</v>
      </c>
      <c r="E419" t="s">
        <v>2516</v>
      </c>
      <c r="F419" t="s">
        <v>1379</v>
      </c>
      <c r="G419" t="s">
        <v>1380</v>
      </c>
      <c r="H419" t="s">
        <v>2592</v>
      </c>
      <c r="I419" t="s">
        <v>102</v>
      </c>
      <c r="J419" t="s">
        <v>32</v>
      </c>
      <c r="K419" t="s">
        <v>33</v>
      </c>
      <c r="M419" t="s">
        <v>2593</v>
      </c>
      <c r="O419">
        <v>167.52894483376349</v>
      </c>
      <c r="P419">
        <v>161.9</v>
      </c>
      <c r="Q419">
        <v>161.6764</v>
      </c>
      <c r="R419" t="s">
        <v>75</v>
      </c>
      <c r="S419" t="s">
        <v>38</v>
      </c>
      <c r="T419" t="s">
        <v>38</v>
      </c>
      <c r="U419" t="s">
        <v>39</v>
      </c>
      <c r="W419" t="s">
        <v>40</v>
      </c>
    </row>
    <row r="420" spans="1:23" x14ac:dyDescent="0.3">
      <c r="A420" t="s">
        <v>23</v>
      </c>
      <c r="B420" t="s">
        <v>2594</v>
      </c>
      <c r="C420" t="s">
        <v>2595</v>
      </c>
      <c r="D420" t="s">
        <v>2516</v>
      </c>
      <c r="E420" t="s">
        <v>2516</v>
      </c>
      <c r="F420" t="s">
        <v>1379</v>
      </c>
      <c r="G420" t="s">
        <v>1380</v>
      </c>
      <c r="H420" t="s">
        <v>2596</v>
      </c>
      <c r="I420" t="s">
        <v>139</v>
      </c>
      <c r="J420" t="s">
        <v>32</v>
      </c>
      <c r="K420" t="s">
        <v>33</v>
      </c>
      <c r="M420" t="s">
        <v>2597</v>
      </c>
      <c r="O420">
        <v>30.151652470483761</v>
      </c>
      <c r="P420">
        <v>18.55</v>
      </c>
      <c r="Q420">
        <v>18.3856</v>
      </c>
      <c r="R420" t="s">
        <v>125</v>
      </c>
      <c r="S420" t="s">
        <v>38</v>
      </c>
      <c r="T420" t="s">
        <v>38</v>
      </c>
      <c r="U420" t="s">
        <v>39</v>
      </c>
      <c r="W420" t="s">
        <v>40</v>
      </c>
    </row>
    <row r="421" spans="1:23" x14ac:dyDescent="0.3">
      <c r="A421" t="s">
        <v>23</v>
      </c>
      <c r="B421" t="s">
        <v>2598</v>
      </c>
      <c r="C421" t="s">
        <v>2599</v>
      </c>
      <c r="D421" t="s">
        <v>2516</v>
      </c>
      <c r="E421" t="s">
        <v>2516</v>
      </c>
      <c r="F421" t="s">
        <v>921</v>
      </c>
      <c r="G421" t="s">
        <v>922</v>
      </c>
      <c r="H421" t="s">
        <v>2600</v>
      </c>
      <c r="I421" t="s">
        <v>102</v>
      </c>
      <c r="J421" t="s">
        <v>32</v>
      </c>
      <c r="K421" t="s">
        <v>33</v>
      </c>
      <c r="M421" t="s">
        <v>2601</v>
      </c>
      <c r="O421">
        <v>51.41256303468078</v>
      </c>
      <c r="P421">
        <v>64.709999999999994</v>
      </c>
      <c r="Q421">
        <v>29.7712</v>
      </c>
      <c r="R421" t="s">
        <v>67</v>
      </c>
      <c r="S421" t="s">
        <v>38</v>
      </c>
      <c r="T421" t="s">
        <v>106</v>
      </c>
      <c r="U421" t="s">
        <v>767</v>
      </c>
      <c r="V421" t="s">
        <v>53</v>
      </c>
      <c r="W421" t="s">
        <v>54</v>
      </c>
    </row>
    <row r="422" spans="1:23" x14ac:dyDescent="0.3">
      <c r="A422" t="s">
        <v>23</v>
      </c>
      <c r="B422" t="s">
        <v>2602</v>
      </c>
      <c r="C422" t="s">
        <v>2603</v>
      </c>
      <c r="D422" t="s">
        <v>2516</v>
      </c>
      <c r="E422" t="s">
        <v>2516</v>
      </c>
      <c r="F422" t="s">
        <v>1379</v>
      </c>
      <c r="G422" t="s">
        <v>1380</v>
      </c>
      <c r="H422" t="s">
        <v>2604</v>
      </c>
      <c r="I422" t="s">
        <v>102</v>
      </c>
      <c r="J422" t="s">
        <v>32</v>
      </c>
      <c r="K422" t="s">
        <v>33</v>
      </c>
      <c r="L422" t="s">
        <v>2605</v>
      </c>
      <c r="M422" t="s">
        <v>2606</v>
      </c>
      <c r="O422">
        <v>176.66014487674769</v>
      </c>
      <c r="P422">
        <v>107.38</v>
      </c>
      <c r="Q422">
        <v>106.1092</v>
      </c>
      <c r="R422" t="s">
        <v>75</v>
      </c>
      <c r="S422" t="s">
        <v>106</v>
      </c>
      <c r="T422" t="s">
        <v>106</v>
      </c>
      <c r="U422" t="s">
        <v>133</v>
      </c>
      <c r="V422" t="s">
        <v>53</v>
      </c>
      <c r="W422" t="s">
        <v>40</v>
      </c>
    </row>
    <row r="423" spans="1:23" x14ac:dyDescent="0.3">
      <c r="A423" t="s">
        <v>23</v>
      </c>
      <c r="B423" t="s">
        <v>2607</v>
      </c>
      <c r="C423" t="s">
        <v>2608</v>
      </c>
      <c r="D423" t="s">
        <v>2516</v>
      </c>
      <c r="E423" t="s">
        <v>2516</v>
      </c>
      <c r="F423" t="s">
        <v>1379</v>
      </c>
      <c r="G423" t="s">
        <v>1380</v>
      </c>
      <c r="H423" t="s">
        <v>2609</v>
      </c>
      <c r="I423" t="s">
        <v>139</v>
      </c>
      <c r="J423" t="s">
        <v>32</v>
      </c>
      <c r="K423" t="s">
        <v>33</v>
      </c>
      <c r="M423" t="s">
        <v>2610</v>
      </c>
      <c r="O423">
        <v>1290.83308215376</v>
      </c>
      <c r="P423">
        <v>857.9</v>
      </c>
      <c r="Q423">
        <v>849.88160000000005</v>
      </c>
      <c r="R423" t="s">
        <v>125</v>
      </c>
      <c r="S423" t="s">
        <v>38</v>
      </c>
      <c r="T423" t="s">
        <v>38</v>
      </c>
      <c r="U423" t="s">
        <v>39</v>
      </c>
      <c r="W423" t="s">
        <v>40</v>
      </c>
    </row>
    <row r="424" spans="1:23" x14ac:dyDescent="0.3">
      <c r="A424" t="s">
        <v>23</v>
      </c>
      <c r="B424" t="s">
        <v>2611</v>
      </c>
      <c r="C424" t="s">
        <v>2612</v>
      </c>
      <c r="D424" t="s">
        <v>2516</v>
      </c>
      <c r="E424" t="s">
        <v>2516</v>
      </c>
      <c r="F424" t="s">
        <v>1379</v>
      </c>
      <c r="G424" t="s">
        <v>1380</v>
      </c>
      <c r="H424" t="s">
        <v>2613</v>
      </c>
      <c r="I424" t="s">
        <v>139</v>
      </c>
      <c r="J424" t="s">
        <v>32</v>
      </c>
      <c r="K424" t="s">
        <v>33</v>
      </c>
      <c r="L424" t="s">
        <v>2614</v>
      </c>
      <c r="M424" t="s">
        <v>2615</v>
      </c>
      <c r="O424">
        <v>245.84600049167659</v>
      </c>
      <c r="P424">
        <v>220.02</v>
      </c>
      <c r="Q424">
        <v>217.00880000000001</v>
      </c>
      <c r="R424" t="s">
        <v>37</v>
      </c>
      <c r="S424" t="s">
        <v>38</v>
      </c>
      <c r="T424" t="s">
        <v>38</v>
      </c>
      <c r="U424" t="s">
        <v>39</v>
      </c>
      <c r="W424" t="s">
        <v>40</v>
      </c>
    </row>
    <row r="425" spans="1:23" x14ac:dyDescent="0.3">
      <c r="A425" t="s">
        <v>23</v>
      </c>
      <c r="B425" t="s">
        <v>2616</v>
      </c>
      <c r="C425" t="s">
        <v>2617</v>
      </c>
      <c r="D425" t="s">
        <v>2516</v>
      </c>
      <c r="E425" t="s">
        <v>2516</v>
      </c>
      <c r="F425" t="s">
        <v>921</v>
      </c>
      <c r="G425" t="s">
        <v>922</v>
      </c>
      <c r="H425" t="s">
        <v>2618</v>
      </c>
      <c r="I425" t="s">
        <v>102</v>
      </c>
      <c r="J425" t="s">
        <v>32</v>
      </c>
      <c r="K425" t="s">
        <v>33</v>
      </c>
      <c r="M425" t="s">
        <v>2619</v>
      </c>
      <c r="O425">
        <v>596.31866500042213</v>
      </c>
      <c r="P425">
        <v>515.95000000000005</v>
      </c>
      <c r="Q425">
        <v>463.14600000000002</v>
      </c>
      <c r="R425" t="s">
        <v>37</v>
      </c>
      <c r="S425" t="s">
        <v>51</v>
      </c>
      <c r="T425" t="s">
        <v>51</v>
      </c>
      <c r="U425" t="s">
        <v>143</v>
      </c>
      <c r="V425" t="s">
        <v>108</v>
      </c>
      <c r="W425" t="s">
        <v>40</v>
      </c>
    </row>
    <row r="426" spans="1:23" x14ac:dyDescent="0.3">
      <c r="A426" t="s">
        <v>23</v>
      </c>
      <c r="B426" t="s">
        <v>2620</v>
      </c>
      <c r="C426" t="s">
        <v>2621</v>
      </c>
      <c r="D426" t="s">
        <v>2516</v>
      </c>
      <c r="E426" t="s">
        <v>2516</v>
      </c>
      <c r="F426" t="s">
        <v>1379</v>
      </c>
      <c r="G426" t="s">
        <v>1380</v>
      </c>
      <c r="H426" t="s">
        <v>2622</v>
      </c>
      <c r="I426" t="s">
        <v>139</v>
      </c>
      <c r="J426" t="s">
        <v>32</v>
      </c>
      <c r="K426" t="s">
        <v>33</v>
      </c>
      <c r="M426" t="s">
        <v>2623</v>
      </c>
      <c r="O426">
        <v>307.51903808679708</v>
      </c>
      <c r="P426">
        <v>209.88</v>
      </c>
      <c r="Q426">
        <v>207.96799999999999</v>
      </c>
      <c r="R426" t="s">
        <v>125</v>
      </c>
      <c r="S426" t="s">
        <v>38</v>
      </c>
      <c r="T426" t="s">
        <v>38</v>
      </c>
      <c r="U426" t="s">
        <v>39</v>
      </c>
      <c r="W426" t="s">
        <v>40</v>
      </c>
    </row>
    <row r="427" spans="1:23" x14ac:dyDescent="0.3">
      <c r="A427" t="s">
        <v>23</v>
      </c>
      <c r="B427" t="s">
        <v>2624</v>
      </c>
      <c r="C427" t="s">
        <v>2625</v>
      </c>
      <c r="D427" t="s">
        <v>2516</v>
      </c>
      <c r="E427" t="s">
        <v>2516</v>
      </c>
      <c r="F427" t="s">
        <v>1379</v>
      </c>
      <c r="G427" t="s">
        <v>1380</v>
      </c>
      <c r="H427" t="s">
        <v>2626</v>
      </c>
      <c r="I427" t="s">
        <v>139</v>
      </c>
      <c r="J427" t="s">
        <v>32</v>
      </c>
      <c r="K427" t="s">
        <v>33</v>
      </c>
      <c r="M427" t="s">
        <v>2627</v>
      </c>
      <c r="O427">
        <v>59.86184709978005</v>
      </c>
      <c r="P427">
        <v>53.35</v>
      </c>
      <c r="Q427">
        <v>51.723199999999999</v>
      </c>
      <c r="R427" t="s">
        <v>75</v>
      </c>
      <c r="S427" t="s">
        <v>38</v>
      </c>
      <c r="T427" t="s">
        <v>38</v>
      </c>
      <c r="U427" t="s">
        <v>39</v>
      </c>
      <c r="W427" t="s">
        <v>40</v>
      </c>
    </row>
    <row r="428" spans="1:23" x14ac:dyDescent="0.3">
      <c r="A428" t="s">
        <v>23</v>
      </c>
      <c r="B428" t="s">
        <v>2628</v>
      </c>
      <c r="C428" t="s">
        <v>2629</v>
      </c>
      <c r="D428" t="s">
        <v>2516</v>
      </c>
      <c r="E428" t="s">
        <v>2516</v>
      </c>
      <c r="F428" t="s">
        <v>91</v>
      </c>
      <c r="G428" t="s">
        <v>92</v>
      </c>
      <c r="H428" t="s">
        <v>2630</v>
      </c>
      <c r="I428" t="s">
        <v>102</v>
      </c>
      <c r="J428" t="s">
        <v>32</v>
      </c>
      <c r="K428" t="s">
        <v>33</v>
      </c>
      <c r="M428" t="s">
        <v>2631</v>
      </c>
      <c r="O428">
        <v>286.19547840609721</v>
      </c>
      <c r="P428">
        <v>266.86</v>
      </c>
      <c r="Q428">
        <v>265.8272</v>
      </c>
      <c r="R428" t="s">
        <v>75</v>
      </c>
      <c r="S428" t="s">
        <v>38</v>
      </c>
      <c r="T428" t="s">
        <v>38</v>
      </c>
      <c r="U428" t="s">
        <v>39</v>
      </c>
      <c r="W428" t="s">
        <v>40</v>
      </c>
    </row>
    <row r="429" spans="1:23" x14ac:dyDescent="0.3">
      <c r="A429" t="s">
        <v>23</v>
      </c>
      <c r="B429" t="s">
        <v>2632</v>
      </c>
      <c r="C429" t="s">
        <v>2633</v>
      </c>
      <c r="D429" t="s">
        <v>2516</v>
      </c>
      <c r="E429" t="s">
        <v>2516</v>
      </c>
      <c r="F429" t="s">
        <v>1379</v>
      </c>
      <c r="G429" t="s">
        <v>1380</v>
      </c>
      <c r="H429" t="s">
        <v>2634</v>
      </c>
      <c r="I429" t="s">
        <v>139</v>
      </c>
      <c r="J429" t="s">
        <v>32</v>
      </c>
      <c r="K429" t="s">
        <v>33</v>
      </c>
      <c r="L429" t="s">
        <v>2635</v>
      </c>
      <c r="M429" t="s">
        <v>2636</v>
      </c>
      <c r="O429">
        <v>163.45463669774111</v>
      </c>
      <c r="P429">
        <v>65.95</v>
      </c>
      <c r="Q429">
        <v>63.247199999999999</v>
      </c>
      <c r="R429" t="s">
        <v>75</v>
      </c>
      <c r="S429" t="s">
        <v>106</v>
      </c>
      <c r="T429" t="s">
        <v>106</v>
      </c>
      <c r="U429" t="s">
        <v>133</v>
      </c>
      <c r="V429" t="s">
        <v>53</v>
      </c>
      <c r="W429" t="s">
        <v>40</v>
      </c>
    </row>
    <row r="430" spans="1:23" x14ac:dyDescent="0.3">
      <c r="A430" t="s">
        <v>23</v>
      </c>
      <c r="B430" t="s">
        <v>2637</v>
      </c>
      <c r="C430" t="s">
        <v>2638</v>
      </c>
      <c r="D430" t="s">
        <v>2516</v>
      </c>
      <c r="E430" t="s">
        <v>2516</v>
      </c>
      <c r="F430" t="s">
        <v>1379</v>
      </c>
      <c r="G430" t="s">
        <v>1380</v>
      </c>
      <c r="H430" t="s">
        <v>2639</v>
      </c>
      <c r="I430" t="s">
        <v>139</v>
      </c>
      <c r="J430" t="s">
        <v>32</v>
      </c>
      <c r="K430" t="s">
        <v>33</v>
      </c>
      <c r="M430" t="s">
        <v>2640</v>
      </c>
      <c r="O430">
        <v>697.0231748508761</v>
      </c>
      <c r="P430">
        <v>433.5</v>
      </c>
      <c r="Q430">
        <v>430.5496</v>
      </c>
      <c r="R430" t="s">
        <v>125</v>
      </c>
      <c r="S430" t="s">
        <v>38</v>
      </c>
      <c r="T430" t="s">
        <v>38</v>
      </c>
      <c r="U430" t="s">
        <v>39</v>
      </c>
      <c r="W430" t="s">
        <v>40</v>
      </c>
    </row>
    <row r="431" spans="1:23" x14ac:dyDescent="0.3">
      <c r="A431" t="s">
        <v>23</v>
      </c>
      <c r="B431" t="s">
        <v>2641</v>
      </c>
      <c r="C431" t="s">
        <v>2642</v>
      </c>
      <c r="D431" t="s">
        <v>2516</v>
      </c>
      <c r="E431" t="s">
        <v>2516</v>
      </c>
      <c r="F431" t="s">
        <v>1379</v>
      </c>
      <c r="G431" t="s">
        <v>1380</v>
      </c>
      <c r="H431" t="s">
        <v>2643</v>
      </c>
      <c r="I431" t="s">
        <v>102</v>
      </c>
      <c r="J431" t="s">
        <v>32</v>
      </c>
      <c r="K431" t="s">
        <v>33</v>
      </c>
      <c r="M431" t="s">
        <v>2644</v>
      </c>
      <c r="O431">
        <v>571.90002199818434</v>
      </c>
      <c r="P431">
        <v>553.82000000000005</v>
      </c>
      <c r="Q431">
        <v>552.03639999999996</v>
      </c>
      <c r="R431" t="s">
        <v>67</v>
      </c>
      <c r="S431" t="s">
        <v>38</v>
      </c>
      <c r="T431" t="s">
        <v>38</v>
      </c>
      <c r="U431" t="s">
        <v>39</v>
      </c>
      <c r="W431" t="s">
        <v>40</v>
      </c>
    </row>
    <row r="432" spans="1:23" x14ac:dyDescent="0.3">
      <c r="A432" t="s">
        <v>23</v>
      </c>
      <c r="B432" t="s">
        <v>2645</v>
      </c>
      <c r="C432" t="s">
        <v>2646</v>
      </c>
      <c r="D432" t="s">
        <v>2516</v>
      </c>
      <c r="E432" t="s">
        <v>2516</v>
      </c>
      <c r="F432" t="s">
        <v>1379</v>
      </c>
      <c r="G432" t="s">
        <v>1380</v>
      </c>
      <c r="H432" t="s">
        <v>2647</v>
      </c>
      <c r="I432" t="s">
        <v>139</v>
      </c>
      <c r="J432" t="s">
        <v>32</v>
      </c>
      <c r="K432" t="s">
        <v>33</v>
      </c>
      <c r="M432" t="s">
        <v>2648</v>
      </c>
      <c r="O432">
        <v>910.54789203641508</v>
      </c>
      <c r="P432">
        <v>890.07</v>
      </c>
      <c r="Q432">
        <v>886.13040000000001</v>
      </c>
      <c r="R432" t="s">
        <v>37</v>
      </c>
      <c r="S432" t="s">
        <v>38</v>
      </c>
      <c r="T432" t="s">
        <v>38</v>
      </c>
      <c r="U432" t="s">
        <v>39</v>
      </c>
      <c r="W432" t="s">
        <v>40</v>
      </c>
    </row>
    <row r="433" spans="1:23" x14ac:dyDescent="0.3">
      <c r="A433" t="s">
        <v>23</v>
      </c>
      <c r="B433" t="s">
        <v>2649</v>
      </c>
      <c r="C433" t="s">
        <v>2650</v>
      </c>
      <c r="D433" t="s">
        <v>2516</v>
      </c>
      <c r="E433" t="s">
        <v>2516</v>
      </c>
      <c r="F433" t="s">
        <v>1379</v>
      </c>
      <c r="G433" t="s">
        <v>1380</v>
      </c>
      <c r="H433" t="s">
        <v>2651</v>
      </c>
      <c r="I433" t="s">
        <v>139</v>
      </c>
      <c r="J433" t="s">
        <v>32</v>
      </c>
      <c r="K433" t="s">
        <v>33</v>
      </c>
      <c r="M433" t="s">
        <v>2652</v>
      </c>
      <c r="O433">
        <v>20.364317206897571</v>
      </c>
      <c r="P433">
        <v>16.04</v>
      </c>
      <c r="Q433">
        <v>11.6952</v>
      </c>
      <c r="R433" t="s">
        <v>75</v>
      </c>
      <c r="S433" t="s">
        <v>38</v>
      </c>
      <c r="T433" t="s">
        <v>106</v>
      </c>
      <c r="U433" t="s">
        <v>767</v>
      </c>
      <c r="V433" t="s">
        <v>1352</v>
      </c>
      <c r="W433" t="s">
        <v>54</v>
      </c>
    </row>
    <row r="434" spans="1:23" x14ac:dyDescent="0.3">
      <c r="A434" t="s">
        <v>23</v>
      </c>
      <c r="B434" t="s">
        <v>2653</v>
      </c>
      <c r="C434" t="s">
        <v>2654</v>
      </c>
      <c r="D434" t="s">
        <v>2516</v>
      </c>
      <c r="E434" t="s">
        <v>2516</v>
      </c>
      <c r="F434" t="s">
        <v>1379</v>
      </c>
      <c r="G434" t="s">
        <v>1380</v>
      </c>
      <c r="H434" t="s">
        <v>2655</v>
      </c>
      <c r="I434" t="s">
        <v>139</v>
      </c>
      <c r="J434" t="s">
        <v>32</v>
      </c>
      <c r="K434" t="s">
        <v>33</v>
      </c>
      <c r="M434" t="s">
        <v>2656</v>
      </c>
      <c r="O434">
        <v>5647.0570024841672</v>
      </c>
      <c r="P434">
        <v>5544.77</v>
      </c>
      <c r="Q434">
        <v>5523.9787999999999</v>
      </c>
      <c r="R434" t="s">
        <v>125</v>
      </c>
      <c r="S434" t="s">
        <v>76</v>
      </c>
      <c r="T434" t="s">
        <v>76</v>
      </c>
      <c r="U434" t="s">
        <v>261</v>
      </c>
      <c r="V434" t="s">
        <v>2657</v>
      </c>
      <c r="W434" t="s">
        <v>40</v>
      </c>
    </row>
    <row r="435" spans="1:23" x14ac:dyDescent="0.3">
      <c r="A435" t="s">
        <v>23</v>
      </c>
      <c r="B435" t="s">
        <v>2658</v>
      </c>
      <c r="C435" t="s">
        <v>2659</v>
      </c>
      <c r="D435" t="s">
        <v>2516</v>
      </c>
      <c r="E435" t="s">
        <v>2516</v>
      </c>
      <c r="F435" t="s">
        <v>1379</v>
      </c>
      <c r="G435" t="s">
        <v>1380</v>
      </c>
      <c r="H435" t="s">
        <v>2660</v>
      </c>
      <c r="I435" t="s">
        <v>139</v>
      </c>
      <c r="J435" t="s">
        <v>32</v>
      </c>
      <c r="K435" t="s">
        <v>33</v>
      </c>
      <c r="M435" t="s">
        <v>2661</v>
      </c>
      <c r="O435">
        <v>577.55551048796144</v>
      </c>
      <c r="P435">
        <v>518.71</v>
      </c>
      <c r="Q435">
        <v>515.2944</v>
      </c>
      <c r="R435" t="s">
        <v>67</v>
      </c>
      <c r="S435" t="s">
        <v>38</v>
      </c>
      <c r="T435" t="s">
        <v>38</v>
      </c>
      <c r="U435" t="s">
        <v>39</v>
      </c>
      <c r="W435" t="s">
        <v>40</v>
      </c>
    </row>
    <row r="436" spans="1:23" x14ac:dyDescent="0.3">
      <c r="A436" t="s">
        <v>23</v>
      </c>
      <c r="B436" t="s">
        <v>2662</v>
      </c>
      <c r="C436" t="s">
        <v>2663</v>
      </c>
      <c r="D436" t="s">
        <v>2516</v>
      </c>
      <c r="E436" t="s">
        <v>2516</v>
      </c>
      <c r="F436" t="s">
        <v>1379</v>
      </c>
      <c r="G436" t="s">
        <v>1380</v>
      </c>
      <c r="H436" t="s">
        <v>2664</v>
      </c>
      <c r="I436" t="s">
        <v>139</v>
      </c>
      <c r="J436" t="s">
        <v>32</v>
      </c>
      <c r="K436" t="s">
        <v>33</v>
      </c>
      <c r="M436" t="s">
        <v>2665</v>
      </c>
      <c r="O436">
        <v>1963.4073049036881</v>
      </c>
      <c r="P436">
        <v>1707.25</v>
      </c>
      <c r="Q436">
        <v>1693.5876000000001</v>
      </c>
      <c r="R436" t="s">
        <v>125</v>
      </c>
      <c r="S436" t="s">
        <v>38</v>
      </c>
      <c r="T436" t="s">
        <v>38</v>
      </c>
      <c r="U436" t="s">
        <v>39</v>
      </c>
      <c r="W436" t="s">
        <v>40</v>
      </c>
    </row>
    <row r="437" spans="1:23" x14ac:dyDescent="0.3">
      <c r="A437" t="s">
        <v>23</v>
      </c>
      <c r="B437" t="s">
        <v>2666</v>
      </c>
      <c r="C437" t="s">
        <v>2667</v>
      </c>
      <c r="D437" t="s">
        <v>2516</v>
      </c>
      <c r="E437" t="s">
        <v>2516</v>
      </c>
      <c r="F437" t="s">
        <v>1379</v>
      </c>
      <c r="G437" t="s">
        <v>1380</v>
      </c>
      <c r="H437" t="s">
        <v>2668</v>
      </c>
      <c r="I437" t="s">
        <v>139</v>
      </c>
      <c r="J437" t="s">
        <v>32</v>
      </c>
      <c r="K437" t="s">
        <v>33</v>
      </c>
      <c r="M437" t="s">
        <v>2669</v>
      </c>
      <c r="O437">
        <v>43.5935611525098</v>
      </c>
      <c r="P437">
        <v>30.38</v>
      </c>
      <c r="Q437">
        <v>30.225200000000001</v>
      </c>
      <c r="R437" t="s">
        <v>37</v>
      </c>
      <c r="S437" t="s">
        <v>38</v>
      </c>
      <c r="T437" t="s">
        <v>38</v>
      </c>
      <c r="U437" t="s">
        <v>39</v>
      </c>
      <c r="W437" t="s">
        <v>40</v>
      </c>
    </row>
    <row r="438" spans="1:23" x14ac:dyDescent="0.3">
      <c r="A438" t="s">
        <v>23</v>
      </c>
      <c r="B438" t="s">
        <v>2670</v>
      </c>
      <c r="C438" t="s">
        <v>2671</v>
      </c>
      <c r="D438" t="s">
        <v>2516</v>
      </c>
      <c r="E438" t="s">
        <v>2516</v>
      </c>
      <c r="F438" t="s">
        <v>1379</v>
      </c>
      <c r="G438" t="s">
        <v>1380</v>
      </c>
      <c r="H438" t="s">
        <v>2672</v>
      </c>
      <c r="I438" t="s">
        <v>139</v>
      </c>
      <c r="J438" t="s">
        <v>32</v>
      </c>
      <c r="K438" t="s">
        <v>33</v>
      </c>
      <c r="M438" t="s">
        <v>2673</v>
      </c>
      <c r="O438">
        <v>27.107041642758649</v>
      </c>
      <c r="P438">
        <v>16.87</v>
      </c>
      <c r="Q438">
        <v>16.5488</v>
      </c>
      <c r="R438" t="s">
        <v>67</v>
      </c>
      <c r="S438" t="s">
        <v>106</v>
      </c>
      <c r="T438" t="s">
        <v>106</v>
      </c>
      <c r="U438" t="s">
        <v>133</v>
      </c>
      <c r="V438" t="s">
        <v>53</v>
      </c>
      <c r="W438" t="s">
        <v>40</v>
      </c>
    </row>
    <row r="439" spans="1:23" x14ac:dyDescent="0.3">
      <c r="A439" t="s">
        <v>23</v>
      </c>
      <c r="B439" t="s">
        <v>2674</v>
      </c>
      <c r="C439" t="s">
        <v>2675</v>
      </c>
      <c r="D439" t="s">
        <v>2516</v>
      </c>
      <c r="E439" t="s">
        <v>2516</v>
      </c>
      <c r="F439" t="s">
        <v>1379</v>
      </c>
      <c r="G439" t="s">
        <v>1380</v>
      </c>
      <c r="H439" t="s">
        <v>2676</v>
      </c>
      <c r="I439" t="s">
        <v>139</v>
      </c>
      <c r="J439" t="s">
        <v>32</v>
      </c>
      <c r="K439" t="s">
        <v>33</v>
      </c>
      <c r="M439" t="s">
        <v>2677</v>
      </c>
      <c r="O439">
        <v>187.767960166195</v>
      </c>
      <c r="P439">
        <v>184.98</v>
      </c>
      <c r="Q439">
        <v>184.93879999999999</v>
      </c>
      <c r="R439" t="s">
        <v>67</v>
      </c>
      <c r="S439" t="s">
        <v>38</v>
      </c>
      <c r="T439" t="s">
        <v>38</v>
      </c>
      <c r="U439" t="s">
        <v>39</v>
      </c>
      <c r="W439" t="s">
        <v>40</v>
      </c>
    </row>
    <row r="440" spans="1:23" x14ac:dyDescent="0.3">
      <c r="A440" t="s">
        <v>23</v>
      </c>
      <c r="B440" t="s">
        <v>2678</v>
      </c>
      <c r="C440" t="s">
        <v>2679</v>
      </c>
      <c r="D440" t="s">
        <v>2516</v>
      </c>
      <c r="E440" t="s">
        <v>2516</v>
      </c>
      <c r="F440" t="s">
        <v>1379</v>
      </c>
      <c r="G440" t="s">
        <v>1380</v>
      </c>
      <c r="H440" t="s">
        <v>2680</v>
      </c>
      <c r="I440" t="s">
        <v>102</v>
      </c>
      <c r="J440" t="s">
        <v>32</v>
      </c>
      <c r="K440" t="s">
        <v>33</v>
      </c>
      <c r="L440" t="s">
        <v>2681</v>
      </c>
      <c r="M440" t="s">
        <v>2682</v>
      </c>
      <c r="O440">
        <v>760.3732893627091</v>
      </c>
      <c r="P440">
        <v>743.78</v>
      </c>
      <c r="Q440">
        <v>741.60040000000004</v>
      </c>
      <c r="R440" t="s">
        <v>37</v>
      </c>
      <c r="S440" t="s">
        <v>38</v>
      </c>
      <c r="T440" t="s">
        <v>38</v>
      </c>
      <c r="U440" t="s">
        <v>39</v>
      </c>
      <c r="W440" t="s">
        <v>40</v>
      </c>
    </row>
    <row r="441" spans="1:23" x14ac:dyDescent="0.3">
      <c r="A441" t="s">
        <v>23</v>
      </c>
      <c r="B441" t="s">
        <v>2683</v>
      </c>
      <c r="C441" t="s">
        <v>2684</v>
      </c>
      <c r="D441" t="s">
        <v>2516</v>
      </c>
      <c r="E441" t="s">
        <v>2516</v>
      </c>
      <c r="F441" t="s">
        <v>1379</v>
      </c>
      <c r="G441" t="s">
        <v>1380</v>
      </c>
      <c r="H441" t="s">
        <v>2685</v>
      </c>
      <c r="I441" t="s">
        <v>139</v>
      </c>
      <c r="J441" t="s">
        <v>32</v>
      </c>
      <c r="K441" t="s">
        <v>33</v>
      </c>
      <c r="M441" t="s">
        <v>2686</v>
      </c>
      <c r="O441">
        <v>701.63096866305818</v>
      </c>
      <c r="P441">
        <v>471.61</v>
      </c>
      <c r="Q441">
        <v>466.13560000000001</v>
      </c>
      <c r="R441" t="s">
        <v>37</v>
      </c>
      <c r="S441" t="s">
        <v>38</v>
      </c>
      <c r="T441" t="s">
        <v>38</v>
      </c>
      <c r="U441" t="s">
        <v>39</v>
      </c>
      <c r="W441" t="s">
        <v>40</v>
      </c>
    </row>
    <row r="442" spans="1:23" x14ac:dyDescent="0.3">
      <c r="A442" t="s">
        <v>23</v>
      </c>
      <c r="B442" t="s">
        <v>2687</v>
      </c>
      <c r="C442" t="s">
        <v>2688</v>
      </c>
      <c r="D442" t="s">
        <v>2516</v>
      </c>
      <c r="E442" t="s">
        <v>2516</v>
      </c>
      <c r="F442" t="s">
        <v>921</v>
      </c>
      <c r="G442" t="s">
        <v>922</v>
      </c>
      <c r="H442" t="s">
        <v>2689</v>
      </c>
      <c r="I442" t="s">
        <v>139</v>
      </c>
      <c r="J442" t="s">
        <v>32</v>
      </c>
      <c r="K442" t="s">
        <v>33</v>
      </c>
      <c r="M442" t="s">
        <v>2690</v>
      </c>
      <c r="O442">
        <v>137.02907741710411</v>
      </c>
      <c r="P442">
        <v>223.28</v>
      </c>
      <c r="Q442">
        <v>105.4696</v>
      </c>
      <c r="R442" t="s">
        <v>37</v>
      </c>
      <c r="S442" t="s">
        <v>38</v>
      </c>
      <c r="T442" t="s">
        <v>51</v>
      </c>
      <c r="U442" t="s">
        <v>52</v>
      </c>
      <c r="V442" t="s">
        <v>2691</v>
      </c>
      <c r="W442" t="s">
        <v>54</v>
      </c>
    </row>
    <row r="443" spans="1:23" x14ac:dyDescent="0.3">
      <c r="A443" t="s">
        <v>23</v>
      </c>
      <c r="B443" t="s">
        <v>2692</v>
      </c>
      <c r="C443" t="s">
        <v>2693</v>
      </c>
      <c r="D443" t="s">
        <v>2516</v>
      </c>
      <c r="E443" t="s">
        <v>2516</v>
      </c>
      <c r="F443" t="s">
        <v>1379</v>
      </c>
      <c r="G443" t="s">
        <v>1380</v>
      </c>
      <c r="H443" t="s">
        <v>2694</v>
      </c>
      <c r="I443" t="s">
        <v>94</v>
      </c>
      <c r="J443" t="s">
        <v>32</v>
      </c>
      <c r="K443" t="s">
        <v>33</v>
      </c>
      <c r="L443" t="s">
        <v>2695</v>
      </c>
      <c r="M443" t="s">
        <v>2696</v>
      </c>
      <c r="O443">
        <v>2252.3121276710899</v>
      </c>
      <c r="P443">
        <v>2226.12</v>
      </c>
      <c r="Q443">
        <v>2221.2528000000002</v>
      </c>
      <c r="R443" t="s">
        <v>75</v>
      </c>
      <c r="S443" t="s">
        <v>38</v>
      </c>
      <c r="T443" t="s">
        <v>38</v>
      </c>
      <c r="U443" t="s">
        <v>39</v>
      </c>
      <c r="W443" t="s">
        <v>40</v>
      </c>
    </row>
    <row r="444" spans="1:23" x14ac:dyDescent="0.3">
      <c r="A444" t="s">
        <v>23</v>
      </c>
      <c r="B444" t="s">
        <v>2697</v>
      </c>
      <c r="C444" t="s">
        <v>2698</v>
      </c>
      <c r="D444" t="s">
        <v>70</v>
      </c>
      <c r="E444" t="s">
        <v>44</v>
      </c>
      <c r="F444" t="s">
        <v>28</v>
      </c>
      <c r="G444" t="s">
        <v>45</v>
      </c>
      <c r="H444" t="s">
        <v>2699</v>
      </c>
      <c r="I444" t="s">
        <v>139</v>
      </c>
      <c r="J444" t="s">
        <v>32</v>
      </c>
      <c r="K444" t="s">
        <v>33</v>
      </c>
      <c r="M444" t="s">
        <v>2700</v>
      </c>
      <c r="O444">
        <v>1527.8322514290869</v>
      </c>
      <c r="P444">
        <v>919.79</v>
      </c>
      <c r="Q444">
        <v>848.74959999999999</v>
      </c>
      <c r="R444" t="s">
        <v>37</v>
      </c>
      <c r="S444" t="s">
        <v>38</v>
      </c>
      <c r="T444" t="s">
        <v>51</v>
      </c>
      <c r="U444" t="s">
        <v>52</v>
      </c>
      <c r="V444" t="s">
        <v>53</v>
      </c>
      <c r="W444" t="s">
        <v>54</v>
      </c>
    </row>
    <row r="445" spans="1:23" x14ac:dyDescent="0.3">
      <c r="A445" t="s">
        <v>23</v>
      </c>
      <c r="B445" t="s">
        <v>2701</v>
      </c>
      <c r="C445" t="s">
        <v>2702</v>
      </c>
      <c r="D445" t="s">
        <v>959</v>
      </c>
      <c r="E445" t="s">
        <v>81</v>
      </c>
      <c r="F445" t="s">
        <v>59</v>
      </c>
      <c r="G445" t="s">
        <v>82</v>
      </c>
      <c r="H445" t="s">
        <v>2703</v>
      </c>
      <c r="I445" t="s">
        <v>121</v>
      </c>
      <c r="K445" t="s">
        <v>33</v>
      </c>
      <c r="M445" t="s">
        <v>2704</v>
      </c>
      <c r="O445">
        <v>997.15067745032377</v>
      </c>
      <c r="P445">
        <v>909.58</v>
      </c>
      <c r="Q445">
        <v>907.98479999999995</v>
      </c>
      <c r="R445" t="s">
        <v>37</v>
      </c>
      <c r="S445" t="s">
        <v>38</v>
      </c>
      <c r="T445" t="s">
        <v>38</v>
      </c>
      <c r="U445" t="s">
        <v>39</v>
      </c>
      <c r="W445" t="s">
        <v>40</v>
      </c>
    </row>
    <row r="446" spans="1:23" x14ac:dyDescent="0.3">
      <c r="A446" t="s">
        <v>23</v>
      </c>
      <c r="B446" t="s">
        <v>2705</v>
      </c>
      <c r="C446" t="s">
        <v>2706</v>
      </c>
      <c r="D446" t="s">
        <v>959</v>
      </c>
      <c r="E446" t="s">
        <v>81</v>
      </c>
      <c r="F446" t="s">
        <v>59</v>
      </c>
      <c r="G446" t="s">
        <v>82</v>
      </c>
      <c r="H446" t="s">
        <v>2707</v>
      </c>
      <c r="I446" t="s">
        <v>121</v>
      </c>
      <c r="J446" t="s">
        <v>32</v>
      </c>
      <c r="K446" t="s">
        <v>33</v>
      </c>
      <c r="M446" t="s">
        <v>2708</v>
      </c>
      <c r="O446">
        <v>838.92056221937548</v>
      </c>
      <c r="P446">
        <v>647.07000000000005</v>
      </c>
      <c r="Q446">
        <v>643.88840000000005</v>
      </c>
      <c r="R446" t="s">
        <v>37</v>
      </c>
      <c r="S446" t="s">
        <v>38</v>
      </c>
      <c r="T446" t="s">
        <v>38</v>
      </c>
      <c r="U446" t="s">
        <v>39</v>
      </c>
      <c r="W446" t="s">
        <v>40</v>
      </c>
    </row>
    <row r="447" spans="1:23" x14ac:dyDescent="0.3">
      <c r="A447" t="s">
        <v>23</v>
      </c>
      <c r="B447" t="s">
        <v>2709</v>
      </c>
      <c r="C447" t="s">
        <v>2710</v>
      </c>
      <c r="D447" t="s">
        <v>136</v>
      </c>
      <c r="E447" t="s">
        <v>112</v>
      </c>
      <c r="F447" t="s">
        <v>59</v>
      </c>
      <c r="G447" t="s">
        <v>82</v>
      </c>
      <c r="H447" t="s">
        <v>2711</v>
      </c>
      <c r="I447" t="s">
        <v>62</v>
      </c>
      <c r="J447" t="s">
        <v>63</v>
      </c>
      <c r="K447" t="s">
        <v>33</v>
      </c>
      <c r="L447" t="s">
        <v>2712</v>
      </c>
      <c r="M447" t="s">
        <v>2713</v>
      </c>
      <c r="N447" t="s">
        <v>2714</v>
      </c>
      <c r="O447">
        <v>870.71579076216653</v>
      </c>
      <c r="P447">
        <v>546.16</v>
      </c>
      <c r="Q447">
        <v>530.94880000000001</v>
      </c>
      <c r="R447" t="s">
        <v>37</v>
      </c>
      <c r="S447" t="s">
        <v>38</v>
      </c>
      <c r="T447" t="s">
        <v>38</v>
      </c>
      <c r="U447" t="s">
        <v>39</v>
      </c>
      <c r="W447" t="s">
        <v>40</v>
      </c>
    </row>
    <row r="448" spans="1:23" x14ac:dyDescent="0.3">
      <c r="A448" t="s">
        <v>23</v>
      </c>
      <c r="B448" t="s">
        <v>2715</v>
      </c>
      <c r="C448" t="s">
        <v>2716</v>
      </c>
      <c r="D448" t="s">
        <v>175</v>
      </c>
      <c r="E448" t="s">
        <v>90</v>
      </c>
      <c r="F448" t="s">
        <v>91</v>
      </c>
      <c r="G448" t="s">
        <v>92</v>
      </c>
      <c r="H448" t="s">
        <v>2717</v>
      </c>
      <c r="I448" t="s">
        <v>102</v>
      </c>
      <c r="J448" t="s">
        <v>32</v>
      </c>
      <c r="K448" t="s">
        <v>33</v>
      </c>
      <c r="L448" t="s">
        <v>2718</v>
      </c>
      <c r="M448" t="s">
        <v>2719</v>
      </c>
      <c r="N448" t="s">
        <v>2034</v>
      </c>
      <c r="O448">
        <v>97.865931845259524</v>
      </c>
      <c r="P448">
        <v>97.79</v>
      </c>
      <c r="Q448">
        <v>97.722800000000007</v>
      </c>
      <c r="R448" t="s">
        <v>67</v>
      </c>
      <c r="S448" t="s">
        <v>38</v>
      </c>
      <c r="T448" t="s">
        <v>38</v>
      </c>
      <c r="U448" t="s">
        <v>39</v>
      </c>
      <c r="W448" t="s">
        <v>40</v>
      </c>
    </row>
    <row r="449" spans="1:23" x14ac:dyDescent="0.3">
      <c r="A449" t="s">
        <v>23</v>
      </c>
      <c r="B449" t="s">
        <v>2720</v>
      </c>
      <c r="C449" t="s">
        <v>2721</v>
      </c>
      <c r="D449" t="s">
        <v>182</v>
      </c>
      <c r="E449" t="s">
        <v>27</v>
      </c>
      <c r="F449" t="s">
        <v>28</v>
      </c>
      <c r="G449" t="s">
        <v>29</v>
      </c>
      <c r="H449" t="s">
        <v>2722</v>
      </c>
      <c r="I449" t="s">
        <v>624</v>
      </c>
      <c r="J449" t="s">
        <v>185</v>
      </c>
      <c r="K449" t="s">
        <v>33</v>
      </c>
      <c r="L449" t="s">
        <v>2723</v>
      </c>
      <c r="M449" t="s">
        <v>2724</v>
      </c>
      <c r="N449" t="s">
        <v>2725</v>
      </c>
      <c r="O449">
        <v>1218.569623947709</v>
      </c>
      <c r="P449">
        <v>1117.53</v>
      </c>
      <c r="Q449">
        <v>1116.0640000000001</v>
      </c>
      <c r="R449" t="s">
        <v>67</v>
      </c>
      <c r="S449" t="s">
        <v>38</v>
      </c>
      <c r="T449" t="s">
        <v>38</v>
      </c>
      <c r="U449" t="s">
        <v>39</v>
      </c>
      <c r="W449" t="s">
        <v>40</v>
      </c>
    </row>
    <row r="450" spans="1:23" x14ac:dyDescent="0.3">
      <c r="A450" t="s">
        <v>23</v>
      </c>
      <c r="B450" t="s">
        <v>2726</v>
      </c>
      <c r="C450" t="s">
        <v>2727</v>
      </c>
      <c r="D450" t="s">
        <v>26</v>
      </c>
      <c r="E450" t="s">
        <v>27</v>
      </c>
      <c r="F450" t="s">
        <v>28</v>
      </c>
      <c r="G450" t="s">
        <v>29</v>
      </c>
      <c r="H450" t="s">
        <v>2728</v>
      </c>
      <c r="I450" t="s">
        <v>337</v>
      </c>
      <c r="J450" t="s">
        <v>213</v>
      </c>
      <c r="K450" t="s">
        <v>33</v>
      </c>
      <c r="L450" t="s">
        <v>2729</v>
      </c>
      <c r="M450" t="s">
        <v>2730</v>
      </c>
      <c r="N450" t="s">
        <v>2731</v>
      </c>
      <c r="O450">
        <v>3766.2457575492749</v>
      </c>
      <c r="P450">
        <v>2234.66</v>
      </c>
      <c r="Q450">
        <v>2123.8560000000002</v>
      </c>
      <c r="R450" t="s">
        <v>37</v>
      </c>
      <c r="S450" t="s">
        <v>38</v>
      </c>
      <c r="T450" t="s">
        <v>38</v>
      </c>
      <c r="U450" t="s">
        <v>39</v>
      </c>
      <c r="W450" t="s">
        <v>40</v>
      </c>
    </row>
    <row r="451" spans="1:23" x14ac:dyDescent="0.3">
      <c r="A451" t="s">
        <v>23</v>
      </c>
      <c r="B451" t="s">
        <v>2732</v>
      </c>
      <c r="C451" t="s">
        <v>2733</v>
      </c>
      <c r="D451" t="s">
        <v>239</v>
      </c>
      <c r="E451" t="s">
        <v>27</v>
      </c>
      <c r="F451" t="s">
        <v>28</v>
      </c>
      <c r="G451" t="s">
        <v>29</v>
      </c>
      <c r="H451" t="s">
        <v>2734</v>
      </c>
      <c r="I451" t="s">
        <v>1720</v>
      </c>
      <c r="J451" t="s">
        <v>32</v>
      </c>
      <c r="K451" t="s">
        <v>33</v>
      </c>
      <c r="L451" t="s">
        <v>2735</v>
      </c>
      <c r="M451" t="s">
        <v>2736</v>
      </c>
      <c r="N451" t="s">
        <v>2737</v>
      </c>
      <c r="O451">
        <v>12772.425252900781</v>
      </c>
      <c r="P451">
        <v>3888.45</v>
      </c>
      <c r="Q451">
        <v>3707.5023999999999</v>
      </c>
      <c r="R451" t="s">
        <v>37</v>
      </c>
      <c r="S451" t="s">
        <v>51</v>
      </c>
      <c r="T451" t="s">
        <v>51</v>
      </c>
      <c r="U451" t="s">
        <v>143</v>
      </c>
      <c r="V451" t="s">
        <v>262</v>
      </c>
      <c r="W451" t="s">
        <v>40</v>
      </c>
    </row>
    <row r="452" spans="1:23" x14ac:dyDescent="0.3">
      <c r="A452" t="s">
        <v>23</v>
      </c>
      <c r="B452" t="s">
        <v>2738</v>
      </c>
      <c r="C452" t="s">
        <v>2739</v>
      </c>
      <c r="D452" t="s">
        <v>239</v>
      </c>
      <c r="E452" t="s">
        <v>27</v>
      </c>
      <c r="F452" t="s">
        <v>28</v>
      </c>
      <c r="G452" t="s">
        <v>29</v>
      </c>
      <c r="H452" t="s">
        <v>2740</v>
      </c>
      <c r="I452" t="s">
        <v>47</v>
      </c>
      <c r="J452" t="s">
        <v>32</v>
      </c>
      <c r="K452" t="s">
        <v>33</v>
      </c>
      <c r="L452" t="s">
        <v>2741</v>
      </c>
      <c r="M452" t="s">
        <v>2742</v>
      </c>
      <c r="N452" t="s">
        <v>2743</v>
      </c>
      <c r="O452">
        <v>268.05085702157442</v>
      </c>
      <c r="P452">
        <v>261.77</v>
      </c>
      <c r="Q452">
        <v>261.13119999999998</v>
      </c>
      <c r="R452" t="s">
        <v>67</v>
      </c>
      <c r="S452" t="s">
        <v>38</v>
      </c>
      <c r="T452" t="s">
        <v>38</v>
      </c>
      <c r="U452" t="s">
        <v>39</v>
      </c>
      <c r="W452" t="s">
        <v>40</v>
      </c>
    </row>
    <row r="453" spans="1:23" x14ac:dyDescent="0.3">
      <c r="A453" t="s">
        <v>23</v>
      </c>
      <c r="B453" t="s">
        <v>2744</v>
      </c>
      <c r="C453" t="s">
        <v>2745</v>
      </c>
      <c r="D453" t="s">
        <v>563</v>
      </c>
      <c r="E453" t="s">
        <v>44</v>
      </c>
      <c r="F453" t="s">
        <v>28</v>
      </c>
      <c r="G453" t="s">
        <v>45</v>
      </c>
      <c r="H453" t="s">
        <v>2746</v>
      </c>
      <c r="I453" t="s">
        <v>337</v>
      </c>
      <c r="J453" t="s">
        <v>213</v>
      </c>
      <c r="K453" t="s">
        <v>33</v>
      </c>
      <c r="M453" t="s">
        <v>2747</v>
      </c>
      <c r="N453" t="s">
        <v>2748</v>
      </c>
      <c r="O453">
        <v>15426.80498536396</v>
      </c>
      <c r="P453">
        <v>8880.42</v>
      </c>
      <c r="Q453">
        <v>12001.8192</v>
      </c>
      <c r="R453" t="s">
        <v>75</v>
      </c>
      <c r="S453" t="s">
        <v>38</v>
      </c>
      <c r="T453" t="s">
        <v>38</v>
      </c>
      <c r="U453" t="s">
        <v>39</v>
      </c>
      <c r="W453" t="s">
        <v>40</v>
      </c>
    </row>
    <row r="454" spans="1:23" x14ac:dyDescent="0.3">
      <c r="A454" t="s">
        <v>23</v>
      </c>
      <c r="B454" t="s">
        <v>2749</v>
      </c>
      <c r="C454" t="s">
        <v>2750</v>
      </c>
      <c r="D454" t="s">
        <v>247</v>
      </c>
      <c r="E454" t="s">
        <v>44</v>
      </c>
      <c r="F454" t="s">
        <v>28</v>
      </c>
      <c r="G454" t="s">
        <v>45</v>
      </c>
      <c r="H454" t="s">
        <v>2751</v>
      </c>
      <c r="I454" t="s">
        <v>395</v>
      </c>
      <c r="J454" t="s">
        <v>185</v>
      </c>
      <c r="K454" t="s">
        <v>33</v>
      </c>
      <c r="M454" t="s">
        <v>2752</v>
      </c>
      <c r="N454" t="s">
        <v>2753</v>
      </c>
      <c r="O454">
        <v>786.12438505278817</v>
      </c>
      <c r="P454">
        <v>1971.36</v>
      </c>
      <c r="Q454">
        <v>1968.0604000000001</v>
      </c>
      <c r="R454" t="s">
        <v>67</v>
      </c>
      <c r="S454" t="s">
        <v>38</v>
      </c>
      <c r="T454" t="s">
        <v>38</v>
      </c>
      <c r="U454" t="s">
        <v>39</v>
      </c>
      <c r="W454" t="s">
        <v>40</v>
      </c>
    </row>
    <row r="455" spans="1:23" x14ac:dyDescent="0.3">
      <c r="A455" t="s">
        <v>23</v>
      </c>
      <c r="B455" t="s">
        <v>2754</v>
      </c>
      <c r="C455" t="s">
        <v>2755</v>
      </c>
      <c r="D455" t="s">
        <v>247</v>
      </c>
      <c r="E455" t="s">
        <v>44</v>
      </c>
      <c r="F455" t="s">
        <v>28</v>
      </c>
      <c r="G455" t="s">
        <v>45</v>
      </c>
      <c r="H455" t="s">
        <v>2756</v>
      </c>
      <c r="I455" t="s">
        <v>47</v>
      </c>
      <c r="J455" t="s">
        <v>32</v>
      </c>
      <c r="K455" t="s">
        <v>33</v>
      </c>
      <c r="L455" t="s">
        <v>2757</v>
      </c>
      <c r="M455" t="s">
        <v>2758</v>
      </c>
      <c r="N455" t="s">
        <v>2759</v>
      </c>
      <c r="O455">
        <v>323.49292042246628</v>
      </c>
      <c r="P455">
        <v>287.8</v>
      </c>
      <c r="Q455">
        <v>286.21600000000001</v>
      </c>
      <c r="R455" t="s">
        <v>125</v>
      </c>
      <c r="S455" t="s">
        <v>38</v>
      </c>
      <c r="T455" t="s">
        <v>38</v>
      </c>
      <c r="U455" t="s">
        <v>39</v>
      </c>
      <c r="W455" t="s">
        <v>40</v>
      </c>
    </row>
    <row r="456" spans="1:23" x14ac:dyDescent="0.3">
      <c r="A456" t="s">
        <v>23</v>
      </c>
      <c r="B456" t="s">
        <v>2760</v>
      </c>
      <c r="C456" t="s">
        <v>2761</v>
      </c>
      <c r="D456" t="s">
        <v>2516</v>
      </c>
      <c r="E456" t="s">
        <v>2516</v>
      </c>
      <c r="F456" t="s">
        <v>1379</v>
      </c>
      <c r="G456" t="s">
        <v>1380</v>
      </c>
      <c r="H456" t="s">
        <v>2762</v>
      </c>
      <c r="I456" t="s">
        <v>139</v>
      </c>
      <c r="J456" t="s">
        <v>32</v>
      </c>
      <c r="K456" t="s">
        <v>33</v>
      </c>
      <c r="M456" t="s">
        <v>2763</v>
      </c>
      <c r="O456">
        <v>14.600386708899849</v>
      </c>
      <c r="P456">
        <v>14.6</v>
      </c>
      <c r="Q456">
        <v>14.577199999999999</v>
      </c>
      <c r="R456" t="s">
        <v>37</v>
      </c>
      <c r="S456" t="s">
        <v>38</v>
      </c>
      <c r="T456" t="s">
        <v>38</v>
      </c>
      <c r="U456" t="s">
        <v>39</v>
      </c>
      <c r="W456" t="s">
        <v>40</v>
      </c>
    </row>
    <row r="457" spans="1:23" x14ac:dyDescent="0.3">
      <c r="A457" t="s">
        <v>23</v>
      </c>
      <c r="B457" t="s">
        <v>2764</v>
      </c>
      <c r="C457" t="s">
        <v>2765</v>
      </c>
      <c r="D457" t="s">
        <v>1347</v>
      </c>
      <c r="E457" t="s">
        <v>90</v>
      </c>
      <c r="F457" t="s">
        <v>91</v>
      </c>
      <c r="G457" t="s">
        <v>92</v>
      </c>
      <c r="J457" t="s">
        <v>32</v>
      </c>
      <c r="O457">
        <v>322.85723694217887</v>
      </c>
      <c r="Q457">
        <v>305.58640000000003</v>
      </c>
      <c r="R457" t="s">
        <v>125</v>
      </c>
      <c r="S457" t="s">
        <v>2766</v>
      </c>
      <c r="T457" t="s">
        <v>51</v>
      </c>
      <c r="U457" t="s">
        <v>2767</v>
      </c>
      <c r="V457" t="s">
        <v>1352</v>
      </c>
      <c r="W457" t="s">
        <v>2768</v>
      </c>
    </row>
    <row r="458" spans="1:23" x14ac:dyDescent="0.3">
      <c r="A458" t="s">
        <v>23</v>
      </c>
      <c r="B458" t="s">
        <v>2769</v>
      </c>
      <c r="C458" t="s">
        <v>2770</v>
      </c>
      <c r="D458" t="s">
        <v>1347</v>
      </c>
      <c r="E458" t="s">
        <v>90</v>
      </c>
      <c r="F458" t="s">
        <v>91</v>
      </c>
      <c r="G458" t="s">
        <v>92</v>
      </c>
      <c r="J458" t="s">
        <v>32</v>
      </c>
      <c r="O458">
        <v>39.595347546791771</v>
      </c>
      <c r="Q458">
        <v>39.436</v>
      </c>
      <c r="R458" t="s">
        <v>37</v>
      </c>
      <c r="S458" t="s">
        <v>2766</v>
      </c>
      <c r="T458" t="s">
        <v>106</v>
      </c>
      <c r="U458" t="s">
        <v>2771</v>
      </c>
      <c r="V458" t="s">
        <v>1352</v>
      </c>
      <c r="W458" t="s">
        <v>2768</v>
      </c>
    </row>
    <row r="459" spans="1:23" x14ac:dyDescent="0.3">
      <c r="A459" t="s">
        <v>23</v>
      </c>
      <c r="B459" t="s">
        <v>2772</v>
      </c>
      <c r="C459" t="s">
        <v>2773</v>
      </c>
      <c r="D459" t="s">
        <v>1347</v>
      </c>
      <c r="E459" t="s">
        <v>90</v>
      </c>
      <c r="F459" t="s">
        <v>91</v>
      </c>
      <c r="G459" t="s">
        <v>92</v>
      </c>
      <c r="J459" t="s">
        <v>32</v>
      </c>
      <c r="O459">
        <v>119.0549919361203</v>
      </c>
      <c r="Q459">
        <v>91.066000000000003</v>
      </c>
      <c r="R459" t="s">
        <v>37</v>
      </c>
      <c r="S459" t="s">
        <v>2766</v>
      </c>
      <c r="T459" t="s">
        <v>51</v>
      </c>
      <c r="U459" t="s">
        <v>2767</v>
      </c>
      <c r="V459" t="s">
        <v>2774</v>
      </c>
      <c r="W459" t="s">
        <v>2768</v>
      </c>
    </row>
    <row r="460" spans="1:23" x14ac:dyDescent="0.3">
      <c r="A460" t="s">
        <v>23</v>
      </c>
      <c r="B460" t="s">
        <v>2775</v>
      </c>
      <c r="C460" t="s">
        <v>2776</v>
      </c>
      <c r="D460" t="s">
        <v>1347</v>
      </c>
      <c r="E460" t="s">
        <v>90</v>
      </c>
      <c r="F460" t="s">
        <v>91</v>
      </c>
      <c r="G460" t="s">
        <v>92</v>
      </c>
      <c r="J460" t="s">
        <v>32</v>
      </c>
      <c r="O460">
        <v>41.655101601687889</v>
      </c>
      <c r="Q460">
        <v>35.177999999999997</v>
      </c>
      <c r="R460" t="s">
        <v>67</v>
      </c>
      <c r="S460" t="s">
        <v>2766</v>
      </c>
      <c r="T460" t="s">
        <v>38</v>
      </c>
      <c r="U460" t="s">
        <v>2777</v>
      </c>
      <c r="W460" t="s">
        <v>2768</v>
      </c>
    </row>
    <row r="461" spans="1:23" x14ac:dyDescent="0.3">
      <c r="A461" t="s">
        <v>23</v>
      </c>
      <c r="B461" t="s">
        <v>2778</v>
      </c>
      <c r="C461" t="s">
        <v>2779</v>
      </c>
      <c r="D461" t="s">
        <v>1347</v>
      </c>
      <c r="E461" t="s">
        <v>90</v>
      </c>
      <c r="F461" t="s">
        <v>91</v>
      </c>
      <c r="G461" t="s">
        <v>92</v>
      </c>
      <c r="J461" t="s">
        <v>32</v>
      </c>
      <c r="O461">
        <v>96.945200475818041</v>
      </c>
      <c r="Q461">
        <v>84.936800000000005</v>
      </c>
      <c r="R461" t="s">
        <v>37</v>
      </c>
      <c r="S461" t="s">
        <v>2766</v>
      </c>
      <c r="T461" t="s">
        <v>106</v>
      </c>
      <c r="U461" t="s">
        <v>2771</v>
      </c>
      <c r="V461" t="s">
        <v>1352</v>
      </c>
      <c r="W461" t="s">
        <v>2768</v>
      </c>
    </row>
    <row r="462" spans="1:23" x14ac:dyDescent="0.3">
      <c r="A462" t="s">
        <v>23</v>
      </c>
      <c r="B462" t="s">
        <v>2780</v>
      </c>
      <c r="C462" t="s">
        <v>2781</v>
      </c>
      <c r="D462" t="s">
        <v>43</v>
      </c>
      <c r="E462" t="s">
        <v>44</v>
      </c>
      <c r="F462" t="s">
        <v>28</v>
      </c>
      <c r="G462" t="s">
        <v>45</v>
      </c>
      <c r="J462" t="s">
        <v>32</v>
      </c>
      <c r="O462">
        <v>388.18484059009069</v>
      </c>
      <c r="Q462">
        <v>373.6336</v>
      </c>
      <c r="R462" t="s">
        <v>67</v>
      </c>
      <c r="S462" t="s">
        <v>2766</v>
      </c>
      <c r="T462" t="s">
        <v>38</v>
      </c>
      <c r="U462" t="s">
        <v>2777</v>
      </c>
      <c r="W462" t="s">
        <v>2768</v>
      </c>
    </row>
    <row r="463" spans="1:23" x14ac:dyDescent="0.3">
      <c r="A463" t="s">
        <v>23</v>
      </c>
      <c r="B463" t="s">
        <v>2782</v>
      </c>
      <c r="C463" t="s">
        <v>2783</v>
      </c>
      <c r="D463" t="s">
        <v>563</v>
      </c>
      <c r="E463" t="s">
        <v>44</v>
      </c>
      <c r="F463" t="s">
        <v>28</v>
      </c>
      <c r="G463" t="s">
        <v>137</v>
      </c>
      <c r="J463" t="s">
        <v>32</v>
      </c>
      <c r="O463">
        <v>7198.4572785761529</v>
      </c>
      <c r="Q463">
        <v>3751.6592000000001</v>
      </c>
      <c r="R463" t="s">
        <v>75</v>
      </c>
      <c r="S463" t="s">
        <v>2766</v>
      </c>
      <c r="T463" t="s">
        <v>38</v>
      </c>
      <c r="U463" t="s">
        <v>2777</v>
      </c>
      <c r="W463" t="s">
        <v>2768</v>
      </c>
    </row>
    <row r="464" spans="1:23" x14ac:dyDescent="0.3">
      <c r="A464" t="s">
        <v>23</v>
      </c>
      <c r="B464" t="s">
        <v>2784</v>
      </c>
      <c r="C464" t="s">
        <v>2785</v>
      </c>
      <c r="D464" t="s">
        <v>563</v>
      </c>
      <c r="E464" t="s">
        <v>44</v>
      </c>
      <c r="F464" t="s">
        <v>28</v>
      </c>
      <c r="G464" t="s">
        <v>137</v>
      </c>
      <c r="J464" t="s">
        <v>32</v>
      </c>
      <c r="O464">
        <v>999.598868985281</v>
      </c>
      <c r="Q464">
        <v>953.04240000000004</v>
      </c>
      <c r="R464" t="s">
        <v>75</v>
      </c>
      <c r="S464" t="s">
        <v>2766</v>
      </c>
      <c r="T464" t="s">
        <v>38</v>
      </c>
      <c r="U464" t="s">
        <v>2777</v>
      </c>
      <c r="W464" t="s">
        <v>2768</v>
      </c>
    </row>
  </sheetData>
  <autoFilter ref="A1:W464" xr:uid="{00000000-0001-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D4D2-C9B7-41A5-9668-0BBF4C69A269}">
  <dimension ref="A3:F26"/>
  <sheetViews>
    <sheetView tabSelected="1" zoomScale="78" zoomScaleNormal="78" workbookViewId="0">
      <selection activeCell="A11" sqref="A11:F11"/>
    </sheetView>
  </sheetViews>
  <sheetFormatPr defaultRowHeight="14.4" x14ac:dyDescent="0.3"/>
  <cols>
    <col min="1" max="1" width="20.109375" customWidth="1"/>
    <col min="2" max="2" width="16.88671875" bestFit="1" customWidth="1"/>
    <col min="3" max="3" width="26.77734375" customWidth="1"/>
    <col min="4" max="4" width="25.44140625" bestFit="1" customWidth="1"/>
    <col min="5" max="5" width="18.88671875" bestFit="1" customWidth="1"/>
    <col min="6" max="6" width="20.88671875" bestFit="1" customWidth="1"/>
  </cols>
  <sheetData>
    <row r="3" spans="1:6" x14ac:dyDescent="0.3">
      <c r="A3" s="1" t="s">
        <v>2786</v>
      </c>
      <c r="B3" t="s">
        <v>2790</v>
      </c>
      <c r="C3" t="s">
        <v>2788</v>
      </c>
      <c r="D3" t="s">
        <v>2791</v>
      </c>
      <c r="E3" t="s">
        <v>2789</v>
      </c>
      <c r="F3" t="s">
        <v>2792</v>
      </c>
    </row>
    <row r="4" spans="1:6" x14ac:dyDescent="0.3">
      <c r="A4" s="2" t="s">
        <v>106</v>
      </c>
      <c r="B4">
        <v>4</v>
      </c>
      <c r="C4">
        <v>2940.3183619412048</v>
      </c>
      <c r="D4" s="3">
        <v>8.8059359201746751E-3</v>
      </c>
      <c r="E4">
        <v>851.95839999999998</v>
      </c>
      <c r="F4" s="3">
        <v>3.9072002911530995E-3</v>
      </c>
    </row>
    <row r="5" spans="1:6" x14ac:dyDescent="0.3">
      <c r="A5" s="2" t="s">
        <v>51</v>
      </c>
      <c r="B5">
        <v>14</v>
      </c>
      <c r="C5">
        <v>91898.123674764254</v>
      </c>
      <c r="D5" s="3">
        <v>0.27522495480047038</v>
      </c>
      <c r="E5">
        <v>35466.576800000003</v>
      </c>
      <c r="F5" s="3">
        <v>0.16265467797390551</v>
      </c>
    </row>
    <row r="6" spans="1:6" x14ac:dyDescent="0.3">
      <c r="A6" s="2" t="s">
        <v>38</v>
      </c>
      <c r="B6">
        <v>49</v>
      </c>
      <c r="C6">
        <v>183287.290814309</v>
      </c>
      <c r="D6" s="3">
        <v>0.54892563974863195</v>
      </c>
      <c r="E6">
        <v>158172.57760000005</v>
      </c>
      <c r="F6" s="3">
        <v>0.72540154689613534</v>
      </c>
    </row>
    <row r="7" spans="1:6" x14ac:dyDescent="0.3">
      <c r="A7" s="2" t="s">
        <v>76</v>
      </c>
      <c r="B7">
        <v>6</v>
      </c>
      <c r="C7">
        <v>55776.124781726452</v>
      </c>
      <c r="D7" s="3">
        <v>0.1670434695307226</v>
      </c>
      <c r="E7">
        <v>23557.191999999999</v>
      </c>
      <c r="F7" s="3">
        <v>0.10803657483880606</v>
      </c>
    </row>
    <row r="8" spans="1:6" x14ac:dyDescent="0.3">
      <c r="A8" s="2" t="s">
        <v>2787</v>
      </c>
      <c r="B8">
        <v>73</v>
      </c>
      <c r="C8">
        <v>333901.85763274104</v>
      </c>
      <c r="D8" s="3">
        <v>1</v>
      </c>
      <c r="E8">
        <v>218048.30480000004</v>
      </c>
      <c r="F8" s="3">
        <v>1</v>
      </c>
    </row>
    <row r="11" spans="1:6" s="5" customFormat="1" ht="46.8" x14ac:dyDescent="0.3">
      <c r="A11" s="15" t="s">
        <v>2797</v>
      </c>
      <c r="B11" s="16" t="s">
        <v>2798</v>
      </c>
      <c r="C11" s="17" t="s">
        <v>2799</v>
      </c>
      <c r="D11" s="17" t="s">
        <v>2800</v>
      </c>
      <c r="E11" s="17" t="s">
        <v>2803</v>
      </c>
      <c r="F11" s="17" t="s">
        <v>2801</v>
      </c>
    </row>
    <row r="12" spans="1:6" ht="15.6" x14ac:dyDescent="0.3">
      <c r="A12" s="7" t="s">
        <v>2793</v>
      </c>
      <c r="B12" s="8">
        <v>4</v>
      </c>
      <c r="C12" s="9">
        <v>2940.3183619412048</v>
      </c>
      <c r="D12" s="10">
        <f>C12/$C$16*100</f>
        <v>0.88059359201746756</v>
      </c>
      <c r="E12" s="9">
        <v>851.95839999999998</v>
      </c>
      <c r="F12" s="10">
        <f>E12/$E$16*100</f>
        <v>0.39072002911530995</v>
      </c>
    </row>
    <row r="13" spans="1:6" ht="15.6" x14ac:dyDescent="0.3">
      <c r="A13" s="7" t="s">
        <v>2794</v>
      </c>
      <c r="B13" s="8">
        <v>14</v>
      </c>
      <c r="C13" s="9">
        <v>91898.123674764254</v>
      </c>
      <c r="D13" s="10">
        <f>C13/$C$16*100</f>
        <v>27.522495480047038</v>
      </c>
      <c r="E13" s="9">
        <v>35466.576800000003</v>
      </c>
      <c r="F13" s="10">
        <f>E13/$E$16*100</f>
        <v>16.265467797390549</v>
      </c>
    </row>
    <row r="14" spans="1:6" ht="15.6" x14ac:dyDescent="0.3">
      <c r="A14" s="7" t="s">
        <v>2795</v>
      </c>
      <c r="B14" s="8">
        <v>6</v>
      </c>
      <c r="C14" s="9">
        <v>55776.124781726452</v>
      </c>
      <c r="D14" s="10">
        <f>C14/$C$16*100</f>
        <v>16.70434695307226</v>
      </c>
      <c r="E14" s="9">
        <v>23557.191999999999</v>
      </c>
      <c r="F14" s="10">
        <f>E14/$E$16*100</f>
        <v>10.803657483880606</v>
      </c>
    </row>
    <row r="15" spans="1:6" ht="15.6" x14ac:dyDescent="0.3">
      <c r="A15" s="7" t="s">
        <v>2796</v>
      </c>
      <c r="B15" s="8">
        <v>49</v>
      </c>
      <c r="C15" s="9">
        <v>183287.290814309</v>
      </c>
      <c r="D15" s="10">
        <f>C15/$C$16*100</f>
        <v>54.892563974863194</v>
      </c>
      <c r="E15" s="9">
        <v>158172.57760000005</v>
      </c>
      <c r="F15" s="10">
        <f>E15/$E$16*100</f>
        <v>72.54015468961353</v>
      </c>
    </row>
    <row r="16" spans="1:6" ht="15.6" x14ac:dyDescent="0.3">
      <c r="A16" s="11" t="s">
        <v>2802</v>
      </c>
      <c r="B16" s="12">
        <v>73</v>
      </c>
      <c r="C16" s="13">
        <v>333901.85763274104</v>
      </c>
      <c r="D16" s="14">
        <f>C16/$C$16*100</f>
        <v>100</v>
      </c>
      <c r="E16" s="13">
        <v>218048.30480000004</v>
      </c>
      <c r="F16" s="14">
        <f>E16/$E$16*100</f>
        <v>100</v>
      </c>
    </row>
    <row r="18" spans="1:6" x14ac:dyDescent="0.3">
      <c r="C18" s="4"/>
      <c r="D18" s="4"/>
      <c r="E18" s="4"/>
      <c r="F18" s="4"/>
    </row>
    <row r="19" spans="1:6" x14ac:dyDescent="0.3">
      <c r="E19">
        <f>SUM(E12:E14)/E16*100</f>
        <v>27.45984531038647</v>
      </c>
    </row>
    <row r="21" spans="1:6" x14ac:dyDescent="0.3">
      <c r="A21" s="1" t="s">
        <v>2786</v>
      </c>
      <c r="B21" t="s">
        <v>2790</v>
      </c>
      <c r="C21" t="s">
        <v>2788</v>
      </c>
      <c r="D21" t="s">
        <v>2791</v>
      </c>
      <c r="E21" t="s">
        <v>2789</v>
      </c>
      <c r="F21" t="s">
        <v>2792</v>
      </c>
    </row>
    <row r="22" spans="1:6" x14ac:dyDescent="0.3">
      <c r="A22" s="2" t="s">
        <v>125</v>
      </c>
      <c r="B22" s="6">
        <v>3</v>
      </c>
      <c r="C22" s="6">
        <v>2512.4008043732683</v>
      </c>
      <c r="D22" s="3">
        <v>7.5243690531864599E-3</v>
      </c>
      <c r="E22" s="6">
        <v>2068.8267999999998</v>
      </c>
      <c r="F22" s="3">
        <v>9.4879288417196624E-3</v>
      </c>
    </row>
    <row r="23" spans="1:6" x14ac:dyDescent="0.3">
      <c r="A23" s="2" t="s">
        <v>75</v>
      </c>
      <c r="B23" s="6">
        <v>21</v>
      </c>
      <c r="C23" s="6">
        <v>121218.20885355107</v>
      </c>
      <c r="D23" s="3">
        <v>0.36303544314772596</v>
      </c>
      <c r="E23" s="6">
        <v>58015.532800000008</v>
      </c>
      <c r="F23" s="3">
        <v>0.26606734160677598</v>
      </c>
    </row>
    <row r="24" spans="1:6" x14ac:dyDescent="0.3">
      <c r="A24" s="2" t="s">
        <v>37</v>
      </c>
      <c r="B24" s="6">
        <v>37</v>
      </c>
      <c r="C24" s="6">
        <v>195850.95272064969</v>
      </c>
      <c r="D24" s="3">
        <v>0.58655245019950231</v>
      </c>
      <c r="E24" s="6">
        <v>142140.13079999998</v>
      </c>
      <c r="F24" s="3">
        <v>0.65187450519450219</v>
      </c>
    </row>
    <row r="25" spans="1:6" x14ac:dyDescent="0.3">
      <c r="A25" s="2" t="s">
        <v>67</v>
      </c>
      <c r="B25" s="6">
        <v>12</v>
      </c>
      <c r="C25" s="6">
        <v>14320.295254166931</v>
      </c>
      <c r="D25" s="3">
        <v>4.2887737599584828E-2</v>
      </c>
      <c r="E25" s="6">
        <v>15823.814400000001</v>
      </c>
      <c r="F25" s="3">
        <v>7.2570224357002208E-2</v>
      </c>
    </row>
    <row r="26" spans="1:6" x14ac:dyDescent="0.3">
      <c r="A26" s="2" t="s">
        <v>2787</v>
      </c>
      <c r="B26" s="6">
        <v>73</v>
      </c>
      <c r="C26" s="6">
        <v>333901.8576327411</v>
      </c>
      <c r="D26" s="3">
        <v>1</v>
      </c>
      <c r="E26" s="6">
        <v>218048.30479999998</v>
      </c>
      <c r="F26" s="3">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748EB-CB03-4FEA-9F40-A6CCC6F524D1}">
  <dimension ref="A3:C7"/>
  <sheetViews>
    <sheetView workbookViewId="0">
      <selection activeCell="A3" sqref="A3:C7"/>
    </sheetView>
  </sheetViews>
  <sheetFormatPr defaultRowHeight="14.4" x14ac:dyDescent="0.3"/>
  <cols>
    <col min="1" max="2" width="12.5546875" bestFit="1" customWidth="1"/>
  </cols>
  <sheetData>
    <row r="3" spans="1:3" x14ac:dyDescent="0.3">
      <c r="A3" t="s">
        <v>2874</v>
      </c>
      <c r="B3" t="s">
        <v>2875</v>
      </c>
    </row>
    <row r="4" spans="1:3" x14ac:dyDescent="0.3">
      <c r="A4" s="6">
        <v>1264180.1715999988</v>
      </c>
      <c r="B4" s="6">
        <v>980945.0159999996</v>
      </c>
    </row>
    <row r="7" spans="1:3" x14ac:dyDescent="0.3">
      <c r="A7" s="6">
        <v>1264180.1715999988</v>
      </c>
      <c r="B7" s="6">
        <v>980945.0159999996</v>
      </c>
      <c r="C7">
        <f>B7/A7*100</f>
        <v>77.595348988781794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82D3-5D50-4FB9-8A2B-839A1ACCDF84}">
  <dimension ref="A1:U464"/>
  <sheetViews>
    <sheetView topLeftCell="A440" workbookViewId="0">
      <selection sqref="A1:W464"/>
    </sheetView>
  </sheetViews>
  <sheetFormatPr defaultRowHeight="14.4" x14ac:dyDescent="0.3"/>
  <sheetData>
    <row r="1" spans="1:21" x14ac:dyDescent="0.3">
      <c r="B1" t="s">
        <v>2806</v>
      </c>
      <c r="C1" t="s">
        <v>2807</v>
      </c>
      <c r="D1" t="s">
        <v>2808</v>
      </c>
      <c r="E1" t="s">
        <v>2809</v>
      </c>
      <c r="F1" t="s">
        <v>2810</v>
      </c>
      <c r="G1" t="s">
        <v>2811</v>
      </c>
      <c r="H1" t="s">
        <v>2812</v>
      </c>
      <c r="I1" t="s">
        <v>2813</v>
      </c>
      <c r="J1" t="s">
        <v>2814</v>
      </c>
      <c r="K1" t="s">
        <v>2815</v>
      </c>
      <c r="L1" t="s">
        <v>2816</v>
      </c>
      <c r="M1" t="s">
        <v>2817</v>
      </c>
      <c r="N1" t="s">
        <v>21</v>
      </c>
      <c r="O1" t="s">
        <v>2818</v>
      </c>
      <c r="P1" t="s">
        <v>2819</v>
      </c>
      <c r="Q1" t="s">
        <v>2820</v>
      </c>
      <c r="R1" t="s">
        <v>2821</v>
      </c>
      <c r="S1" t="s">
        <v>2822</v>
      </c>
      <c r="T1" t="s">
        <v>2823</v>
      </c>
      <c r="U1" t="s">
        <v>2824</v>
      </c>
    </row>
    <row r="2" spans="1:21" x14ac:dyDescent="0.3">
      <c r="A2">
        <v>1</v>
      </c>
      <c r="B2" t="s">
        <v>2760</v>
      </c>
      <c r="C2" t="s">
        <v>38</v>
      </c>
      <c r="D2">
        <v>0</v>
      </c>
      <c r="E2" t="s">
        <v>38</v>
      </c>
      <c r="F2">
        <v>0</v>
      </c>
      <c r="G2" t="s">
        <v>38</v>
      </c>
      <c r="H2" t="s">
        <v>38</v>
      </c>
      <c r="I2">
        <v>0</v>
      </c>
      <c r="J2" t="s">
        <v>38</v>
      </c>
      <c r="K2">
        <v>0</v>
      </c>
      <c r="L2">
        <v>2.8185635480418299E-2</v>
      </c>
      <c r="M2" t="s">
        <v>38</v>
      </c>
      <c r="O2" t="s">
        <v>2825</v>
      </c>
      <c r="P2">
        <v>14.6008</v>
      </c>
      <c r="Q2">
        <v>14.5748</v>
      </c>
      <c r="R2">
        <v>0.998219275656128</v>
      </c>
      <c r="S2">
        <v>2.5708174513945099E-3</v>
      </c>
      <c r="T2">
        <v>0</v>
      </c>
      <c r="U2" t="s">
        <v>2826</v>
      </c>
    </row>
    <row r="3" spans="1:21" x14ac:dyDescent="0.3">
      <c r="A3">
        <v>2</v>
      </c>
      <c r="B3" t="s">
        <v>2514</v>
      </c>
      <c r="C3" t="s">
        <v>38</v>
      </c>
      <c r="D3">
        <v>5</v>
      </c>
      <c r="E3" t="s">
        <v>38</v>
      </c>
      <c r="F3">
        <v>2</v>
      </c>
      <c r="G3" t="s">
        <v>38</v>
      </c>
      <c r="H3" t="s">
        <v>38</v>
      </c>
      <c r="I3">
        <v>0</v>
      </c>
      <c r="J3" t="s">
        <v>38</v>
      </c>
      <c r="K3">
        <v>0</v>
      </c>
      <c r="L3">
        <v>1.9255425605103502E-2</v>
      </c>
      <c r="M3" t="s">
        <v>38</v>
      </c>
      <c r="O3" t="s">
        <v>2825</v>
      </c>
      <c r="P3">
        <v>53.769199999999998</v>
      </c>
      <c r="Q3">
        <v>51.1648</v>
      </c>
      <c r="R3">
        <v>0.95156334853410496</v>
      </c>
      <c r="S3">
        <v>3.0602390518435999E-2</v>
      </c>
      <c r="T3">
        <v>2</v>
      </c>
      <c r="U3" t="s">
        <v>2826</v>
      </c>
    </row>
    <row r="4" spans="1:21" x14ac:dyDescent="0.3">
      <c r="A4">
        <v>3</v>
      </c>
      <c r="B4" t="s">
        <v>2520</v>
      </c>
      <c r="C4" t="s">
        <v>38</v>
      </c>
      <c r="D4">
        <v>21</v>
      </c>
      <c r="E4" t="s">
        <v>38</v>
      </c>
      <c r="F4">
        <v>5</v>
      </c>
      <c r="G4" t="s">
        <v>38</v>
      </c>
      <c r="H4" t="s">
        <v>38</v>
      </c>
      <c r="I4">
        <v>0.1</v>
      </c>
      <c r="J4" t="s">
        <v>38</v>
      </c>
      <c r="K4">
        <v>3</v>
      </c>
      <c r="L4">
        <v>8.2557131463050895E-2</v>
      </c>
      <c r="M4" t="s">
        <v>38</v>
      </c>
      <c r="O4" t="s">
        <v>2825</v>
      </c>
      <c r="P4">
        <v>729.20280000000002</v>
      </c>
      <c r="Q4">
        <v>576.74</v>
      </c>
      <c r="R4">
        <v>0.79091852088335401</v>
      </c>
      <c r="S4">
        <v>0.104223443061363</v>
      </c>
      <c r="T4">
        <v>5</v>
      </c>
      <c r="U4" t="s">
        <v>2826</v>
      </c>
    </row>
    <row r="5" spans="1:21" x14ac:dyDescent="0.3">
      <c r="A5">
        <v>4</v>
      </c>
      <c r="B5" t="s">
        <v>2524</v>
      </c>
      <c r="C5" t="s">
        <v>38</v>
      </c>
      <c r="D5">
        <v>12</v>
      </c>
      <c r="E5" t="s">
        <v>38</v>
      </c>
      <c r="F5">
        <v>3</v>
      </c>
      <c r="G5" t="s">
        <v>38</v>
      </c>
      <c r="H5" t="s">
        <v>38</v>
      </c>
      <c r="I5">
        <v>0.1</v>
      </c>
      <c r="J5" t="s">
        <v>38</v>
      </c>
      <c r="K5">
        <v>16</v>
      </c>
      <c r="L5">
        <v>7.9381051934918206E-2</v>
      </c>
      <c r="M5" t="s">
        <v>38</v>
      </c>
      <c r="O5" t="s">
        <v>2825</v>
      </c>
      <c r="P5">
        <v>1175.6312</v>
      </c>
      <c r="Q5">
        <v>1034.7103999999999</v>
      </c>
      <c r="R5">
        <v>0.88013179643411998</v>
      </c>
      <c r="S5">
        <v>5.44672084756802E-2</v>
      </c>
      <c r="T5">
        <v>3</v>
      </c>
      <c r="U5" t="s">
        <v>2826</v>
      </c>
    </row>
    <row r="6" spans="1:21" x14ac:dyDescent="0.3">
      <c r="A6">
        <v>5</v>
      </c>
      <c r="B6" t="s">
        <v>2528</v>
      </c>
      <c r="C6" t="s">
        <v>38</v>
      </c>
      <c r="D6">
        <v>1</v>
      </c>
      <c r="E6" t="s">
        <v>38</v>
      </c>
      <c r="F6">
        <v>1</v>
      </c>
      <c r="G6" t="s">
        <v>38</v>
      </c>
      <c r="H6" t="s">
        <v>38</v>
      </c>
      <c r="I6">
        <v>0</v>
      </c>
      <c r="J6" t="s">
        <v>38</v>
      </c>
      <c r="K6">
        <v>19</v>
      </c>
      <c r="L6">
        <v>1.5070636782057801E-2</v>
      </c>
      <c r="M6" t="s">
        <v>38</v>
      </c>
      <c r="O6" t="s">
        <v>2825</v>
      </c>
      <c r="P6">
        <v>1077.8671999999999</v>
      </c>
      <c r="Q6">
        <v>1061.8263999999999</v>
      </c>
      <c r="R6">
        <v>0.98511801824937295</v>
      </c>
      <c r="S6">
        <v>1.30080257737102E-2</v>
      </c>
      <c r="T6">
        <v>1</v>
      </c>
      <c r="U6" t="s">
        <v>2826</v>
      </c>
    </row>
    <row r="7" spans="1:21" x14ac:dyDescent="0.3">
      <c r="A7">
        <v>6</v>
      </c>
      <c r="B7" t="s">
        <v>2532</v>
      </c>
      <c r="C7" t="s">
        <v>38</v>
      </c>
      <c r="D7">
        <v>48</v>
      </c>
      <c r="E7" t="s">
        <v>38</v>
      </c>
      <c r="F7">
        <v>16</v>
      </c>
      <c r="G7" t="s">
        <v>38</v>
      </c>
      <c r="H7" t="s">
        <v>38</v>
      </c>
      <c r="I7">
        <v>0.3</v>
      </c>
      <c r="J7" t="s">
        <v>38</v>
      </c>
      <c r="K7">
        <v>17</v>
      </c>
      <c r="L7">
        <v>5.2255819534437302E-2</v>
      </c>
      <c r="M7" t="s">
        <v>38</v>
      </c>
      <c r="O7" t="s">
        <v>2827</v>
      </c>
      <c r="P7">
        <v>35.516399999999997</v>
      </c>
      <c r="Q7">
        <v>20.0016</v>
      </c>
      <c r="R7">
        <v>0.56316518566070894</v>
      </c>
      <c r="S7">
        <v>0.31123390654542199</v>
      </c>
      <c r="T7">
        <v>16</v>
      </c>
      <c r="U7" t="s">
        <v>2826</v>
      </c>
    </row>
    <row r="8" spans="1:21" x14ac:dyDescent="0.3">
      <c r="A8">
        <v>7</v>
      </c>
      <c r="B8" t="s">
        <v>2537</v>
      </c>
      <c r="C8" t="s">
        <v>38</v>
      </c>
      <c r="D8">
        <v>20</v>
      </c>
      <c r="E8" t="s">
        <v>38</v>
      </c>
      <c r="F8">
        <v>5</v>
      </c>
      <c r="G8" t="s">
        <v>38</v>
      </c>
      <c r="H8" t="s">
        <v>38</v>
      </c>
      <c r="I8">
        <v>0.1</v>
      </c>
      <c r="J8" t="s">
        <v>38</v>
      </c>
      <c r="K8">
        <v>0</v>
      </c>
      <c r="L8">
        <v>0.14204805698081899</v>
      </c>
      <c r="M8" t="s">
        <v>38</v>
      </c>
      <c r="O8" t="s">
        <v>2825</v>
      </c>
      <c r="P8">
        <v>386.30680000000001</v>
      </c>
      <c r="Q8">
        <v>310.89760000000001</v>
      </c>
      <c r="R8">
        <v>0.80479453118609401</v>
      </c>
      <c r="S8">
        <v>9.9536474779369694E-2</v>
      </c>
      <c r="T8">
        <v>5</v>
      </c>
      <c r="U8" t="s">
        <v>2826</v>
      </c>
    </row>
    <row r="9" spans="1:21" x14ac:dyDescent="0.3">
      <c r="A9">
        <v>8</v>
      </c>
      <c r="B9" t="s">
        <v>2541</v>
      </c>
      <c r="C9" t="s">
        <v>76</v>
      </c>
      <c r="D9">
        <v>57</v>
      </c>
      <c r="E9" t="s">
        <v>38</v>
      </c>
      <c r="F9">
        <v>24</v>
      </c>
      <c r="G9" t="s">
        <v>106</v>
      </c>
      <c r="H9" t="s">
        <v>51</v>
      </c>
      <c r="I9">
        <v>0.5</v>
      </c>
      <c r="J9" t="s">
        <v>38</v>
      </c>
      <c r="K9">
        <v>5</v>
      </c>
      <c r="L9">
        <v>9.9167936551915206E-2</v>
      </c>
      <c r="M9" t="s">
        <v>106</v>
      </c>
      <c r="N9" t="s">
        <v>53</v>
      </c>
      <c r="O9" t="s">
        <v>2828</v>
      </c>
      <c r="P9">
        <v>215.488</v>
      </c>
      <c r="Q9">
        <v>92.396799999999999</v>
      </c>
      <c r="R9">
        <v>0.42877932877932901</v>
      </c>
      <c r="S9">
        <v>0.48852878441455999</v>
      </c>
      <c r="T9">
        <v>24</v>
      </c>
      <c r="U9" t="s">
        <v>2826</v>
      </c>
    </row>
    <row r="10" spans="1:21" x14ac:dyDescent="0.3">
      <c r="A10">
        <v>9</v>
      </c>
      <c r="B10" t="s">
        <v>2545</v>
      </c>
      <c r="C10" t="s">
        <v>38</v>
      </c>
      <c r="D10">
        <v>14</v>
      </c>
      <c r="E10" t="s">
        <v>38</v>
      </c>
      <c r="F10">
        <v>2</v>
      </c>
      <c r="G10" t="s">
        <v>38</v>
      </c>
      <c r="H10" t="s">
        <v>38</v>
      </c>
      <c r="I10">
        <v>0</v>
      </c>
      <c r="J10" t="s">
        <v>38</v>
      </c>
      <c r="K10">
        <v>0</v>
      </c>
      <c r="L10" s="18">
        <v>4.4729453898097403E-5</v>
      </c>
      <c r="M10" t="s">
        <v>38</v>
      </c>
      <c r="O10" t="s">
        <v>2825</v>
      </c>
      <c r="P10">
        <v>311.19279999999998</v>
      </c>
      <c r="Q10">
        <v>268.27960000000002</v>
      </c>
      <c r="R10">
        <v>0.86210092264345495</v>
      </c>
      <c r="S10">
        <v>4.8371985661524598E-2</v>
      </c>
      <c r="T10">
        <v>2</v>
      </c>
      <c r="U10" t="s">
        <v>2826</v>
      </c>
    </row>
    <row r="11" spans="1:21" x14ac:dyDescent="0.3">
      <c r="A11">
        <v>10</v>
      </c>
      <c r="B11" t="s">
        <v>2549</v>
      </c>
      <c r="C11" t="s">
        <v>38</v>
      </c>
      <c r="D11">
        <v>13</v>
      </c>
      <c r="E11" t="s">
        <v>38</v>
      </c>
      <c r="F11">
        <v>2</v>
      </c>
      <c r="G11" t="s">
        <v>38</v>
      </c>
      <c r="H11" t="s">
        <v>38</v>
      </c>
      <c r="I11">
        <v>0</v>
      </c>
      <c r="J11" t="s">
        <v>38</v>
      </c>
      <c r="K11">
        <v>0</v>
      </c>
      <c r="L11">
        <v>4.72955371389826E-3</v>
      </c>
      <c r="M11" t="s">
        <v>38</v>
      </c>
      <c r="O11" t="s">
        <v>2825</v>
      </c>
      <c r="P11">
        <v>2976.1347999999998</v>
      </c>
      <c r="Q11">
        <v>2598.0464000000002</v>
      </c>
      <c r="R11">
        <v>0.87295992103583497</v>
      </c>
      <c r="S11">
        <v>4.00021369937631E-2</v>
      </c>
      <c r="T11">
        <v>2</v>
      </c>
      <c r="U11" t="s">
        <v>2826</v>
      </c>
    </row>
    <row r="12" spans="1:21" x14ac:dyDescent="0.3">
      <c r="A12">
        <v>11</v>
      </c>
      <c r="B12" t="s">
        <v>2553</v>
      </c>
      <c r="C12" t="s">
        <v>38</v>
      </c>
      <c r="D12">
        <v>1</v>
      </c>
      <c r="E12" t="s">
        <v>38</v>
      </c>
      <c r="F12">
        <v>1</v>
      </c>
      <c r="G12" t="s">
        <v>38</v>
      </c>
      <c r="H12" t="s">
        <v>38</v>
      </c>
      <c r="I12">
        <v>0</v>
      </c>
      <c r="J12" t="s">
        <v>38</v>
      </c>
      <c r="K12">
        <v>0</v>
      </c>
      <c r="L12">
        <v>2.3013242238696299E-3</v>
      </c>
      <c r="M12" t="s">
        <v>38</v>
      </c>
      <c r="O12" t="s">
        <v>2825</v>
      </c>
      <c r="P12">
        <v>2128.9656</v>
      </c>
      <c r="Q12">
        <v>2109.2204000000002</v>
      </c>
      <c r="R12">
        <v>0.99072544901617998</v>
      </c>
      <c r="S12">
        <v>1.1282613822186901E-2</v>
      </c>
      <c r="T12">
        <v>1</v>
      </c>
      <c r="U12" t="s">
        <v>2826</v>
      </c>
    </row>
    <row r="13" spans="1:21" x14ac:dyDescent="0.3">
      <c r="A13">
        <v>12</v>
      </c>
      <c r="B13" t="s">
        <v>2558</v>
      </c>
      <c r="C13" t="s">
        <v>38</v>
      </c>
      <c r="D13">
        <v>25</v>
      </c>
      <c r="E13" t="s">
        <v>38</v>
      </c>
      <c r="F13">
        <v>11</v>
      </c>
      <c r="G13" t="s">
        <v>38</v>
      </c>
      <c r="H13" t="s">
        <v>38</v>
      </c>
      <c r="I13">
        <v>0.2</v>
      </c>
      <c r="J13" t="s">
        <v>38</v>
      </c>
      <c r="K13">
        <v>0</v>
      </c>
      <c r="L13">
        <v>0.26400212103135201</v>
      </c>
      <c r="M13" t="s">
        <v>38</v>
      </c>
      <c r="O13" t="s">
        <v>2825</v>
      </c>
      <c r="P13">
        <v>40.482399999999998</v>
      </c>
      <c r="Q13">
        <v>30.173999999999999</v>
      </c>
      <c r="R13">
        <v>0.74536094697942801</v>
      </c>
      <c r="S13">
        <v>0.212253805664014</v>
      </c>
      <c r="T13">
        <v>11</v>
      </c>
      <c r="U13" t="s">
        <v>2826</v>
      </c>
    </row>
    <row r="14" spans="1:21" x14ac:dyDescent="0.3">
      <c r="A14">
        <v>13</v>
      </c>
      <c r="B14" t="s">
        <v>2562</v>
      </c>
      <c r="C14" t="s">
        <v>38</v>
      </c>
      <c r="D14">
        <v>1</v>
      </c>
      <c r="E14" t="s">
        <v>38</v>
      </c>
      <c r="F14">
        <v>0</v>
      </c>
      <c r="G14" t="s">
        <v>38</v>
      </c>
      <c r="H14" t="s">
        <v>38</v>
      </c>
      <c r="I14">
        <v>0</v>
      </c>
      <c r="J14" t="s">
        <v>38</v>
      </c>
      <c r="K14">
        <v>33</v>
      </c>
      <c r="L14">
        <v>5.3289846980989503E-3</v>
      </c>
      <c r="M14" t="s">
        <v>38</v>
      </c>
      <c r="O14" t="s">
        <v>2825</v>
      </c>
      <c r="P14">
        <v>1239.9792</v>
      </c>
      <c r="Q14">
        <v>1230.8535999999999</v>
      </c>
      <c r="R14">
        <v>0.99264052171197703</v>
      </c>
      <c r="S14">
        <v>9.1002183647370307E-3</v>
      </c>
      <c r="T14">
        <v>0</v>
      </c>
      <c r="U14" t="s">
        <v>2826</v>
      </c>
    </row>
    <row r="15" spans="1:21" x14ac:dyDescent="0.3">
      <c r="A15">
        <v>14</v>
      </c>
      <c r="B15" t="s">
        <v>2566</v>
      </c>
      <c r="C15" t="s">
        <v>38</v>
      </c>
      <c r="D15">
        <v>12</v>
      </c>
      <c r="E15" t="s">
        <v>38</v>
      </c>
      <c r="F15">
        <v>2</v>
      </c>
      <c r="G15" t="s">
        <v>38</v>
      </c>
      <c r="H15" t="s">
        <v>38</v>
      </c>
      <c r="I15">
        <v>0</v>
      </c>
      <c r="J15" t="s">
        <v>38</v>
      </c>
      <c r="K15">
        <v>19</v>
      </c>
      <c r="L15">
        <v>3.95511279056453E-2</v>
      </c>
      <c r="M15" t="s">
        <v>38</v>
      </c>
      <c r="O15" t="s">
        <v>2825</v>
      </c>
      <c r="P15">
        <v>1030.5103999999999</v>
      </c>
      <c r="Q15">
        <v>908.23199999999997</v>
      </c>
      <c r="R15">
        <v>0.88134190591380701</v>
      </c>
      <c r="S15">
        <v>4.0852478597408703E-2</v>
      </c>
      <c r="T15">
        <v>2</v>
      </c>
      <c r="U15" t="s">
        <v>2826</v>
      </c>
    </row>
    <row r="16" spans="1:21" x14ac:dyDescent="0.3">
      <c r="A16">
        <v>15</v>
      </c>
      <c r="B16" t="s">
        <v>2570</v>
      </c>
      <c r="C16" t="s">
        <v>38</v>
      </c>
      <c r="D16">
        <v>2</v>
      </c>
      <c r="E16" t="s">
        <v>38</v>
      </c>
      <c r="F16">
        <v>1</v>
      </c>
      <c r="G16" t="s">
        <v>38</v>
      </c>
      <c r="H16" t="s">
        <v>38</v>
      </c>
      <c r="I16">
        <v>0</v>
      </c>
      <c r="J16" t="s">
        <v>38</v>
      </c>
      <c r="K16">
        <v>43</v>
      </c>
      <c r="L16">
        <v>8.7597779328590605E-4</v>
      </c>
      <c r="M16" t="s">
        <v>38</v>
      </c>
      <c r="O16" t="s">
        <v>2825</v>
      </c>
      <c r="P16">
        <v>784.61400000000003</v>
      </c>
      <c r="Q16">
        <v>768.05600000000004</v>
      </c>
      <c r="R16">
        <v>0.97889662942542399</v>
      </c>
      <c r="S16">
        <v>1.4943380364326801E-2</v>
      </c>
      <c r="T16">
        <v>1</v>
      </c>
      <c r="U16" t="s">
        <v>2826</v>
      </c>
    </row>
    <row r="17" spans="1:21" x14ac:dyDescent="0.3">
      <c r="A17">
        <v>16</v>
      </c>
      <c r="B17" t="s">
        <v>2574</v>
      </c>
      <c r="C17" t="s">
        <v>38</v>
      </c>
      <c r="D17">
        <v>7</v>
      </c>
      <c r="E17" t="s">
        <v>38</v>
      </c>
      <c r="F17">
        <v>2</v>
      </c>
      <c r="G17" t="s">
        <v>38</v>
      </c>
      <c r="H17" t="s">
        <v>38</v>
      </c>
      <c r="I17">
        <v>0</v>
      </c>
      <c r="J17" t="s">
        <v>38</v>
      </c>
      <c r="K17">
        <v>12</v>
      </c>
      <c r="L17">
        <v>5.3859941125071501E-3</v>
      </c>
      <c r="M17" t="s">
        <v>38</v>
      </c>
      <c r="O17" t="s">
        <v>2825</v>
      </c>
      <c r="P17">
        <v>674.05840000000001</v>
      </c>
      <c r="Q17">
        <v>625.32560000000001</v>
      </c>
      <c r="R17">
        <v>0.92770240679442595</v>
      </c>
      <c r="S17">
        <v>4.1645523403068402E-2</v>
      </c>
      <c r="T17">
        <v>2</v>
      </c>
      <c r="U17" t="s">
        <v>2826</v>
      </c>
    </row>
    <row r="18" spans="1:21" x14ac:dyDescent="0.3">
      <c r="A18">
        <v>17</v>
      </c>
      <c r="B18" t="s">
        <v>2578</v>
      </c>
      <c r="C18" t="s">
        <v>38</v>
      </c>
      <c r="D18">
        <v>13</v>
      </c>
      <c r="E18" t="s">
        <v>38</v>
      </c>
      <c r="F18">
        <v>2</v>
      </c>
      <c r="G18" t="s">
        <v>38</v>
      </c>
      <c r="H18" t="s">
        <v>38</v>
      </c>
      <c r="I18">
        <v>0</v>
      </c>
      <c r="J18" t="s">
        <v>38</v>
      </c>
      <c r="K18">
        <v>2</v>
      </c>
      <c r="L18">
        <v>6.1045880987268999E-2</v>
      </c>
      <c r="M18" t="s">
        <v>38</v>
      </c>
      <c r="O18" t="s">
        <v>2825</v>
      </c>
      <c r="P18">
        <v>240.80160000000001</v>
      </c>
      <c r="Q18">
        <v>210.196</v>
      </c>
      <c r="R18">
        <v>0.87290117673636702</v>
      </c>
      <c r="S18">
        <v>3.01714714867523E-2</v>
      </c>
      <c r="T18">
        <v>2</v>
      </c>
      <c r="U18" t="s">
        <v>2826</v>
      </c>
    </row>
    <row r="19" spans="1:21" x14ac:dyDescent="0.3">
      <c r="A19">
        <v>18</v>
      </c>
      <c r="B19" t="s">
        <v>2582</v>
      </c>
      <c r="C19" t="s">
        <v>38</v>
      </c>
      <c r="D19">
        <v>4</v>
      </c>
      <c r="E19" t="s">
        <v>38</v>
      </c>
      <c r="F19">
        <v>2</v>
      </c>
      <c r="G19" t="s">
        <v>38</v>
      </c>
      <c r="H19" t="s">
        <v>38</v>
      </c>
      <c r="I19">
        <v>0</v>
      </c>
      <c r="J19" t="s">
        <v>38</v>
      </c>
      <c r="K19">
        <v>38</v>
      </c>
      <c r="L19">
        <v>7.7170048256202904E-3</v>
      </c>
      <c r="M19" t="s">
        <v>38</v>
      </c>
      <c r="O19" t="s">
        <v>2825</v>
      </c>
      <c r="P19">
        <v>3596.1840000000002</v>
      </c>
      <c r="Q19">
        <v>3450.6651999999999</v>
      </c>
      <c r="R19">
        <v>0.95953521844265999</v>
      </c>
      <c r="S19">
        <v>3.43389546128351E-2</v>
      </c>
      <c r="T19">
        <v>2</v>
      </c>
      <c r="U19" t="s">
        <v>2826</v>
      </c>
    </row>
    <row r="20" spans="1:21" x14ac:dyDescent="0.3">
      <c r="A20">
        <v>19</v>
      </c>
      <c r="B20" t="s">
        <v>2586</v>
      </c>
      <c r="C20" t="s">
        <v>38</v>
      </c>
      <c r="D20">
        <v>2</v>
      </c>
      <c r="E20" t="s">
        <v>38</v>
      </c>
      <c r="F20">
        <v>1</v>
      </c>
      <c r="G20" t="s">
        <v>38</v>
      </c>
      <c r="H20" t="s">
        <v>38</v>
      </c>
      <c r="I20">
        <v>0</v>
      </c>
      <c r="J20" t="s">
        <v>38</v>
      </c>
      <c r="K20">
        <v>25</v>
      </c>
      <c r="L20">
        <v>1.32542704532233E-3</v>
      </c>
      <c r="M20" t="s">
        <v>38</v>
      </c>
      <c r="O20" t="s">
        <v>2825</v>
      </c>
      <c r="P20">
        <v>491.80560000000003</v>
      </c>
      <c r="Q20">
        <v>484.07040000000001</v>
      </c>
      <c r="R20">
        <v>0.98427183423694198</v>
      </c>
      <c r="S20">
        <v>1.55782498341199E-2</v>
      </c>
      <c r="T20">
        <v>1</v>
      </c>
      <c r="U20" t="s">
        <v>2826</v>
      </c>
    </row>
    <row r="21" spans="1:21" x14ac:dyDescent="0.3">
      <c r="A21">
        <v>20</v>
      </c>
      <c r="B21" t="s">
        <v>2590</v>
      </c>
      <c r="C21" t="s">
        <v>38</v>
      </c>
      <c r="D21">
        <v>4</v>
      </c>
      <c r="E21" t="s">
        <v>38</v>
      </c>
      <c r="F21">
        <v>2</v>
      </c>
      <c r="G21" t="s">
        <v>38</v>
      </c>
      <c r="H21" t="s">
        <v>38</v>
      </c>
      <c r="I21">
        <v>0</v>
      </c>
      <c r="J21" t="s">
        <v>38</v>
      </c>
      <c r="K21">
        <v>7</v>
      </c>
      <c r="L21">
        <v>6.50939545010329E-3</v>
      </c>
      <c r="M21" t="s">
        <v>38</v>
      </c>
      <c r="O21" t="s">
        <v>2829</v>
      </c>
      <c r="P21">
        <v>167.52680000000001</v>
      </c>
      <c r="Q21">
        <v>161.67400000000001</v>
      </c>
      <c r="R21">
        <v>0.96506350028771504</v>
      </c>
      <c r="S21">
        <v>3.5384367952173701E-2</v>
      </c>
      <c r="T21">
        <v>2</v>
      </c>
      <c r="U21" t="s">
        <v>2826</v>
      </c>
    </row>
    <row r="22" spans="1:21" x14ac:dyDescent="0.3">
      <c r="A22">
        <v>21</v>
      </c>
      <c r="B22" t="s">
        <v>2594</v>
      </c>
      <c r="C22" t="s">
        <v>38</v>
      </c>
      <c r="D22">
        <v>39</v>
      </c>
      <c r="E22" t="s">
        <v>38</v>
      </c>
      <c r="F22">
        <v>9</v>
      </c>
      <c r="G22" t="s">
        <v>38</v>
      </c>
      <c r="H22" t="s">
        <v>38</v>
      </c>
      <c r="I22">
        <v>0.2</v>
      </c>
      <c r="J22" t="s">
        <v>38</v>
      </c>
      <c r="K22">
        <v>0</v>
      </c>
      <c r="L22">
        <v>3.5244688261929599E-2</v>
      </c>
      <c r="M22" t="s">
        <v>38</v>
      </c>
      <c r="O22" t="s">
        <v>2825</v>
      </c>
      <c r="P22">
        <v>30.147600000000001</v>
      </c>
      <c r="Q22">
        <v>18.374400000000001</v>
      </c>
      <c r="R22">
        <v>0.609481351749393</v>
      </c>
      <c r="S22">
        <v>0.18231622319707999</v>
      </c>
      <c r="T22">
        <v>9</v>
      </c>
      <c r="U22" t="s">
        <v>2826</v>
      </c>
    </row>
    <row r="23" spans="1:21" x14ac:dyDescent="0.3">
      <c r="A23">
        <v>22</v>
      </c>
      <c r="B23" t="s">
        <v>2598</v>
      </c>
      <c r="C23" t="s">
        <v>38</v>
      </c>
      <c r="D23">
        <v>37</v>
      </c>
      <c r="E23" t="s">
        <v>38</v>
      </c>
      <c r="F23">
        <v>18</v>
      </c>
      <c r="G23" t="s">
        <v>106</v>
      </c>
      <c r="H23" t="s">
        <v>51</v>
      </c>
      <c r="I23">
        <v>0.4</v>
      </c>
      <c r="J23" t="s">
        <v>38</v>
      </c>
      <c r="K23">
        <v>1</v>
      </c>
      <c r="L23">
        <v>0.29535955705473699</v>
      </c>
      <c r="M23" t="s">
        <v>106</v>
      </c>
      <c r="N23" t="s">
        <v>53</v>
      </c>
      <c r="O23" t="s">
        <v>2830</v>
      </c>
      <c r="P23">
        <v>51.4116</v>
      </c>
      <c r="Q23">
        <v>29.764399999999998</v>
      </c>
      <c r="R23">
        <v>0.57894327350247798</v>
      </c>
      <c r="S23">
        <v>0.35102055423670198</v>
      </c>
      <c r="T23">
        <v>18</v>
      </c>
      <c r="U23" t="s">
        <v>2826</v>
      </c>
    </row>
    <row r="24" spans="1:21" x14ac:dyDescent="0.3">
      <c r="A24">
        <v>23</v>
      </c>
      <c r="B24" t="s">
        <v>2602</v>
      </c>
      <c r="C24" t="s">
        <v>38</v>
      </c>
      <c r="D24">
        <v>37</v>
      </c>
      <c r="E24" t="s">
        <v>38</v>
      </c>
      <c r="F24">
        <v>21</v>
      </c>
      <c r="G24" t="s">
        <v>106</v>
      </c>
      <c r="H24" t="s">
        <v>51</v>
      </c>
      <c r="I24">
        <v>0.4</v>
      </c>
      <c r="J24" t="s">
        <v>38</v>
      </c>
      <c r="K24">
        <v>1</v>
      </c>
      <c r="L24">
        <v>9.9827376958969996E-2</v>
      </c>
      <c r="M24" t="s">
        <v>106</v>
      </c>
      <c r="N24" t="s">
        <v>53</v>
      </c>
      <c r="O24" t="s">
        <v>2830</v>
      </c>
      <c r="P24">
        <v>176.6464</v>
      </c>
      <c r="Q24">
        <v>106.1272</v>
      </c>
      <c r="R24">
        <v>0.60078892069127898</v>
      </c>
      <c r="S24">
        <v>0.41707219888824298</v>
      </c>
      <c r="T24">
        <v>21</v>
      </c>
      <c r="U24" t="s">
        <v>2826</v>
      </c>
    </row>
    <row r="25" spans="1:21" x14ac:dyDescent="0.3">
      <c r="A25">
        <v>24</v>
      </c>
      <c r="B25" t="s">
        <v>2607</v>
      </c>
      <c r="C25" t="s">
        <v>38</v>
      </c>
      <c r="D25">
        <v>34</v>
      </c>
      <c r="E25" t="s">
        <v>38</v>
      </c>
      <c r="F25">
        <v>10</v>
      </c>
      <c r="G25" t="s">
        <v>38</v>
      </c>
      <c r="H25" t="s">
        <v>38</v>
      </c>
      <c r="I25">
        <v>0.2</v>
      </c>
      <c r="J25" t="s">
        <v>38</v>
      </c>
      <c r="K25">
        <v>0</v>
      </c>
      <c r="L25">
        <v>7.7635092611464895E-2</v>
      </c>
      <c r="M25" t="s">
        <v>38</v>
      </c>
      <c r="O25" t="s">
        <v>2825</v>
      </c>
      <c r="P25">
        <v>1290.854</v>
      </c>
      <c r="Q25">
        <v>849.76520000000005</v>
      </c>
      <c r="R25">
        <v>0.65829691041744498</v>
      </c>
      <c r="S25">
        <v>0.204659056267714</v>
      </c>
      <c r="T25">
        <v>10</v>
      </c>
      <c r="U25" t="s">
        <v>2826</v>
      </c>
    </row>
    <row r="26" spans="1:21" x14ac:dyDescent="0.3">
      <c r="A26">
        <v>25</v>
      </c>
      <c r="B26" t="s">
        <v>2611</v>
      </c>
      <c r="C26" t="s">
        <v>38</v>
      </c>
      <c r="D26">
        <v>12</v>
      </c>
      <c r="E26" t="s">
        <v>38</v>
      </c>
      <c r="F26">
        <v>6</v>
      </c>
      <c r="G26" t="s">
        <v>38</v>
      </c>
      <c r="H26" t="s">
        <v>38</v>
      </c>
      <c r="I26">
        <v>0.1</v>
      </c>
      <c r="J26" t="s">
        <v>38</v>
      </c>
      <c r="K26">
        <v>0</v>
      </c>
      <c r="L26">
        <v>2.4447885558382201E-2</v>
      </c>
      <c r="M26" t="s">
        <v>38</v>
      </c>
      <c r="O26" t="s">
        <v>2825</v>
      </c>
      <c r="P26">
        <v>245.8596</v>
      </c>
      <c r="Q26">
        <v>216.98400000000001</v>
      </c>
      <c r="R26">
        <v>0.88255248117218099</v>
      </c>
      <c r="S26">
        <v>0.121611595871905</v>
      </c>
      <c r="T26">
        <v>6</v>
      </c>
      <c r="U26" t="s">
        <v>2826</v>
      </c>
    </row>
    <row r="27" spans="1:21" x14ac:dyDescent="0.3">
      <c r="A27">
        <v>26</v>
      </c>
      <c r="B27" t="s">
        <v>2616</v>
      </c>
      <c r="C27" t="s">
        <v>38</v>
      </c>
      <c r="D27">
        <v>18</v>
      </c>
      <c r="E27" t="s">
        <v>38</v>
      </c>
      <c r="F27">
        <v>12</v>
      </c>
      <c r="G27" t="s">
        <v>51</v>
      </c>
      <c r="H27" t="s">
        <v>76</v>
      </c>
      <c r="I27">
        <v>0.2</v>
      </c>
      <c r="J27" t="s">
        <v>38</v>
      </c>
      <c r="K27">
        <v>0</v>
      </c>
      <c r="L27">
        <v>0.155642110717679</v>
      </c>
      <c r="M27" t="s">
        <v>51</v>
      </c>
      <c r="N27" t="s">
        <v>108</v>
      </c>
      <c r="O27" t="s">
        <v>2831</v>
      </c>
      <c r="P27">
        <v>596.31719999999996</v>
      </c>
      <c r="Q27">
        <v>463.16</v>
      </c>
      <c r="R27">
        <v>0.77670072236722298</v>
      </c>
      <c r="S27">
        <v>0.24190462474493099</v>
      </c>
      <c r="T27">
        <v>12</v>
      </c>
      <c r="U27" t="s">
        <v>2826</v>
      </c>
    </row>
    <row r="28" spans="1:21" x14ac:dyDescent="0.3">
      <c r="A28">
        <v>27</v>
      </c>
      <c r="B28" t="s">
        <v>2620</v>
      </c>
      <c r="C28" t="s">
        <v>38</v>
      </c>
      <c r="D28">
        <v>32</v>
      </c>
      <c r="E28" t="s">
        <v>38</v>
      </c>
      <c r="F28">
        <v>9</v>
      </c>
      <c r="G28" t="s">
        <v>38</v>
      </c>
      <c r="H28" t="s">
        <v>38</v>
      </c>
      <c r="I28">
        <v>0.2</v>
      </c>
      <c r="J28" t="s">
        <v>38</v>
      </c>
      <c r="K28">
        <v>1</v>
      </c>
      <c r="L28">
        <v>8.0276871209088996E-2</v>
      </c>
      <c r="M28" t="s">
        <v>38</v>
      </c>
      <c r="O28" t="s">
        <v>2825</v>
      </c>
      <c r="P28">
        <v>307.52159999999998</v>
      </c>
      <c r="Q28">
        <v>207.8656</v>
      </c>
      <c r="R28">
        <v>0.675938210519196</v>
      </c>
      <c r="S28">
        <v>0.177893479870498</v>
      </c>
      <c r="T28">
        <v>9</v>
      </c>
      <c r="U28" t="s">
        <v>2826</v>
      </c>
    </row>
    <row r="29" spans="1:21" x14ac:dyDescent="0.3">
      <c r="A29">
        <v>28</v>
      </c>
      <c r="B29" t="s">
        <v>2624</v>
      </c>
      <c r="C29" t="s">
        <v>38</v>
      </c>
      <c r="D29">
        <v>14</v>
      </c>
      <c r="E29" t="s">
        <v>38</v>
      </c>
      <c r="F29">
        <v>8</v>
      </c>
      <c r="G29" t="s">
        <v>38</v>
      </c>
      <c r="H29" t="s">
        <v>38</v>
      </c>
      <c r="I29">
        <v>0.2</v>
      </c>
      <c r="J29" t="s">
        <v>38</v>
      </c>
      <c r="K29">
        <v>0</v>
      </c>
      <c r="L29">
        <v>2.70015310146452E-2</v>
      </c>
      <c r="M29" t="s">
        <v>38</v>
      </c>
      <c r="O29" t="s">
        <v>2825</v>
      </c>
      <c r="P29">
        <v>59.856400000000001</v>
      </c>
      <c r="Q29">
        <v>51.730400000000003</v>
      </c>
      <c r="R29">
        <v>0.86424175192627695</v>
      </c>
      <c r="S29">
        <v>0.16820398293862401</v>
      </c>
      <c r="T29">
        <v>8</v>
      </c>
      <c r="U29" t="s">
        <v>2826</v>
      </c>
    </row>
    <row r="30" spans="1:21" x14ac:dyDescent="0.3">
      <c r="A30">
        <v>29</v>
      </c>
      <c r="B30" t="s">
        <v>2628</v>
      </c>
      <c r="C30" t="s">
        <v>38</v>
      </c>
      <c r="D30">
        <v>6</v>
      </c>
      <c r="E30" t="s">
        <v>38</v>
      </c>
      <c r="F30">
        <v>3</v>
      </c>
      <c r="G30" t="s">
        <v>38</v>
      </c>
      <c r="H30" t="s">
        <v>38</v>
      </c>
      <c r="I30">
        <v>0.1</v>
      </c>
      <c r="J30" t="s">
        <v>38</v>
      </c>
      <c r="K30">
        <v>9</v>
      </c>
      <c r="L30">
        <v>3.96599714135259E-3</v>
      </c>
      <c r="M30" t="s">
        <v>38</v>
      </c>
      <c r="O30" t="s">
        <v>2829</v>
      </c>
      <c r="P30">
        <v>286.20319999999998</v>
      </c>
      <c r="Q30">
        <v>265.86</v>
      </c>
      <c r="R30">
        <v>0.92892043135786095</v>
      </c>
      <c r="S30">
        <v>5.6680695731303903E-2</v>
      </c>
      <c r="T30">
        <v>3</v>
      </c>
      <c r="U30" t="s">
        <v>2826</v>
      </c>
    </row>
    <row r="31" spans="1:21" x14ac:dyDescent="0.3">
      <c r="A31">
        <v>30</v>
      </c>
      <c r="B31" t="s">
        <v>2632</v>
      </c>
      <c r="C31" t="s">
        <v>51</v>
      </c>
      <c r="D31">
        <v>79</v>
      </c>
      <c r="E31" t="s">
        <v>76</v>
      </c>
      <c r="F31">
        <v>45</v>
      </c>
      <c r="G31" t="s">
        <v>106</v>
      </c>
      <c r="H31" t="s">
        <v>51</v>
      </c>
      <c r="I31">
        <v>0.9</v>
      </c>
      <c r="J31" t="s">
        <v>38</v>
      </c>
      <c r="K31">
        <v>3</v>
      </c>
      <c r="L31">
        <v>3.9560383968432603E-2</v>
      </c>
      <c r="M31" t="s">
        <v>106</v>
      </c>
      <c r="N31" t="s">
        <v>53</v>
      </c>
      <c r="O31" t="s">
        <v>2832</v>
      </c>
      <c r="P31">
        <v>163.45760000000001</v>
      </c>
      <c r="Q31">
        <v>63.255200000000002</v>
      </c>
      <c r="R31">
        <v>0.386982312232652</v>
      </c>
      <c r="S31">
        <v>0.89681043889154399</v>
      </c>
      <c r="T31">
        <v>45</v>
      </c>
      <c r="U31" t="s">
        <v>2826</v>
      </c>
    </row>
    <row r="32" spans="1:21" x14ac:dyDescent="0.3">
      <c r="A32">
        <v>31</v>
      </c>
      <c r="B32" t="s">
        <v>2637</v>
      </c>
      <c r="C32" t="s">
        <v>38</v>
      </c>
      <c r="D32">
        <v>38</v>
      </c>
      <c r="E32" t="s">
        <v>38</v>
      </c>
      <c r="F32">
        <v>7</v>
      </c>
      <c r="G32" t="s">
        <v>38</v>
      </c>
      <c r="H32" t="s">
        <v>38</v>
      </c>
      <c r="I32">
        <v>0.1</v>
      </c>
      <c r="J32" t="s">
        <v>38</v>
      </c>
      <c r="K32">
        <v>0</v>
      </c>
      <c r="L32">
        <v>2.3112031190185098E-2</v>
      </c>
      <c r="M32" t="s">
        <v>38</v>
      </c>
      <c r="O32" t="s">
        <v>2825</v>
      </c>
      <c r="P32">
        <v>697.02520000000004</v>
      </c>
      <c r="Q32">
        <v>430.49439999999998</v>
      </c>
      <c r="R32">
        <v>0.61761669448966805</v>
      </c>
      <c r="S32">
        <v>0.14522392370610801</v>
      </c>
      <c r="T32">
        <v>7</v>
      </c>
      <c r="U32" t="s">
        <v>2826</v>
      </c>
    </row>
    <row r="33" spans="1:21" x14ac:dyDescent="0.3">
      <c r="A33">
        <v>32</v>
      </c>
      <c r="B33" t="s">
        <v>2641</v>
      </c>
      <c r="C33" t="s">
        <v>38</v>
      </c>
      <c r="D33">
        <v>3</v>
      </c>
      <c r="E33" t="s">
        <v>38</v>
      </c>
      <c r="F33">
        <v>1</v>
      </c>
      <c r="G33" t="s">
        <v>38</v>
      </c>
      <c r="H33" t="s">
        <v>38</v>
      </c>
      <c r="I33">
        <v>0</v>
      </c>
      <c r="J33" t="s">
        <v>38</v>
      </c>
      <c r="K33">
        <v>0</v>
      </c>
      <c r="L33">
        <v>3.00687160730692E-4</v>
      </c>
      <c r="M33" t="s">
        <v>38</v>
      </c>
      <c r="O33" t="s">
        <v>2833</v>
      </c>
      <c r="P33">
        <v>571.85760000000005</v>
      </c>
      <c r="Q33">
        <v>552.06880000000001</v>
      </c>
      <c r="R33">
        <v>0.965395580997787</v>
      </c>
      <c r="S33">
        <v>2.9322283589749101E-2</v>
      </c>
      <c r="T33">
        <v>1</v>
      </c>
      <c r="U33" t="s">
        <v>2826</v>
      </c>
    </row>
    <row r="34" spans="1:21" x14ac:dyDescent="0.3">
      <c r="A34">
        <v>33</v>
      </c>
      <c r="B34" t="s">
        <v>2645</v>
      </c>
      <c r="C34" t="s">
        <v>38</v>
      </c>
      <c r="D34">
        <v>3</v>
      </c>
      <c r="E34" t="s">
        <v>38</v>
      </c>
      <c r="F34">
        <v>1</v>
      </c>
      <c r="G34" t="s">
        <v>38</v>
      </c>
      <c r="H34" t="s">
        <v>38</v>
      </c>
      <c r="I34">
        <v>0</v>
      </c>
      <c r="J34" t="s">
        <v>38</v>
      </c>
      <c r="K34">
        <v>2</v>
      </c>
      <c r="L34">
        <v>2.3232992564720199E-3</v>
      </c>
      <c r="M34" t="s">
        <v>38</v>
      </c>
      <c r="O34" t="s">
        <v>2825</v>
      </c>
      <c r="P34">
        <v>910.57560000000001</v>
      </c>
      <c r="Q34">
        <v>886.15359999999998</v>
      </c>
      <c r="R34">
        <v>0.97317960200119602</v>
      </c>
      <c r="S34">
        <v>2.83209655379098E-2</v>
      </c>
      <c r="T34">
        <v>1</v>
      </c>
      <c r="U34" t="s">
        <v>2826</v>
      </c>
    </row>
    <row r="35" spans="1:21" x14ac:dyDescent="0.3">
      <c r="A35">
        <v>34</v>
      </c>
      <c r="B35" t="s">
        <v>2649</v>
      </c>
      <c r="C35" t="s">
        <v>76</v>
      </c>
      <c r="D35">
        <v>63</v>
      </c>
      <c r="E35" t="s">
        <v>38</v>
      </c>
      <c r="F35">
        <v>8</v>
      </c>
      <c r="G35" t="s">
        <v>106</v>
      </c>
      <c r="H35" t="s">
        <v>51</v>
      </c>
      <c r="I35">
        <v>0.2</v>
      </c>
      <c r="J35" t="s">
        <v>38</v>
      </c>
      <c r="K35">
        <v>4</v>
      </c>
      <c r="L35">
        <v>0.45056110578896902</v>
      </c>
      <c r="M35" t="s">
        <v>106</v>
      </c>
      <c r="N35" t="s">
        <v>1352</v>
      </c>
      <c r="O35" t="s">
        <v>2834</v>
      </c>
      <c r="P35">
        <v>20.376799999999999</v>
      </c>
      <c r="Q35">
        <v>11.6912</v>
      </c>
      <c r="R35">
        <v>0.57375053982961</v>
      </c>
      <c r="S35">
        <v>0.15564044213264</v>
      </c>
      <c r="T35">
        <v>8</v>
      </c>
      <c r="U35" t="s">
        <v>2826</v>
      </c>
    </row>
    <row r="36" spans="1:21" x14ac:dyDescent="0.3">
      <c r="A36">
        <v>35</v>
      </c>
      <c r="B36" t="s">
        <v>2653</v>
      </c>
      <c r="C36" t="s">
        <v>38</v>
      </c>
      <c r="D36">
        <v>2</v>
      </c>
      <c r="E36" t="s">
        <v>38</v>
      </c>
      <c r="F36">
        <v>1</v>
      </c>
      <c r="G36" t="s">
        <v>38</v>
      </c>
      <c r="H36" t="s">
        <v>38</v>
      </c>
      <c r="I36">
        <v>0</v>
      </c>
      <c r="J36" t="s">
        <v>76</v>
      </c>
      <c r="K36">
        <v>71</v>
      </c>
      <c r="L36">
        <v>2.2448889890736702E-3</v>
      </c>
      <c r="M36" t="s">
        <v>76</v>
      </c>
      <c r="N36" t="s">
        <v>2657</v>
      </c>
      <c r="O36" t="s">
        <v>2825</v>
      </c>
      <c r="P36">
        <v>5647.1167999999998</v>
      </c>
      <c r="Q36">
        <v>5524.0147999999999</v>
      </c>
      <c r="R36">
        <v>0.97820091130397702</v>
      </c>
      <c r="S36">
        <v>2.11698181898472E-2</v>
      </c>
      <c r="T36">
        <v>1</v>
      </c>
      <c r="U36" t="s">
        <v>2826</v>
      </c>
    </row>
    <row r="37" spans="1:21" x14ac:dyDescent="0.3">
      <c r="A37">
        <v>36</v>
      </c>
      <c r="B37" t="s">
        <v>2658</v>
      </c>
      <c r="C37" t="s">
        <v>38</v>
      </c>
      <c r="D37">
        <v>11</v>
      </c>
      <c r="E37" t="s">
        <v>38</v>
      </c>
      <c r="F37">
        <v>3</v>
      </c>
      <c r="G37" t="s">
        <v>38</v>
      </c>
      <c r="H37" t="s">
        <v>38</v>
      </c>
      <c r="I37">
        <v>0.1</v>
      </c>
      <c r="J37" t="s">
        <v>38</v>
      </c>
      <c r="K37">
        <v>5</v>
      </c>
      <c r="L37">
        <v>5.1132774486538198E-2</v>
      </c>
      <c r="M37" t="s">
        <v>38</v>
      </c>
      <c r="O37" t="s">
        <v>2825</v>
      </c>
      <c r="P37">
        <v>577.54240000000004</v>
      </c>
      <c r="Q37">
        <v>515.44240000000002</v>
      </c>
      <c r="R37">
        <v>0.89247542691237902</v>
      </c>
      <c r="S37">
        <v>6.6333308521045894E-2</v>
      </c>
      <c r="T37">
        <v>3</v>
      </c>
      <c r="U37" t="s">
        <v>2826</v>
      </c>
    </row>
    <row r="38" spans="1:21" x14ac:dyDescent="0.3">
      <c r="A38">
        <v>37</v>
      </c>
      <c r="B38" t="s">
        <v>2662</v>
      </c>
      <c r="C38" t="s">
        <v>38</v>
      </c>
      <c r="D38">
        <v>14</v>
      </c>
      <c r="E38" t="s">
        <v>38</v>
      </c>
      <c r="F38">
        <v>8</v>
      </c>
      <c r="G38" t="s">
        <v>38</v>
      </c>
      <c r="H38" t="s">
        <v>38</v>
      </c>
      <c r="I38">
        <v>0.2</v>
      </c>
      <c r="J38" t="s">
        <v>38</v>
      </c>
      <c r="K38">
        <v>20</v>
      </c>
      <c r="L38">
        <v>6.9590727660086005E-2</v>
      </c>
      <c r="M38" t="s">
        <v>38</v>
      </c>
      <c r="O38" t="s">
        <v>2825</v>
      </c>
      <c r="P38">
        <v>1963.4028000000001</v>
      </c>
      <c r="Q38">
        <v>1693.7084</v>
      </c>
      <c r="R38">
        <v>0.86263929133644901</v>
      </c>
      <c r="S38">
        <v>0.16791322873207101</v>
      </c>
      <c r="T38">
        <v>8</v>
      </c>
      <c r="U38" t="s">
        <v>2826</v>
      </c>
    </row>
    <row r="39" spans="1:21" x14ac:dyDescent="0.3">
      <c r="A39">
        <v>38</v>
      </c>
      <c r="B39" t="s">
        <v>2666</v>
      </c>
      <c r="C39" t="s">
        <v>38</v>
      </c>
      <c r="D39">
        <v>31</v>
      </c>
      <c r="E39" t="s">
        <v>38</v>
      </c>
      <c r="F39">
        <v>8</v>
      </c>
      <c r="G39" t="s">
        <v>38</v>
      </c>
      <c r="H39" t="s">
        <v>38</v>
      </c>
      <c r="I39">
        <v>0.2</v>
      </c>
      <c r="J39" t="s">
        <v>38</v>
      </c>
      <c r="K39">
        <v>0</v>
      </c>
      <c r="L39">
        <v>6.0644939421194602E-2</v>
      </c>
      <c r="M39" t="s">
        <v>38</v>
      </c>
      <c r="O39" t="s">
        <v>2825</v>
      </c>
      <c r="P39">
        <v>43.596800000000002</v>
      </c>
      <c r="Q39">
        <v>30.241599999999998</v>
      </c>
      <c r="R39">
        <v>0.69366559013505602</v>
      </c>
      <c r="S39">
        <v>0.15452713831298701</v>
      </c>
      <c r="T39">
        <v>8</v>
      </c>
      <c r="U39" t="s">
        <v>2826</v>
      </c>
    </row>
    <row r="40" spans="1:21" x14ac:dyDescent="0.3">
      <c r="A40">
        <v>39</v>
      </c>
      <c r="B40" t="s">
        <v>2670</v>
      </c>
      <c r="C40" t="s">
        <v>38</v>
      </c>
      <c r="D40">
        <v>39</v>
      </c>
      <c r="E40" t="s">
        <v>38</v>
      </c>
      <c r="F40">
        <v>24</v>
      </c>
      <c r="G40" t="s">
        <v>106</v>
      </c>
      <c r="H40" t="s">
        <v>51</v>
      </c>
      <c r="I40">
        <v>0.5</v>
      </c>
      <c r="J40" t="s">
        <v>38</v>
      </c>
      <c r="K40">
        <v>0</v>
      </c>
      <c r="L40">
        <v>0.16621549765553201</v>
      </c>
      <c r="M40" t="s">
        <v>106</v>
      </c>
      <c r="N40" t="s">
        <v>53</v>
      </c>
      <c r="O40" t="s">
        <v>2828</v>
      </c>
      <c r="P40">
        <v>27.102799999999998</v>
      </c>
      <c r="Q40">
        <v>16.549600000000002</v>
      </c>
      <c r="R40">
        <v>0.61062325663769101</v>
      </c>
      <c r="S40">
        <v>0.47178643984322099</v>
      </c>
      <c r="T40">
        <v>24</v>
      </c>
      <c r="U40" t="s">
        <v>2826</v>
      </c>
    </row>
    <row r="41" spans="1:21" x14ac:dyDescent="0.3">
      <c r="A41">
        <v>40</v>
      </c>
      <c r="B41" t="s">
        <v>2674</v>
      </c>
      <c r="C41" t="s">
        <v>38</v>
      </c>
      <c r="D41">
        <v>2</v>
      </c>
      <c r="E41" t="s">
        <v>38</v>
      </c>
      <c r="F41">
        <v>1</v>
      </c>
      <c r="G41" t="s">
        <v>38</v>
      </c>
      <c r="H41" t="s">
        <v>38</v>
      </c>
      <c r="I41">
        <v>0</v>
      </c>
      <c r="J41" t="s">
        <v>38</v>
      </c>
      <c r="K41">
        <v>0</v>
      </c>
      <c r="L41">
        <v>8.6628822623353696E-2</v>
      </c>
      <c r="M41" t="s">
        <v>38</v>
      </c>
      <c r="O41" t="s">
        <v>2825</v>
      </c>
      <c r="P41">
        <v>187.72040000000001</v>
      </c>
      <c r="Q41">
        <v>184.89920000000001</v>
      </c>
      <c r="R41">
        <v>0.98497126577612204</v>
      </c>
      <c r="S41">
        <v>1.21417150270118E-2</v>
      </c>
      <c r="T41">
        <v>1</v>
      </c>
      <c r="U41" t="s">
        <v>2826</v>
      </c>
    </row>
    <row r="42" spans="1:21" x14ac:dyDescent="0.3">
      <c r="A42">
        <v>41</v>
      </c>
      <c r="B42" t="s">
        <v>2678</v>
      </c>
      <c r="C42" t="s">
        <v>38</v>
      </c>
      <c r="D42">
        <v>3</v>
      </c>
      <c r="E42" t="s">
        <v>38</v>
      </c>
      <c r="F42">
        <v>2</v>
      </c>
      <c r="G42" t="s">
        <v>38</v>
      </c>
      <c r="H42" t="s">
        <v>38</v>
      </c>
      <c r="I42">
        <v>0</v>
      </c>
      <c r="J42" t="s">
        <v>38</v>
      </c>
      <c r="K42">
        <v>13</v>
      </c>
      <c r="L42">
        <v>8.26863517357661E-4</v>
      </c>
      <c r="M42" t="s">
        <v>38</v>
      </c>
      <c r="O42" t="s">
        <v>2829</v>
      </c>
      <c r="P42">
        <v>760.38720000000001</v>
      </c>
      <c r="Q42">
        <v>741.59760000000006</v>
      </c>
      <c r="R42">
        <v>0.97528943148964098</v>
      </c>
      <c r="S42">
        <v>3.30905426088514E-2</v>
      </c>
      <c r="T42">
        <v>2</v>
      </c>
      <c r="U42" t="s">
        <v>2826</v>
      </c>
    </row>
    <row r="43" spans="1:21" x14ac:dyDescent="0.3">
      <c r="A43">
        <v>42</v>
      </c>
      <c r="B43" t="s">
        <v>2683</v>
      </c>
      <c r="C43" t="s">
        <v>38</v>
      </c>
      <c r="D43">
        <v>34</v>
      </c>
      <c r="E43" t="s">
        <v>38</v>
      </c>
      <c r="F43">
        <v>10</v>
      </c>
      <c r="G43" t="s">
        <v>38</v>
      </c>
      <c r="H43" t="s">
        <v>38</v>
      </c>
      <c r="I43">
        <v>0.2</v>
      </c>
      <c r="J43" t="s">
        <v>38</v>
      </c>
      <c r="K43">
        <v>0</v>
      </c>
      <c r="L43">
        <v>8.7356304077783595E-2</v>
      </c>
      <c r="M43" t="s">
        <v>38</v>
      </c>
      <c r="O43" t="s">
        <v>2825</v>
      </c>
      <c r="P43">
        <v>701.61760000000004</v>
      </c>
      <c r="Q43">
        <v>465.94920000000002</v>
      </c>
      <c r="R43">
        <v>0.66410705774769596</v>
      </c>
      <c r="S43">
        <v>0.20862491918381901</v>
      </c>
      <c r="T43">
        <v>10</v>
      </c>
      <c r="U43" t="s">
        <v>2826</v>
      </c>
    </row>
    <row r="44" spans="1:21" x14ac:dyDescent="0.3">
      <c r="A44">
        <v>43</v>
      </c>
      <c r="B44" t="s">
        <v>2687</v>
      </c>
      <c r="C44" t="s">
        <v>38</v>
      </c>
      <c r="D44">
        <v>23</v>
      </c>
      <c r="E44" t="s">
        <v>38</v>
      </c>
      <c r="F44">
        <v>9</v>
      </c>
      <c r="G44" t="s">
        <v>51</v>
      </c>
      <c r="H44" t="s">
        <v>51</v>
      </c>
      <c r="I44">
        <v>0.2</v>
      </c>
      <c r="J44" t="s">
        <v>38</v>
      </c>
      <c r="K44">
        <v>2</v>
      </c>
      <c r="L44">
        <v>0.195512067148392</v>
      </c>
      <c r="M44" t="s">
        <v>51</v>
      </c>
      <c r="N44" t="s">
        <v>2691</v>
      </c>
      <c r="O44" t="s">
        <v>2835</v>
      </c>
      <c r="P44">
        <v>137.06479999999999</v>
      </c>
      <c r="Q44">
        <v>105.50960000000001</v>
      </c>
      <c r="R44">
        <v>0.76977896586140304</v>
      </c>
      <c r="S44">
        <v>0.18206071576482</v>
      </c>
      <c r="T44">
        <v>9</v>
      </c>
      <c r="U44" t="s">
        <v>2826</v>
      </c>
    </row>
    <row r="45" spans="1:21" x14ac:dyDescent="0.3">
      <c r="A45">
        <v>44</v>
      </c>
      <c r="B45" t="s">
        <v>2692</v>
      </c>
      <c r="C45" t="s">
        <v>38</v>
      </c>
      <c r="D45">
        <v>1</v>
      </c>
      <c r="E45" t="s">
        <v>38</v>
      </c>
      <c r="F45">
        <v>1</v>
      </c>
      <c r="G45" t="s">
        <v>38</v>
      </c>
      <c r="H45" t="s">
        <v>38</v>
      </c>
      <c r="I45">
        <v>0</v>
      </c>
      <c r="J45" t="s">
        <v>38</v>
      </c>
      <c r="K45">
        <v>0</v>
      </c>
      <c r="L45">
        <v>3.3025777033147101E-4</v>
      </c>
      <c r="M45" t="s">
        <v>38</v>
      </c>
      <c r="O45" t="s">
        <v>2825</v>
      </c>
      <c r="P45">
        <v>2252.3447999999999</v>
      </c>
      <c r="Q45">
        <v>2221.2952</v>
      </c>
      <c r="R45">
        <v>0.98621454406092701</v>
      </c>
      <c r="S45">
        <v>1.4390642899381099E-2</v>
      </c>
      <c r="T45">
        <v>1</v>
      </c>
      <c r="U45" t="s">
        <v>2826</v>
      </c>
    </row>
    <row r="46" spans="1:21" x14ac:dyDescent="0.3">
      <c r="A46">
        <v>45</v>
      </c>
      <c r="B46" t="s">
        <v>1809</v>
      </c>
      <c r="C46" t="s">
        <v>38</v>
      </c>
      <c r="D46">
        <v>1</v>
      </c>
      <c r="E46" t="s">
        <v>38</v>
      </c>
      <c r="F46">
        <v>1</v>
      </c>
      <c r="G46" t="s">
        <v>38</v>
      </c>
      <c r="H46" t="s">
        <v>38</v>
      </c>
      <c r="I46">
        <v>0</v>
      </c>
      <c r="J46" t="s">
        <v>38</v>
      </c>
      <c r="K46">
        <v>0</v>
      </c>
      <c r="L46">
        <v>2.9142015087865899E-2</v>
      </c>
      <c r="M46" t="s">
        <v>38</v>
      </c>
      <c r="O46" t="s">
        <v>2836</v>
      </c>
      <c r="P46">
        <v>18.7044</v>
      </c>
      <c r="Q46">
        <v>18.186800000000002</v>
      </c>
      <c r="R46">
        <v>0.97232736682277998</v>
      </c>
      <c r="S46">
        <v>2.2111331921119901E-2</v>
      </c>
      <c r="T46">
        <v>1</v>
      </c>
      <c r="U46" t="s">
        <v>2826</v>
      </c>
    </row>
    <row r="47" spans="1:21" x14ac:dyDescent="0.3">
      <c r="A47">
        <v>46</v>
      </c>
      <c r="B47" t="s">
        <v>2340</v>
      </c>
      <c r="C47" t="s">
        <v>76</v>
      </c>
      <c r="D47">
        <v>62</v>
      </c>
      <c r="E47" t="s">
        <v>76</v>
      </c>
      <c r="F47">
        <v>41</v>
      </c>
      <c r="G47" t="s">
        <v>51</v>
      </c>
      <c r="H47" t="s">
        <v>76</v>
      </c>
      <c r="I47">
        <v>0.8</v>
      </c>
      <c r="J47" t="s">
        <v>38</v>
      </c>
      <c r="K47">
        <v>0</v>
      </c>
      <c r="L47">
        <v>0.318271809827463</v>
      </c>
      <c r="M47" t="s">
        <v>51</v>
      </c>
      <c r="N47" t="s">
        <v>811</v>
      </c>
      <c r="O47" t="s">
        <v>2837</v>
      </c>
      <c r="P47">
        <v>350.79599999999999</v>
      </c>
      <c r="Q47">
        <v>116.1724</v>
      </c>
      <c r="R47">
        <v>0.33116797226878297</v>
      </c>
      <c r="S47">
        <v>0.810900222588813</v>
      </c>
      <c r="T47">
        <v>41</v>
      </c>
      <c r="U47" t="s">
        <v>2826</v>
      </c>
    </row>
    <row r="48" spans="1:21" x14ac:dyDescent="0.3">
      <c r="A48">
        <v>47</v>
      </c>
      <c r="B48" t="s">
        <v>2709</v>
      </c>
      <c r="C48" t="s">
        <v>38</v>
      </c>
      <c r="D48">
        <v>39</v>
      </c>
      <c r="E48" t="s">
        <v>38</v>
      </c>
      <c r="F48">
        <v>16</v>
      </c>
      <c r="G48" t="s">
        <v>38</v>
      </c>
      <c r="H48" t="s">
        <v>38</v>
      </c>
      <c r="I48">
        <v>0.3</v>
      </c>
      <c r="J48" t="s">
        <v>38</v>
      </c>
      <c r="K48">
        <v>0</v>
      </c>
      <c r="L48">
        <v>0.11211419712397901</v>
      </c>
      <c r="M48" t="s">
        <v>38</v>
      </c>
      <c r="O48" t="s">
        <v>2838</v>
      </c>
      <c r="P48">
        <v>867.58720000000005</v>
      </c>
      <c r="Q48">
        <v>530.98360000000002</v>
      </c>
      <c r="R48">
        <v>0.61202332169031504</v>
      </c>
      <c r="S48">
        <v>0.32869547427463602</v>
      </c>
      <c r="T48">
        <v>16</v>
      </c>
      <c r="U48" t="s">
        <v>2826</v>
      </c>
    </row>
    <row r="49" spans="1:21" x14ac:dyDescent="0.3">
      <c r="A49">
        <v>48</v>
      </c>
      <c r="B49" t="s">
        <v>2346</v>
      </c>
      <c r="C49" t="s">
        <v>38</v>
      </c>
      <c r="D49">
        <v>30</v>
      </c>
      <c r="E49" t="s">
        <v>38</v>
      </c>
      <c r="F49">
        <v>13</v>
      </c>
      <c r="G49" t="s">
        <v>38</v>
      </c>
      <c r="H49" t="s">
        <v>38</v>
      </c>
      <c r="I49">
        <v>0.3</v>
      </c>
      <c r="J49" t="s">
        <v>38</v>
      </c>
      <c r="K49">
        <v>0</v>
      </c>
      <c r="L49">
        <v>0.10495566850964699</v>
      </c>
      <c r="M49" t="s">
        <v>38</v>
      </c>
      <c r="O49" t="s">
        <v>2838</v>
      </c>
      <c r="P49">
        <v>1787.3463999999999</v>
      </c>
      <c r="Q49">
        <v>1248.4128000000001</v>
      </c>
      <c r="R49">
        <v>0.69847277505915994</v>
      </c>
      <c r="S49">
        <v>0.26643964013393001</v>
      </c>
      <c r="T49">
        <v>13</v>
      </c>
      <c r="U49" t="s">
        <v>2826</v>
      </c>
    </row>
    <row r="50" spans="1:21" x14ac:dyDescent="0.3">
      <c r="A50">
        <v>49</v>
      </c>
      <c r="B50" t="s">
        <v>1568</v>
      </c>
      <c r="C50" t="s">
        <v>38</v>
      </c>
      <c r="D50">
        <v>35</v>
      </c>
      <c r="E50" t="s">
        <v>38</v>
      </c>
      <c r="F50">
        <v>12</v>
      </c>
      <c r="G50" t="s">
        <v>38</v>
      </c>
      <c r="H50" t="s">
        <v>38</v>
      </c>
      <c r="I50">
        <v>0.2</v>
      </c>
      <c r="J50" t="s">
        <v>38</v>
      </c>
      <c r="K50">
        <v>0</v>
      </c>
      <c r="L50">
        <v>1.3777906892845901E-2</v>
      </c>
      <c r="M50" t="s">
        <v>38</v>
      </c>
      <c r="O50" t="s">
        <v>2838</v>
      </c>
      <c r="P50">
        <v>3235.1676000000002</v>
      </c>
      <c r="Q50">
        <v>2106.6480000000001</v>
      </c>
      <c r="R50">
        <v>0.65117120980069199</v>
      </c>
      <c r="S50">
        <v>0.24364901577722101</v>
      </c>
      <c r="T50">
        <v>12</v>
      </c>
      <c r="U50" t="s">
        <v>2826</v>
      </c>
    </row>
    <row r="51" spans="1:21" x14ac:dyDescent="0.3">
      <c r="A51">
        <v>50</v>
      </c>
      <c r="B51" t="s">
        <v>134</v>
      </c>
      <c r="C51" t="s">
        <v>76</v>
      </c>
      <c r="D51">
        <v>56</v>
      </c>
      <c r="E51" t="s">
        <v>38</v>
      </c>
      <c r="F51">
        <v>24</v>
      </c>
      <c r="G51" t="s">
        <v>51</v>
      </c>
      <c r="H51" t="s">
        <v>38</v>
      </c>
      <c r="I51">
        <v>0.5</v>
      </c>
      <c r="J51" t="s">
        <v>38</v>
      </c>
      <c r="K51">
        <v>0</v>
      </c>
      <c r="L51">
        <v>4.8090127735031601E-2</v>
      </c>
      <c r="M51" t="s">
        <v>51</v>
      </c>
      <c r="N51" t="s">
        <v>53</v>
      </c>
      <c r="O51" t="s">
        <v>2839</v>
      </c>
      <c r="P51">
        <v>653.40639999999996</v>
      </c>
      <c r="Q51">
        <v>286.02960000000002</v>
      </c>
      <c r="R51">
        <v>0.43775145147032501</v>
      </c>
      <c r="S51">
        <v>0.48977032314669999</v>
      </c>
      <c r="T51">
        <v>24</v>
      </c>
      <c r="U51" t="s">
        <v>2826</v>
      </c>
    </row>
    <row r="52" spans="1:21" x14ac:dyDescent="0.3">
      <c r="A52">
        <v>51</v>
      </c>
      <c r="B52" t="s">
        <v>982</v>
      </c>
      <c r="C52" t="s">
        <v>38</v>
      </c>
      <c r="D52">
        <v>33</v>
      </c>
      <c r="E52" t="s">
        <v>38</v>
      </c>
      <c r="F52">
        <v>16</v>
      </c>
      <c r="G52" t="s">
        <v>38</v>
      </c>
      <c r="H52" t="s">
        <v>38</v>
      </c>
      <c r="I52">
        <v>0.3</v>
      </c>
      <c r="J52" t="s">
        <v>38</v>
      </c>
      <c r="K52">
        <v>0</v>
      </c>
      <c r="L52">
        <v>1.4431596188997401E-2</v>
      </c>
      <c r="M52" t="s">
        <v>38</v>
      </c>
      <c r="O52" t="s">
        <v>2838</v>
      </c>
      <c r="P52">
        <v>1274.7652</v>
      </c>
      <c r="Q52">
        <v>859.36440000000005</v>
      </c>
      <c r="R52">
        <v>0.67413544078548704</v>
      </c>
      <c r="S52">
        <v>0.31563835106850402</v>
      </c>
      <c r="T52">
        <v>16</v>
      </c>
      <c r="U52" t="s">
        <v>2826</v>
      </c>
    </row>
    <row r="53" spans="1:21" x14ac:dyDescent="0.3">
      <c r="A53">
        <v>52</v>
      </c>
      <c r="B53" t="s">
        <v>2352</v>
      </c>
      <c r="C53" t="s">
        <v>106</v>
      </c>
      <c r="D53">
        <v>95</v>
      </c>
      <c r="E53" t="s">
        <v>51</v>
      </c>
      <c r="F53">
        <v>75</v>
      </c>
      <c r="G53" t="s">
        <v>106</v>
      </c>
      <c r="H53" t="s">
        <v>106</v>
      </c>
      <c r="I53">
        <v>1.5</v>
      </c>
      <c r="J53" t="s">
        <v>38</v>
      </c>
      <c r="K53">
        <v>0</v>
      </c>
      <c r="L53" t="s">
        <v>2840</v>
      </c>
      <c r="M53" t="s">
        <v>106</v>
      </c>
      <c r="N53" t="s">
        <v>1748</v>
      </c>
      <c r="O53" t="s">
        <v>2841</v>
      </c>
      <c r="P53">
        <v>6.4404000000000003</v>
      </c>
      <c r="Q53">
        <v>0.31719999999999998</v>
      </c>
      <c r="R53">
        <v>4.9251599279547899E-2</v>
      </c>
      <c r="S53">
        <v>1.4935813034891401</v>
      </c>
      <c r="T53">
        <v>75</v>
      </c>
      <c r="U53" t="s">
        <v>2826</v>
      </c>
    </row>
    <row r="54" spans="1:21" x14ac:dyDescent="0.3">
      <c r="A54">
        <v>53</v>
      </c>
      <c r="B54" t="s">
        <v>2005</v>
      </c>
      <c r="C54" t="s">
        <v>38</v>
      </c>
      <c r="D54">
        <v>28</v>
      </c>
      <c r="E54" t="s">
        <v>38</v>
      </c>
      <c r="F54">
        <v>20</v>
      </c>
      <c r="G54" t="s">
        <v>51</v>
      </c>
      <c r="H54" t="s">
        <v>106</v>
      </c>
      <c r="I54">
        <v>0.4</v>
      </c>
      <c r="J54" t="s">
        <v>38</v>
      </c>
      <c r="K54">
        <v>0</v>
      </c>
      <c r="L54" t="s">
        <v>2840</v>
      </c>
      <c r="M54" t="s">
        <v>106</v>
      </c>
      <c r="N54" t="s">
        <v>1594</v>
      </c>
      <c r="O54" t="s">
        <v>2841</v>
      </c>
      <c r="P54">
        <v>13.215999999999999</v>
      </c>
      <c r="Q54">
        <v>9.5167999999999999</v>
      </c>
      <c r="R54">
        <v>0.72009685230024201</v>
      </c>
      <c r="S54">
        <v>0.40534238056917099</v>
      </c>
      <c r="T54">
        <v>20</v>
      </c>
      <c r="U54" t="s">
        <v>2826</v>
      </c>
    </row>
    <row r="55" spans="1:21" x14ac:dyDescent="0.3">
      <c r="A55">
        <v>54</v>
      </c>
      <c r="B55" t="s">
        <v>1772</v>
      </c>
      <c r="C55" t="s">
        <v>38</v>
      </c>
      <c r="D55">
        <v>2</v>
      </c>
      <c r="E55" t="s">
        <v>38</v>
      </c>
      <c r="F55">
        <v>1</v>
      </c>
      <c r="G55" t="s">
        <v>38</v>
      </c>
      <c r="H55" t="s">
        <v>38</v>
      </c>
      <c r="I55">
        <v>0</v>
      </c>
      <c r="J55" t="s">
        <v>38</v>
      </c>
      <c r="K55">
        <v>0</v>
      </c>
      <c r="L55">
        <v>1.1486070815901301E-3</v>
      </c>
      <c r="M55" t="s">
        <v>38</v>
      </c>
      <c r="O55" t="s">
        <v>2838</v>
      </c>
      <c r="P55">
        <v>220.1216</v>
      </c>
      <c r="Q55">
        <v>215.21719999999999</v>
      </c>
      <c r="R55">
        <v>0.97771958771878797</v>
      </c>
      <c r="S55">
        <v>2.24312784052643E-2</v>
      </c>
      <c r="T55">
        <v>1</v>
      </c>
      <c r="U55" t="s">
        <v>2826</v>
      </c>
    </row>
    <row r="56" spans="1:21" x14ac:dyDescent="0.3">
      <c r="A56">
        <v>55</v>
      </c>
      <c r="B56" t="s">
        <v>1024</v>
      </c>
      <c r="C56" t="s">
        <v>38</v>
      </c>
      <c r="D56">
        <v>6</v>
      </c>
      <c r="E56" t="s">
        <v>38</v>
      </c>
      <c r="F56">
        <v>3</v>
      </c>
      <c r="G56" t="s">
        <v>38</v>
      </c>
      <c r="H56" t="s">
        <v>38</v>
      </c>
      <c r="I56">
        <v>0.1</v>
      </c>
      <c r="J56" t="s">
        <v>38</v>
      </c>
      <c r="K56">
        <v>0</v>
      </c>
      <c r="L56">
        <v>3.1975637609440403E-4</v>
      </c>
      <c r="M56" t="s">
        <v>38</v>
      </c>
      <c r="O56" t="s">
        <v>2838</v>
      </c>
      <c r="P56">
        <v>28.078800000000001</v>
      </c>
      <c r="Q56">
        <v>26.27</v>
      </c>
      <c r="R56">
        <v>0.93558129264783396</v>
      </c>
      <c r="S56">
        <v>6.2440310979795098E-2</v>
      </c>
      <c r="T56">
        <v>3</v>
      </c>
      <c r="U56" t="s">
        <v>2826</v>
      </c>
    </row>
    <row r="57" spans="1:21" x14ac:dyDescent="0.3">
      <c r="A57">
        <v>56</v>
      </c>
      <c r="B57" t="s">
        <v>2358</v>
      </c>
      <c r="C57" t="s">
        <v>38</v>
      </c>
      <c r="D57">
        <v>12</v>
      </c>
      <c r="E57" t="s">
        <v>38</v>
      </c>
      <c r="F57">
        <v>4</v>
      </c>
      <c r="G57" t="s">
        <v>38</v>
      </c>
      <c r="H57" t="s">
        <v>38</v>
      </c>
      <c r="I57">
        <v>0.1</v>
      </c>
      <c r="J57" t="s">
        <v>38</v>
      </c>
      <c r="K57">
        <v>0</v>
      </c>
      <c r="L57">
        <v>4.2935101234235398E-2</v>
      </c>
      <c r="M57" t="s">
        <v>38</v>
      </c>
      <c r="O57" t="s">
        <v>2838</v>
      </c>
      <c r="P57">
        <v>1363.9048</v>
      </c>
      <c r="Q57">
        <v>1200.1276</v>
      </c>
      <c r="R57">
        <v>0.87992035807777802</v>
      </c>
      <c r="S57">
        <v>7.1700140843923593E-2</v>
      </c>
      <c r="T57">
        <v>4</v>
      </c>
      <c r="U57" t="s">
        <v>2826</v>
      </c>
    </row>
    <row r="58" spans="1:21" x14ac:dyDescent="0.3">
      <c r="A58">
        <v>57</v>
      </c>
      <c r="B58" t="s">
        <v>1030</v>
      </c>
      <c r="C58" t="s">
        <v>38</v>
      </c>
      <c r="D58">
        <v>0</v>
      </c>
      <c r="E58" t="s">
        <v>38</v>
      </c>
      <c r="F58">
        <v>0</v>
      </c>
      <c r="G58" t="s">
        <v>38</v>
      </c>
      <c r="H58" t="s">
        <v>38</v>
      </c>
      <c r="I58">
        <v>0</v>
      </c>
      <c r="J58" t="s">
        <v>38</v>
      </c>
      <c r="K58">
        <v>0</v>
      </c>
      <c r="L58">
        <v>1.2303247794179599E-3</v>
      </c>
      <c r="M58" t="s">
        <v>38</v>
      </c>
      <c r="O58" t="s">
        <v>2838</v>
      </c>
      <c r="P58">
        <v>1919.2855999999999</v>
      </c>
      <c r="Q58">
        <v>1914.6164000000001</v>
      </c>
      <c r="R58">
        <v>0.99756721980303498</v>
      </c>
      <c r="S58">
        <v>3.0426838253249599E-3</v>
      </c>
      <c r="T58">
        <v>0</v>
      </c>
      <c r="U58" t="s">
        <v>2826</v>
      </c>
    </row>
    <row r="59" spans="1:21" x14ac:dyDescent="0.3">
      <c r="A59">
        <v>58</v>
      </c>
      <c r="B59" t="s">
        <v>109</v>
      </c>
      <c r="C59" t="s">
        <v>38</v>
      </c>
      <c r="D59">
        <v>7</v>
      </c>
      <c r="E59" t="s">
        <v>38</v>
      </c>
      <c r="F59">
        <v>2</v>
      </c>
      <c r="G59" t="s">
        <v>38</v>
      </c>
      <c r="H59" t="s">
        <v>38</v>
      </c>
      <c r="I59">
        <v>0</v>
      </c>
      <c r="J59" t="s">
        <v>38</v>
      </c>
      <c r="K59">
        <v>0</v>
      </c>
      <c r="L59">
        <v>1.1713134131908999E-2</v>
      </c>
      <c r="M59" t="s">
        <v>38</v>
      </c>
      <c r="O59" t="s">
        <v>2838</v>
      </c>
      <c r="P59">
        <v>5176.9952000000003</v>
      </c>
      <c r="Q59">
        <v>4815.0392000000002</v>
      </c>
      <c r="R59">
        <v>0.930083767510544</v>
      </c>
      <c r="S59">
        <v>3.6984060934340299E-2</v>
      </c>
      <c r="T59">
        <v>2</v>
      </c>
      <c r="U59" t="s">
        <v>2826</v>
      </c>
    </row>
    <row r="60" spans="1:21" x14ac:dyDescent="0.3">
      <c r="A60">
        <v>59</v>
      </c>
      <c r="B60" t="s">
        <v>1815</v>
      </c>
      <c r="C60" t="s">
        <v>38</v>
      </c>
      <c r="D60">
        <v>14</v>
      </c>
      <c r="E60" t="s">
        <v>38</v>
      </c>
      <c r="F60">
        <v>5</v>
      </c>
      <c r="G60" t="s">
        <v>38</v>
      </c>
      <c r="H60" t="s">
        <v>38</v>
      </c>
      <c r="I60">
        <v>0.1</v>
      </c>
      <c r="J60" t="s">
        <v>38</v>
      </c>
      <c r="K60">
        <v>0</v>
      </c>
      <c r="L60">
        <v>6.5060531290920803E-3</v>
      </c>
      <c r="M60" t="s">
        <v>38</v>
      </c>
      <c r="O60" t="s">
        <v>2838</v>
      </c>
      <c r="P60">
        <v>5302.9359999999997</v>
      </c>
      <c r="Q60">
        <v>4534.9768000000004</v>
      </c>
      <c r="R60">
        <v>0.85518226129827002</v>
      </c>
      <c r="S60">
        <v>9.6192739207511396E-2</v>
      </c>
      <c r="T60">
        <v>5</v>
      </c>
      <c r="U60" t="s">
        <v>2826</v>
      </c>
    </row>
    <row r="61" spans="1:21" x14ac:dyDescent="0.3">
      <c r="A61">
        <v>60</v>
      </c>
      <c r="B61" t="s">
        <v>118</v>
      </c>
      <c r="C61" t="s">
        <v>38</v>
      </c>
      <c r="D61">
        <v>7</v>
      </c>
      <c r="E61" t="s">
        <v>38</v>
      </c>
      <c r="F61">
        <v>1</v>
      </c>
      <c r="G61" t="s">
        <v>38</v>
      </c>
      <c r="H61" t="s">
        <v>38</v>
      </c>
      <c r="I61">
        <v>0</v>
      </c>
      <c r="J61" t="s">
        <v>38</v>
      </c>
      <c r="K61">
        <v>0</v>
      </c>
      <c r="L61">
        <v>5.6658914664592698E-3</v>
      </c>
      <c r="M61" t="s">
        <v>38</v>
      </c>
      <c r="O61" t="s">
        <v>2838</v>
      </c>
      <c r="P61">
        <v>2130.1055999999999</v>
      </c>
      <c r="Q61">
        <v>1983.6596</v>
      </c>
      <c r="R61">
        <v>0.93124941786923598</v>
      </c>
      <c r="S61">
        <v>2.7559459577760299E-2</v>
      </c>
      <c r="T61">
        <v>1</v>
      </c>
      <c r="U61" t="s">
        <v>2826</v>
      </c>
    </row>
    <row r="62" spans="1:21" x14ac:dyDescent="0.3">
      <c r="A62">
        <v>61</v>
      </c>
      <c r="B62" t="s">
        <v>1315</v>
      </c>
      <c r="C62" t="s">
        <v>76</v>
      </c>
      <c r="D62">
        <v>61</v>
      </c>
      <c r="E62" t="s">
        <v>76</v>
      </c>
      <c r="F62">
        <v>33</v>
      </c>
      <c r="G62" t="s">
        <v>51</v>
      </c>
      <c r="H62" t="s">
        <v>76</v>
      </c>
      <c r="I62">
        <v>0.7</v>
      </c>
      <c r="J62" t="s">
        <v>38</v>
      </c>
      <c r="K62">
        <v>0</v>
      </c>
      <c r="L62">
        <v>6.5469913777033401E-2</v>
      </c>
      <c r="M62" t="s">
        <v>51</v>
      </c>
      <c r="N62" t="s">
        <v>53</v>
      </c>
      <c r="O62" t="s">
        <v>2842</v>
      </c>
      <c r="P62">
        <v>407.17919999999998</v>
      </c>
      <c r="Q62">
        <v>143.76679999999999</v>
      </c>
      <c r="R62">
        <v>0.35307992156770301</v>
      </c>
      <c r="S62">
        <v>0.65560286167193205</v>
      </c>
      <c r="T62">
        <v>33</v>
      </c>
      <c r="U62" t="s">
        <v>2826</v>
      </c>
    </row>
    <row r="63" spans="1:21" x14ac:dyDescent="0.3">
      <c r="A63">
        <v>62</v>
      </c>
      <c r="B63" t="s">
        <v>918</v>
      </c>
      <c r="C63" t="s">
        <v>38</v>
      </c>
      <c r="D63">
        <v>20</v>
      </c>
      <c r="E63" t="s">
        <v>38</v>
      </c>
      <c r="F63">
        <v>1</v>
      </c>
      <c r="G63" t="s">
        <v>38</v>
      </c>
      <c r="H63" t="s">
        <v>38</v>
      </c>
      <c r="I63">
        <v>0</v>
      </c>
      <c r="J63" t="s">
        <v>38</v>
      </c>
      <c r="K63">
        <v>0</v>
      </c>
      <c r="L63">
        <v>0.16318075509522201</v>
      </c>
      <c r="M63" t="s">
        <v>38</v>
      </c>
      <c r="O63" t="s">
        <v>2843</v>
      </c>
      <c r="P63">
        <v>12.9664</v>
      </c>
      <c r="Q63">
        <v>11.972</v>
      </c>
      <c r="R63">
        <v>0.92330947680157904</v>
      </c>
      <c r="S63">
        <v>2.6604995527876301E-2</v>
      </c>
      <c r="T63">
        <v>1</v>
      </c>
      <c r="U63" t="s">
        <v>2826</v>
      </c>
    </row>
    <row r="64" spans="1:21" x14ac:dyDescent="0.3">
      <c r="A64">
        <v>63</v>
      </c>
      <c r="B64" t="s">
        <v>1102</v>
      </c>
      <c r="C64" t="s">
        <v>76</v>
      </c>
      <c r="D64">
        <v>64</v>
      </c>
      <c r="E64" t="s">
        <v>76</v>
      </c>
      <c r="F64">
        <v>32</v>
      </c>
      <c r="G64" t="s">
        <v>51</v>
      </c>
      <c r="H64" t="s">
        <v>38</v>
      </c>
      <c r="I64">
        <v>0.6</v>
      </c>
      <c r="J64" t="s">
        <v>38</v>
      </c>
      <c r="K64">
        <v>0</v>
      </c>
      <c r="L64">
        <v>3.5018761681008197E-2</v>
      </c>
      <c r="M64" t="s">
        <v>51</v>
      </c>
      <c r="N64" t="s">
        <v>53</v>
      </c>
      <c r="O64" t="s">
        <v>2844</v>
      </c>
      <c r="P64">
        <v>2355.4843999999998</v>
      </c>
      <c r="Q64">
        <v>832.548</v>
      </c>
      <c r="R64">
        <v>0.35345086556293898</v>
      </c>
      <c r="S64">
        <v>0.64550006804606397</v>
      </c>
      <c r="T64">
        <v>32</v>
      </c>
      <c r="U64" t="s">
        <v>2826</v>
      </c>
    </row>
    <row r="65" spans="1:21" x14ac:dyDescent="0.3">
      <c r="A65">
        <v>64</v>
      </c>
      <c r="B65" t="s">
        <v>614</v>
      </c>
      <c r="C65" t="s">
        <v>76</v>
      </c>
      <c r="D65">
        <v>65</v>
      </c>
      <c r="E65" t="s">
        <v>76</v>
      </c>
      <c r="F65">
        <v>31</v>
      </c>
      <c r="G65" t="s">
        <v>51</v>
      </c>
      <c r="H65" t="s">
        <v>76</v>
      </c>
      <c r="I65">
        <v>0.6</v>
      </c>
      <c r="J65" t="s">
        <v>38</v>
      </c>
      <c r="K65">
        <v>0</v>
      </c>
      <c r="L65">
        <v>2.7165581685748199E-2</v>
      </c>
      <c r="M65" t="s">
        <v>51</v>
      </c>
      <c r="N65" t="s">
        <v>53</v>
      </c>
      <c r="O65" t="s">
        <v>2845</v>
      </c>
      <c r="P65">
        <v>1122.1012000000001</v>
      </c>
      <c r="Q65">
        <v>401.05160000000001</v>
      </c>
      <c r="R65">
        <v>0.35741125666740198</v>
      </c>
      <c r="S65">
        <v>0.62493566747044105</v>
      </c>
      <c r="T65">
        <v>31</v>
      </c>
      <c r="U65" t="s">
        <v>2826</v>
      </c>
    </row>
    <row r="66" spans="1:21" x14ac:dyDescent="0.3">
      <c r="A66">
        <v>65</v>
      </c>
      <c r="B66" t="s">
        <v>2364</v>
      </c>
      <c r="C66" t="s">
        <v>51</v>
      </c>
      <c r="D66">
        <v>82</v>
      </c>
      <c r="E66" t="s">
        <v>51</v>
      </c>
      <c r="F66">
        <v>63</v>
      </c>
      <c r="G66" t="s">
        <v>51</v>
      </c>
      <c r="H66" t="s">
        <v>38</v>
      </c>
      <c r="I66">
        <v>1.3</v>
      </c>
      <c r="J66" t="s">
        <v>38</v>
      </c>
      <c r="K66">
        <v>0</v>
      </c>
      <c r="L66">
        <v>0.29409948327715901</v>
      </c>
      <c r="M66" t="s">
        <v>51</v>
      </c>
      <c r="N66" t="s">
        <v>236</v>
      </c>
      <c r="O66" t="s">
        <v>2844</v>
      </c>
      <c r="P66">
        <v>4141.8068000000003</v>
      </c>
      <c r="Q66">
        <v>672.31399999999996</v>
      </c>
      <c r="R66">
        <v>0.16232384378720899</v>
      </c>
      <c r="S66">
        <v>1.25774061909311</v>
      </c>
      <c r="T66">
        <v>63</v>
      </c>
      <c r="U66" t="s">
        <v>2826</v>
      </c>
    </row>
    <row r="67" spans="1:21" x14ac:dyDescent="0.3">
      <c r="A67">
        <v>66</v>
      </c>
      <c r="B67" t="s">
        <v>1072</v>
      </c>
      <c r="C67" t="s">
        <v>76</v>
      </c>
      <c r="D67">
        <v>51</v>
      </c>
      <c r="E67" t="s">
        <v>38</v>
      </c>
      <c r="F67">
        <v>15</v>
      </c>
      <c r="G67" t="s">
        <v>38</v>
      </c>
      <c r="H67" t="s">
        <v>38</v>
      </c>
      <c r="I67">
        <v>0.3</v>
      </c>
      <c r="J67" t="s">
        <v>38</v>
      </c>
      <c r="K67">
        <v>0</v>
      </c>
      <c r="L67">
        <v>6.0761477632483699E-2</v>
      </c>
      <c r="M67" t="s">
        <v>76</v>
      </c>
      <c r="N67" t="s">
        <v>262</v>
      </c>
      <c r="O67" t="s">
        <v>2838</v>
      </c>
      <c r="P67">
        <v>1299.9023999999999</v>
      </c>
      <c r="Q67">
        <v>641.09040000000005</v>
      </c>
      <c r="R67">
        <v>0.49318348823727098</v>
      </c>
      <c r="S67">
        <v>0.295742388543145</v>
      </c>
      <c r="T67">
        <v>15</v>
      </c>
      <c r="U67" t="s">
        <v>2826</v>
      </c>
    </row>
    <row r="68" spans="1:21" x14ac:dyDescent="0.3">
      <c r="A68">
        <v>67</v>
      </c>
      <c r="B68" t="s">
        <v>1137</v>
      </c>
      <c r="C68" t="s">
        <v>38</v>
      </c>
      <c r="D68">
        <v>46</v>
      </c>
      <c r="E68" t="s">
        <v>38</v>
      </c>
      <c r="F68">
        <v>18</v>
      </c>
      <c r="G68" t="s">
        <v>51</v>
      </c>
      <c r="H68" t="s">
        <v>76</v>
      </c>
      <c r="I68">
        <v>0.4</v>
      </c>
      <c r="J68" t="s">
        <v>38</v>
      </c>
      <c r="K68">
        <v>0</v>
      </c>
      <c r="L68">
        <v>8.1786571047421305E-2</v>
      </c>
      <c r="M68" t="s">
        <v>51</v>
      </c>
      <c r="N68" t="s">
        <v>53</v>
      </c>
      <c r="O68" t="s">
        <v>2846</v>
      </c>
      <c r="P68">
        <v>1650.386</v>
      </c>
      <c r="Q68">
        <v>899.23320000000001</v>
      </c>
      <c r="R68">
        <v>0.54486235341307998</v>
      </c>
      <c r="S68">
        <v>0.36168687842500502</v>
      </c>
      <c r="T68">
        <v>18</v>
      </c>
      <c r="U68" t="s">
        <v>2826</v>
      </c>
    </row>
    <row r="69" spans="1:21" x14ac:dyDescent="0.3">
      <c r="A69">
        <v>68</v>
      </c>
      <c r="B69" t="s">
        <v>2482</v>
      </c>
      <c r="C69" t="s">
        <v>76</v>
      </c>
      <c r="D69">
        <v>60</v>
      </c>
      <c r="E69" t="s">
        <v>38</v>
      </c>
      <c r="F69">
        <v>23</v>
      </c>
      <c r="G69" t="s">
        <v>51</v>
      </c>
      <c r="H69" t="s">
        <v>76</v>
      </c>
      <c r="I69">
        <v>0.5</v>
      </c>
      <c r="J69" t="s">
        <v>38</v>
      </c>
      <c r="K69">
        <v>0</v>
      </c>
      <c r="L69">
        <v>0.35818514781614702</v>
      </c>
      <c r="M69" t="s">
        <v>51</v>
      </c>
      <c r="N69" t="s">
        <v>811</v>
      </c>
      <c r="O69" t="s">
        <v>2847</v>
      </c>
      <c r="P69">
        <v>1121.1792</v>
      </c>
      <c r="Q69">
        <v>411.51119999999997</v>
      </c>
      <c r="R69">
        <v>0.36703427962273999</v>
      </c>
      <c r="S69">
        <v>0.46407362191690099</v>
      </c>
      <c r="T69">
        <v>23</v>
      </c>
      <c r="U69" t="s">
        <v>2826</v>
      </c>
    </row>
    <row r="70" spans="1:21" x14ac:dyDescent="0.3">
      <c r="A70">
        <v>69</v>
      </c>
      <c r="B70" t="s">
        <v>55</v>
      </c>
      <c r="C70" t="s">
        <v>38</v>
      </c>
      <c r="D70">
        <v>1</v>
      </c>
      <c r="E70" t="s">
        <v>38</v>
      </c>
      <c r="F70">
        <v>1</v>
      </c>
      <c r="G70" t="s">
        <v>38</v>
      </c>
      <c r="H70" t="s">
        <v>38</v>
      </c>
      <c r="I70">
        <v>0</v>
      </c>
      <c r="J70" t="s">
        <v>38</v>
      </c>
      <c r="K70">
        <v>0</v>
      </c>
      <c r="L70">
        <v>0</v>
      </c>
      <c r="M70" t="s">
        <v>38</v>
      </c>
      <c r="O70" t="s">
        <v>2838</v>
      </c>
      <c r="P70">
        <v>335.9332</v>
      </c>
      <c r="Q70">
        <v>332.89760000000001</v>
      </c>
      <c r="R70">
        <v>0.99096367968393695</v>
      </c>
      <c r="S70">
        <v>2.5581328140548198E-2</v>
      </c>
      <c r="T70">
        <v>1</v>
      </c>
      <c r="U70" t="s">
        <v>2826</v>
      </c>
    </row>
    <row r="71" spans="1:21" x14ac:dyDescent="0.3">
      <c r="A71">
        <v>70</v>
      </c>
      <c r="B71" t="s">
        <v>1042</v>
      </c>
      <c r="C71" t="s">
        <v>38</v>
      </c>
      <c r="D71">
        <v>0</v>
      </c>
      <c r="E71" t="s">
        <v>38</v>
      </c>
      <c r="F71">
        <v>1</v>
      </c>
      <c r="G71" t="s">
        <v>38</v>
      </c>
      <c r="H71" t="s">
        <v>38</v>
      </c>
      <c r="I71">
        <v>0</v>
      </c>
      <c r="J71" t="s">
        <v>38</v>
      </c>
      <c r="K71">
        <v>0</v>
      </c>
      <c r="L71">
        <v>1.6197442991813601E-4</v>
      </c>
      <c r="M71" t="s">
        <v>38</v>
      </c>
      <c r="O71" t="s">
        <v>2838</v>
      </c>
      <c r="P71">
        <v>2094.6480000000001</v>
      </c>
      <c r="Q71">
        <v>2084.2795999999998</v>
      </c>
      <c r="R71">
        <v>0.99505005136901303</v>
      </c>
      <c r="S71">
        <v>1.1159916081734099E-2</v>
      </c>
      <c r="T71">
        <v>1</v>
      </c>
      <c r="U71" t="s">
        <v>2826</v>
      </c>
    </row>
    <row r="72" spans="1:21" x14ac:dyDescent="0.3">
      <c r="A72">
        <v>71</v>
      </c>
      <c r="B72" t="s">
        <v>998</v>
      </c>
      <c r="C72" t="s">
        <v>38</v>
      </c>
      <c r="D72">
        <v>0</v>
      </c>
      <c r="E72" t="s">
        <v>38</v>
      </c>
      <c r="F72">
        <v>0</v>
      </c>
      <c r="G72" t="s">
        <v>38</v>
      </c>
      <c r="H72" t="s">
        <v>38</v>
      </c>
      <c r="I72">
        <v>0</v>
      </c>
      <c r="J72" t="s">
        <v>38</v>
      </c>
      <c r="K72">
        <v>0</v>
      </c>
      <c r="L72">
        <v>0</v>
      </c>
      <c r="M72" t="s">
        <v>38</v>
      </c>
      <c r="O72" t="s">
        <v>2838</v>
      </c>
      <c r="P72">
        <v>361.43</v>
      </c>
      <c r="Q72">
        <v>361.39319999999998</v>
      </c>
      <c r="R72">
        <v>0.99989818222062399</v>
      </c>
      <c r="S72">
        <v>2.9743162946055E-4</v>
      </c>
      <c r="T72">
        <v>0</v>
      </c>
      <c r="U72" t="s">
        <v>2826</v>
      </c>
    </row>
    <row r="73" spans="1:21" x14ac:dyDescent="0.3">
      <c r="A73">
        <v>72</v>
      </c>
      <c r="B73" t="s">
        <v>224</v>
      </c>
      <c r="C73" t="s">
        <v>38</v>
      </c>
      <c r="D73">
        <v>2</v>
      </c>
      <c r="E73" t="s">
        <v>38</v>
      </c>
      <c r="F73">
        <v>3</v>
      </c>
      <c r="G73" t="s">
        <v>38</v>
      </c>
      <c r="H73" t="s">
        <v>38</v>
      </c>
      <c r="I73">
        <v>0.1</v>
      </c>
      <c r="J73" t="s">
        <v>38</v>
      </c>
      <c r="K73">
        <v>0</v>
      </c>
      <c r="L73">
        <v>0</v>
      </c>
      <c r="M73" t="s">
        <v>38</v>
      </c>
      <c r="O73" t="s">
        <v>2838</v>
      </c>
      <c r="P73">
        <v>160.0684</v>
      </c>
      <c r="Q73">
        <v>156.46879999999999</v>
      </c>
      <c r="R73">
        <v>0.97751211357144796</v>
      </c>
      <c r="S73">
        <v>6.3105221499171193E-2</v>
      </c>
      <c r="T73">
        <v>3</v>
      </c>
      <c r="U73" t="s">
        <v>2826</v>
      </c>
    </row>
    <row r="74" spans="1:21" x14ac:dyDescent="0.3">
      <c r="A74">
        <v>73</v>
      </c>
      <c r="B74" t="s">
        <v>906</v>
      </c>
      <c r="C74" t="s">
        <v>38</v>
      </c>
      <c r="D74">
        <v>1</v>
      </c>
      <c r="E74" t="s">
        <v>38</v>
      </c>
      <c r="F74">
        <v>0</v>
      </c>
      <c r="G74" t="s">
        <v>38</v>
      </c>
      <c r="H74" t="s">
        <v>38</v>
      </c>
      <c r="I74">
        <v>0</v>
      </c>
      <c r="J74" t="s">
        <v>38</v>
      </c>
      <c r="K74">
        <v>0</v>
      </c>
      <c r="L74" t="s">
        <v>2840</v>
      </c>
      <c r="M74" t="s">
        <v>38</v>
      </c>
      <c r="O74" t="s">
        <v>2848</v>
      </c>
      <c r="P74">
        <v>107.7996</v>
      </c>
      <c r="Q74">
        <v>107.19280000000001</v>
      </c>
      <c r="R74">
        <v>0.99437103662722304</v>
      </c>
      <c r="S74">
        <v>9.5098586309521095E-3</v>
      </c>
      <c r="T74">
        <v>0</v>
      </c>
      <c r="U74" t="s">
        <v>2826</v>
      </c>
    </row>
    <row r="75" spans="1:21" x14ac:dyDescent="0.3">
      <c r="A75">
        <v>74</v>
      </c>
      <c r="B75" t="s">
        <v>2023</v>
      </c>
      <c r="C75" t="s">
        <v>38</v>
      </c>
      <c r="D75">
        <v>0</v>
      </c>
      <c r="E75" t="s">
        <v>38</v>
      </c>
      <c r="F75">
        <v>0</v>
      </c>
      <c r="G75" t="s">
        <v>38</v>
      </c>
      <c r="H75" t="s">
        <v>38</v>
      </c>
      <c r="I75">
        <v>0</v>
      </c>
      <c r="J75" t="s">
        <v>38</v>
      </c>
      <c r="K75">
        <v>0</v>
      </c>
      <c r="L75">
        <v>0</v>
      </c>
      <c r="M75" t="s">
        <v>38</v>
      </c>
      <c r="O75" t="s">
        <v>2838</v>
      </c>
      <c r="P75">
        <v>592.28599999999994</v>
      </c>
      <c r="Q75">
        <v>591.93439999999998</v>
      </c>
      <c r="R75">
        <v>0.99940636786957704</v>
      </c>
      <c r="S75">
        <v>1.85510040757317E-3</v>
      </c>
      <c r="T75">
        <v>0</v>
      </c>
      <c r="U75" t="s">
        <v>2826</v>
      </c>
    </row>
    <row r="76" spans="1:21" x14ac:dyDescent="0.3">
      <c r="A76">
        <v>75</v>
      </c>
      <c r="B76" t="s">
        <v>1520</v>
      </c>
      <c r="C76" t="s">
        <v>38</v>
      </c>
      <c r="D76">
        <v>1</v>
      </c>
      <c r="E76" t="s">
        <v>38</v>
      </c>
      <c r="F76">
        <v>2</v>
      </c>
      <c r="G76" t="s">
        <v>38</v>
      </c>
      <c r="H76" t="s">
        <v>38</v>
      </c>
      <c r="I76">
        <v>0</v>
      </c>
      <c r="J76" t="s">
        <v>38</v>
      </c>
      <c r="K76">
        <v>0</v>
      </c>
      <c r="L76" t="s">
        <v>2840</v>
      </c>
      <c r="M76" t="s">
        <v>38</v>
      </c>
      <c r="O76" t="s">
        <v>2848</v>
      </c>
      <c r="P76">
        <v>8.2235999999999994</v>
      </c>
      <c r="Q76">
        <v>8.1067999999999998</v>
      </c>
      <c r="R76">
        <v>0.98579697456102</v>
      </c>
      <c r="S76">
        <v>4.4384454496813899E-2</v>
      </c>
      <c r="T76">
        <v>2</v>
      </c>
      <c r="U76" t="s">
        <v>2826</v>
      </c>
    </row>
    <row r="77" spans="1:21" x14ac:dyDescent="0.3">
      <c r="A77">
        <v>76</v>
      </c>
      <c r="B77" t="s">
        <v>1339</v>
      </c>
      <c r="C77" t="s">
        <v>38</v>
      </c>
      <c r="D77">
        <v>1</v>
      </c>
      <c r="E77" t="s">
        <v>38</v>
      </c>
      <c r="F77">
        <v>1</v>
      </c>
      <c r="G77" t="s">
        <v>38</v>
      </c>
      <c r="H77" t="s">
        <v>38</v>
      </c>
      <c r="I77">
        <v>0</v>
      </c>
      <c r="J77" t="s">
        <v>38</v>
      </c>
      <c r="K77">
        <v>0</v>
      </c>
      <c r="L77">
        <v>0</v>
      </c>
      <c r="M77" t="s">
        <v>38</v>
      </c>
      <c r="O77" t="s">
        <v>2838</v>
      </c>
      <c r="P77">
        <v>247.00479999999999</v>
      </c>
      <c r="Q77">
        <v>244.04519999999999</v>
      </c>
      <c r="R77">
        <v>0.98801804661285897</v>
      </c>
      <c r="S77">
        <v>2.4892806969619999E-2</v>
      </c>
      <c r="T77">
        <v>1</v>
      </c>
      <c r="U77" t="s">
        <v>2826</v>
      </c>
    </row>
    <row r="78" spans="1:21" x14ac:dyDescent="0.3">
      <c r="A78">
        <v>77</v>
      </c>
      <c r="B78" t="s">
        <v>379</v>
      </c>
      <c r="C78" t="s">
        <v>38</v>
      </c>
      <c r="D78">
        <v>0</v>
      </c>
      <c r="E78" t="s">
        <v>38</v>
      </c>
      <c r="F78">
        <v>0</v>
      </c>
      <c r="G78" t="s">
        <v>38</v>
      </c>
      <c r="H78" t="s">
        <v>38</v>
      </c>
      <c r="I78">
        <v>0</v>
      </c>
      <c r="J78" t="s">
        <v>38</v>
      </c>
      <c r="K78">
        <v>0</v>
      </c>
      <c r="L78">
        <v>0</v>
      </c>
      <c r="M78" t="s">
        <v>38</v>
      </c>
      <c r="O78" t="s">
        <v>2838</v>
      </c>
      <c r="P78">
        <v>343.19920000000002</v>
      </c>
      <c r="Q78">
        <v>342.92439999999999</v>
      </c>
      <c r="R78">
        <v>0.99919929883286396</v>
      </c>
      <c r="S78">
        <v>2.36025264610566E-3</v>
      </c>
      <c r="T78">
        <v>0</v>
      </c>
      <c r="U78" t="s">
        <v>2826</v>
      </c>
    </row>
    <row r="79" spans="1:21" x14ac:dyDescent="0.3">
      <c r="A79">
        <v>78</v>
      </c>
      <c r="B79" t="s">
        <v>1661</v>
      </c>
      <c r="C79" t="s">
        <v>38</v>
      </c>
      <c r="D79">
        <v>2</v>
      </c>
      <c r="E79" t="s">
        <v>38</v>
      </c>
      <c r="F79">
        <v>2</v>
      </c>
      <c r="G79" t="s">
        <v>38</v>
      </c>
      <c r="H79" t="s">
        <v>38</v>
      </c>
      <c r="I79">
        <v>0</v>
      </c>
      <c r="J79" t="s">
        <v>38</v>
      </c>
      <c r="K79">
        <v>0</v>
      </c>
      <c r="L79" s="18">
        <v>8.6792457868938095E-5</v>
      </c>
      <c r="M79" t="s">
        <v>38</v>
      </c>
      <c r="O79" t="s">
        <v>2838</v>
      </c>
      <c r="P79">
        <v>1217.99</v>
      </c>
      <c r="Q79">
        <v>1198.2608</v>
      </c>
      <c r="R79">
        <v>0.98380183745350902</v>
      </c>
      <c r="S79">
        <v>3.2934937705610803E-2</v>
      </c>
      <c r="T79">
        <v>2</v>
      </c>
      <c r="U79" t="s">
        <v>2826</v>
      </c>
    </row>
    <row r="80" spans="1:21" x14ac:dyDescent="0.3">
      <c r="A80">
        <v>79</v>
      </c>
      <c r="B80" t="s">
        <v>1742</v>
      </c>
      <c r="C80" t="s">
        <v>106</v>
      </c>
      <c r="D80">
        <v>92</v>
      </c>
      <c r="E80" t="s">
        <v>51</v>
      </c>
      <c r="F80">
        <v>61</v>
      </c>
      <c r="G80" t="s">
        <v>106</v>
      </c>
      <c r="H80" t="s">
        <v>106</v>
      </c>
      <c r="I80">
        <v>1.2</v>
      </c>
      <c r="J80" t="s">
        <v>38</v>
      </c>
      <c r="K80">
        <v>0</v>
      </c>
      <c r="L80">
        <v>0</v>
      </c>
      <c r="M80" t="s">
        <v>106</v>
      </c>
      <c r="N80" t="s">
        <v>1748</v>
      </c>
      <c r="O80" t="s">
        <v>2846</v>
      </c>
      <c r="P80">
        <v>17.0928</v>
      </c>
      <c r="Q80">
        <v>1.3532</v>
      </c>
      <c r="R80">
        <v>7.91678367499766E-2</v>
      </c>
      <c r="S80">
        <v>1.21430507861919</v>
      </c>
      <c r="T80">
        <v>61</v>
      </c>
      <c r="U80" t="s">
        <v>2826</v>
      </c>
    </row>
    <row r="81" spans="1:21" x14ac:dyDescent="0.3">
      <c r="A81">
        <v>80</v>
      </c>
      <c r="B81" t="s">
        <v>1850</v>
      </c>
      <c r="C81" t="s">
        <v>38</v>
      </c>
      <c r="D81">
        <v>35</v>
      </c>
      <c r="E81" t="s">
        <v>76</v>
      </c>
      <c r="F81">
        <v>30</v>
      </c>
      <c r="G81" t="s">
        <v>106</v>
      </c>
      <c r="H81" t="s">
        <v>106</v>
      </c>
      <c r="I81">
        <v>0.6</v>
      </c>
      <c r="J81" t="s">
        <v>38</v>
      </c>
      <c r="K81">
        <v>0</v>
      </c>
      <c r="L81" t="s">
        <v>2840</v>
      </c>
      <c r="M81" t="s">
        <v>106</v>
      </c>
      <c r="N81" t="s">
        <v>706</v>
      </c>
      <c r="O81" t="s">
        <v>2841</v>
      </c>
      <c r="P81">
        <v>1.5427999999999999</v>
      </c>
      <c r="Q81">
        <v>1.01</v>
      </c>
      <c r="R81">
        <v>0.654653876069484</v>
      </c>
      <c r="S81">
        <v>0.59676385773790397</v>
      </c>
      <c r="T81">
        <v>30</v>
      </c>
      <c r="U81" t="s">
        <v>2826</v>
      </c>
    </row>
    <row r="82" spans="1:21" x14ac:dyDescent="0.3">
      <c r="A82">
        <v>81</v>
      </c>
      <c r="B82" t="s">
        <v>1285</v>
      </c>
      <c r="C82" t="s">
        <v>38</v>
      </c>
      <c r="D82">
        <v>12</v>
      </c>
      <c r="E82" t="s">
        <v>38</v>
      </c>
      <c r="F82">
        <v>6</v>
      </c>
      <c r="G82" t="s">
        <v>38</v>
      </c>
      <c r="H82" t="s">
        <v>38</v>
      </c>
      <c r="I82">
        <v>0.1</v>
      </c>
      <c r="J82" t="s">
        <v>38</v>
      </c>
      <c r="K82">
        <v>0</v>
      </c>
      <c r="L82">
        <v>0</v>
      </c>
      <c r="M82" t="s">
        <v>38</v>
      </c>
      <c r="O82" t="s">
        <v>2838</v>
      </c>
      <c r="P82">
        <v>139.92240000000001</v>
      </c>
      <c r="Q82">
        <v>122.5984</v>
      </c>
      <c r="R82">
        <v>0.87618851592025304</v>
      </c>
      <c r="S82">
        <v>0.11990156090673799</v>
      </c>
      <c r="T82">
        <v>6</v>
      </c>
      <c r="U82" t="s">
        <v>2826</v>
      </c>
    </row>
    <row r="83" spans="1:21" x14ac:dyDescent="0.3">
      <c r="A83">
        <v>82</v>
      </c>
      <c r="B83" t="s">
        <v>1970</v>
      </c>
      <c r="C83" t="s">
        <v>38</v>
      </c>
      <c r="D83">
        <v>10</v>
      </c>
      <c r="E83" t="s">
        <v>38</v>
      </c>
      <c r="F83">
        <v>5</v>
      </c>
      <c r="G83" t="s">
        <v>106</v>
      </c>
      <c r="H83" t="s">
        <v>51</v>
      </c>
      <c r="I83">
        <v>0.1</v>
      </c>
      <c r="J83" t="s">
        <v>38</v>
      </c>
      <c r="K83">
        <v>0</v>
      </c>
      <c r="L83">
        <v>0</v>
      </c>
      <c r="M83" t="s">
        <v>106</v>
      </c>
      <c r="N83" t="s">
        <v>108</v>
      </c>
      <c r="O83" t="s">
        <v>2849</v>
      </c>
      <c r="P83">
        <v>217.01480000000001</v>
      </c>
      <c r="Q83">
        <v>194.7612</v>
      </c>
      <c r="R83">
        <v>0.89745584172139403</v>
      </c>
      <c r="S83">
        <v>9.8568206364455402E-2</v>
      </c>
      <c r="T83">
        <v>5</v>
      </c>
      <c r="U83" t="s">
        <v>2826</v>
      </c>
    </row>
    <row r="84" spans="1:21" x14ac:dyDescent="0.3">
      <c r="A84">
        <v>83</v>
      </c>
      <c r="B84" t="s">
        <v>1272</v>
      </c>
      <c r="C84" t="s">
        <v>38</v>
      </c>
      <c r="D84">
        <v>8</v>
      </c>
      <c r="E84" t="s">
        <v>38</v>
      </c>
      <c r="F84">
        <v>3</v>
      </c>
      <c r="G84" t="s">
        <v>38</v>
      </c>
      <c r="H84" t="s">
        <v>38</v>
      </c>
      <c r="I84">
        <v>0.1</v>
      </c>
      <c r="J84" t="s">
        <v>38</v>
      </c>
      <c r="K84">
        <v>0</v>
      </c>
      <c r="L84">
        <v>0</v>
      </c>
      <c r="M84" t="s">
        <v>38</v>
      </c>
      <c r="O84" t="s">
        <v>2838</v>
      </c>
      <c r="P84">
        <v>418.2756</v>
      </c>
      <c r="Q84">
        <v>384.40440000000001</v>
      </c>
      <c r="R84">
        <v>0.919021812412677</v>
      </c>
      <c r="S84">
        <v>6.2885739135577406E-2</v>
      </c>
      <c r="T84">
        <v>3</v>
      </c>
      <c r="U84" t="s">
        <v>2826</v>
      </c>
    </row>
    <row r="85" spans="1:21" x14ac:dyDescent="0.3">
      <c r="A85">
        <v>84</v>
      </c>
      <c r="B85" t="s">
        <v>780</v>
      </c>
      <c r="C85" t="s">
        <v>51</v>
      </c>
      <c r="D85">
        <v>71</v>
      </c>
      <c r="E85" t="s">
        <v>76</v>
      </c>
      <c r="F85">
        <v>42</v>
      </c>
      <c r="G85" t="s">
        <v>106</v>
      </c>
      <c r="H85" t="s">
        <v>51</v>
      </c>
      <c r="I85">
        <v>0.8</v>
      </c>
      <c r="J85" t="s">
        <v>38</v>
      </c>
      <c r="K85">
        <v>0</v>
      </c>
      <c r="L85">
        <v>2.51346227918464E-2</v>
      </c>
      <c r="M85" t="s">
        <v>106</v>
      </c>
      <c r="N85" t="s">
        <v>53</v>
      </c>
      <c r="O85" t="s">
        <v>2846</v>
      </c>
      <c r="P85">
        <v>180.0652</v>
      </c>
      <c r="Q85">
        <v>52.962800000000001</v>
      </c>
      <c r="R85">
        <v>0.29413123690752002</v>
      </c>
      <c r="S85">
        <v>0.83019402910575202</v>
      </c>
      <c r="T85">
        <v>42</v>
      </c>
      <c r="U85" t="s">
        <v>2826</v>
      </c>
    </row>
    <row r="86" spans="1:21" x14ac:dyDescent="0.3">
      <c r="A86">
        <v>85</v>
      </c>
      <c r="B86" t="s">
        <v>385</v>
      </c>
      <c r="C86" t="s">
        <v>76</v>
      </c>
      <c r="D86">
        <v>62</v>
      </c>
      <c r="E86" t="s">
        <v>76</v>
      </c>
      <c r="F86">
        <v>44</v>
      </c>
      <c r="G86" t="s">
        <v>51</v>
      </c>
      <c r="H86" t="s">
        <v>51</v>
      </c>
      <c r="I86">
        <v>0.9</v>
      </c>
      <c r="J86" t="s">
        <v>38</v>
      </c>
      <c r="K86">
        <v>0</v>
      </c>
      <c r="L86">
        <v>0.16544025380590499</v>
      </c>
      <c r="M86" t="s">
        <v>51</v>
      </c>
      <c r="N86" t="s">
        <v>391</v>
      </c>
      <c r="O86" t="s">
        <v>2850</v>
      </c>
      <c r="P86">
        <v>501.64960000000002</v>
      </c>
      <c r="Q86">
        <v>168.94800000000001</v>
      </c>
      <c r="R86">
        <v>0.336784879326127</v>
      </c>
      <c r="S86">
        <v>0.87895128450780002</v>
      </c>
      <c r="T86">
        <v>44</v>
      </c>
      <c r="U86" t="s">
        <v>2826</v>
      </c>
    </row>
    <row r="87" spans="1:21" x14ac:dyDescent="0.3">
      <c r="A87">
        <v>86</v>
      </c>
      <c r="B87" t="s">
        <v>1438</v>
      </c>
      <c r="C87" t="s">
        <v>51</v>
      </c>
      <c r="D87">
        <v>71</v>
      </c>
      <c r="E87" t="s">
        <v>76</v>
      </c>
      <c r="F87">
        <v>43</v>
      </c>
      <c r="G87" t="s">
        <v>51</v>
      </c>
      <c r="H87" t="s">
        <v>76</v>
      </c>
      <c r="I87">
        <v>0.9</v>
      </c>
      <c r="J87" t="s">
        <v>38</v>
      </c>
      <c r="K87">
        <v>0</v>
      </c>
      <c r="L87">
        <v>0.14908656667610701</v>
      </c>
      <c r="M87" t="s">
        <v>51</v>
      </c>
      <c r="N87" t="s">
        <v>1444</v>
      </c>
      <c r="O87" t="s">
        <v>2851</v>
      </c>
      <c r="P87">
        <v>477.154</v>
      </c>
      <c r="Q87">
        <v>136.99959999999999</v>
      </c>
      <c r="R87">
        <v>0.28711820502395502</v>
      </c>
      <c r="S87">
        <v>0.867968056413707</v>
      </c>
      <c r="T87">
        <v>43</v>
      </c>
      <c r="U87" t="s">
        <v>2826</v>
      </c>
    </row>
    <row r="88" spans="1:21" x14ac:dyDescent="0.3">
      <c r="A88">
        <v>87</v>
      </c>
      <c r="B88" t="s">
        <v>574</v>
      </c>
      <c r="C88" t="s">
        <v>106</v>
      </c>
      <c r="D88">
        <v>96</v>
      </c>
      <c r="E88" t="s">
        <v>106</v>
      </c>
      <c r="F88">
        <v>95</v>
      </c>
      <c r="G88" t="s">
        <v>106</v>
      </c>
      <c r="H88" t="s">
        <v>51</v>
      </c>
      <c r="I88">
        <v>1.9</v>
      </c>
      <c r="J88" t="s">
        <v>38</v>
      </c>
      <c r="K88">
        <v>21</v>
      </c>
      <c r="L88">
        <v>0.19386958219445499</v>
      </c>
      <c r="M88" t="s">
        <v>106</v>
      </c>
      <c r="N88" t="s">
        <v>580</v>
      </c>
      <c r="O88" t="s">
        <v>2852</v>
      </c>
      <c r="P88">
        <v>35.839199999999998</v>
      </c>
      <c r="Q88">
        <v>5.1219999999999999</v>
      </c>
      <c r="R88">
        <v>0.14291613652090401</v>
      </c>
      <c r="S88">
        <v>1.9039690894666199</v>
      </c>
      <c r="T88">
        <v>95</v>
      </c>
      <c r="U88" t="s">
        <v>2826</v>
      </c>
    </row>
    <row r="89" spans="1:21" x14ac:dyDescent="0.3">
      <c r="A89">
        <v>88</v>
      </c>
      <c r="B89" t="s">
        <v>1309</v>
      </c>
      <c r="C89" t="s">
        <v>38</v>
      </c>
      <c r="D89">
        <v>6</v>
      </c>
      <c r="E89" t="s">
        <v>38</v>
      </c>
      <c r="F89">
        <v>3</v>
      </c>
      <c r="G89" t="s">
        <v>38</v>
      </c>
      <c r="H89" t="s">
        <v>38</v>
      </c>
      <c r="I89">
        <v>0.1</v>
      </c>
      <c r="J89" t="s">
        <v>38</v>
      </c>
      <c r="K89">
        <v>0</v>
      </c>
      <c r="L89">
        <v>6.1667102978330496E-3</v>
      </c>
      <c r="M89" t="s">
        <v>38</v>
      </c>
      <c r="O89" t="s">
        <v>2836</v>
      </c>
      <c r="P89">
        <v>279.06880000000001</v>
      </c>
      <c r="Q89">
        <v>258.22519999999997</v>
      </c>
      <c r="R89">
        <v>0.92531017440860497</v>
      </c>
      <c r="S89">
        <v>6.4276042298823305E-2</v>
      </c>
      <c r="T89">
        <v>3</v>
      </c>
      <c r="U89" t="s">
        <v>2826</v>
      </c>
    </row>
    <row r="90" spans="1:21" x14ac:dyDescent="0.3">
      <c r="A90">
        <v>89</v>
      </c>
      <c r="B90" t="s">
        <v>2029</v>
      </c>
      <c r="C90" t="s">
        <v>38</v>
      </c>
      <c r="D90">
        <v>2</v>
      </c>
      <c r="E90" t="s">
        <v>38</v>
      </c>
      <c r="F90">
        <v>1</v>
      </c>
      <c r="G90" t="s">
        <v>51</v>
      </c>
      <c r="H90" t="s">
        <v>76</v>
      </c>
      <c r="I90">
        <v>0</v>
      </c>
      <c r="J90" t="s">
        <v>38</v>
      </c>
      <c r="K90">
        <v>0</v>
      </c>
      <c r="L90">
        <v>0.109039458125466</v>
      </c>
      <c r="M90" t="s">
        <v>51</v>
      </c>
      <c r="N90" t="s">
        <v>108</v>
      </c>
      <c r="O90" t="s">
        <v>2853</v>
      </c>
      <c r="P90">
        <v>134.5308</v>
      </c>
      <c r="Q90">
        <v>128.20679999999999</v>
      </c>
      <c r="R90">
        <v>0.952992177256063</v>
      </c>
      <c r="S90">
        <v>2.62102138428605E-2</v>
      </c>
      <c r="T90">
        <v>1</v>
      </c>
      <c r="U90" t="s">
        <v>2826</v>
      </c>
    </row>
    <row r="91" spans="1:21" x14ac:dyDescent="0.3">
      <c r="A91">
        <v>90</v>
      </c>
      <c r="B91" t="s">
        <v>2715</v>
      </c>
      <c r="C91" t="s">
        <v>38</v>
      </c>
      <c r="D91">
        <v>1</v>
      </c>
      <c r="E91" t="s">
        <v>38</v>
      </c>
      <c r="F91">
        <v>0</v>
      </c>
      <c r="G91" t="s">
        <v>38</v>
      </c>
      <c r="H91" t="s">
        <v>38</v>
      </c>
      <c r="I91">
        <v>0</v>
      </c>
      <c r="J91" t="s">
        <v>38</v>
      </c>
      <c r="K91">
        <v>0</v>
      </c>
      <c r="L91">
        <v>8.0966729030118693E-3</v>
      </c>
      <c r="M91" t="s">
        <v>38</v>
      </c>
      <c r="O91" t="s">
        <v>2833</v>
      </c>
      <c r="P91">
        <v>97.877600000000001</v>
      </c>
      <c r="Q91">
        <v>97.706800000000001</v>
      </c>
      <c r="R91">
        <v>0.99825496334196995</v>
      </c>
      <c r="S91">
        <v>3.37380536619065E-3</v>
      </c>
      <c r="T91">
        <v>0</v>
      </c>
      <c r="U91" t="s">
        <v>2826</v>
      </c>
    </row>
    <row r="92" spans="1:21" x14ac:dyDescent="0.3">
      <c r="A92">
        <v>91</v>
      </c>
      <c r="B92" t="s">
        <v>2370</v>
      </c>
      <c r="C92" t="s">
        <v>38</v>
      </c>
      <c r="D92">
        <v>12</v>
      </c>
      <c r="E92" t="s">
        <v>38</v>
      </c>
      <c r="F92">
        <v>4</v>
      </c>
      <c r="G92" t="s">
        <v>38</v>
      </c>
      <c r="H92" t="s">
        <v>38</v>
      </c>
      <c r="I92">
        <v>0.1</v>
      </c>
      <c r="J92" t="s">
        <v>38</v>
      </c>
      <c r="K92">
        <v>0</v>
      </c>
      <c r="L92">
        <v>0.111882316378328</v>
      </c>
      <c r="M92" t="s">
        <v>38</v>
      </c>
      <c r="O92" t="s">
        <v>2836</v>
      </c>
      <c r="P92">
        <v>61.962400000000002</v>
      </c>
      <c r="Q92">
        <v>54.056800000000003</v>
      </c>
      <c r="R92">
        <v>0.87241294720669305</v>
      </c>
      <c r="S92">
        <v>7.8472728190848301E-2</v>
      </c>
      <c r="T92">
        <v>4</v>
      </c>
      <c r="U92" t="s">
        <v>2826</v>
      </c>
    </row>
    <row r="93" spans="1:21" x14ac:dyDescent="0.3">
      <c r="A93">
        <v>92</v>
      </c>
      <c r="B93" t="s">
        <v>2376</v>
      </c>
      <c r="C93" t="s">
        <v>38</v>
      </c>
      <c r="D93">
        <v>12</v>
      </c>
      <c r="E93" t="s">
        <v>38</v>
      </c>
      <c r="F93">
        <v>3</v>
      </c>
      <c r="G93" t="s">
        <v>38</v>
      </c>
      <c r="H93" t="s">
        <v>38</v>
      </c>
      <c r="I93">
        <v>0.1</v>
      </c>
      <c r="J93" t="s">
        <v>38</v>
      </c>
      <c r="K93">
        <v>0</v>
      </c>
      <c r="L93">
        <v>2.16810539146115E-2</v>
      </c>
      <c r="M93" t="s">
        <v>38</v>
      </c>
      <c r="O93" t="s">
        <v>2825</v>
      </c>
      <c r="P93">
        <v>108.3896</v>
      </c>
      <c r="Q93">
        <v>95.825599999999994</v>
      </c>
      <c r="R93">
        <v>0.884084819945825</v>
      </c>
      <c r="S93">
        <v>5.0273429959627303E-2</v>
      </c>
      <c r="T93">
        <v>3</v>
      </c>
      <c r="U93" t="s">
        <v>2826</v>
      </c>
    </row>
    <row r="94" spans="1:21" x14ac:dyDescent="0.3">
      <c r="A94">
        <v>93</v>
      </c>
      <c r="B94" t="s">
        <v>1613</v>
      </c>
      <c r="C94" t="s">
        <v>76</v>
      </c>
      <c r="D94">
        <v>62</v>
      </c>
      <c r="E94" t="s">
        <v>38</v>
      </c>
      <c r="F94">
        <v>24</v>
      </c>
      <c r="G94" t="s">
        <v>51</v>
      </c>
      <c r="H94" t="s">
        <v>51</v>
      </c>
      <c r="I94">
        <v>0.5</v>
      </c>
      <c r="J94" t="s">
        <v>38</v>
      </c>
      <c r="K94">
        <v>0</v>
      </c>
      <c r="L94">
        <v>0.21983053163864999</v>
      </c>
      <c r="M94" t="s">
        <v>51</v>
      </c>
      <c r="N94" t="s">
        <v>706</v>
      </c>
      <c r="O94" t="s">
        <v>2828</v>
      </c>
      <c r="P94">
        <v>78.044399999999996</v>
      </c>
      <c r="Q94">
        <v>29.268000000000001</v>
      </c>
      <c r="R94">
        <v>0.37501729784584198</v>
      </c>
      <c r="S94">
        <v>0.47667651146629603</v>
      </c>
      <c r="T94">
        <v>24</v>
      </c>
      <c r="U94" t="s">
        <v>2826</v>
      </c>
    </row>
    <row r="95" spans="1:21" x14ac:dyDescent="0.3">
      <c r="A95">
        <v>94</v>
      </c>
      <c r="B95" t="s">
        <v>654</v>
      </c>
      <c r="C95" t="s">
        <v>76</v>
      </c>
      <c r="D95">
        <v>50</v>
      </c>
      <c r="E95" t="s">
        <v>38</v>
      </c>
      <c r="F95">
        <v>28</v>
      </c>
      <c r="G95" t="s">
        <v>51</v>
      </c>
      <c r="H95" t="s">
        <v>76</v>
      </c>
      <c r="I95">
        <v>0.6</v>
      </c>
      <c r="J95" t="s">
        <v>38</v>
      </c>
      <c r="K95">
        <v>0</v>
      </c>
      <c r="L95">
        <v>0.224280701609923</v>
      </c>
      <c r="M95" t="s">
        <v>51</v>
      </c>
      <c r="N95" t="s">
        <v>504</v>
      </c>
      <c r="O95" t="s">
        <v>2850</v>
      </c>
      <c r="P95">
        <v>869.16480000000001</v>
      </c>
      <c r="Q95">
        <v>388.6148</v>
      </c>
      <c r="R95">
        <v>0.447112906551209</v>
      </c>
      <c r="S95">
        <v>0.55428052019749097</v>
      </c>
      <c r="T95">
        <v>28</v>
      </c>
      <c r="U95" t="s">
        <v>2826</v>
      </c>
    </row>
    <row r="96" spans="1:21" x14ac:dyDescent="0.3">
      <c r="A96">
        <v>95</v>
      </c>
      <c r="B96" t="s">
        <v>894</v>
      </c>
      <c r="C96" t="s">
        <v>38</v>
      </c>
      <c r="D96">
        <v>15</v>
      </c>
      <c r="E96" t="s">
        <v>38</v>
      </c>
      <c r="F96">
        <v>3</v>
      </c>
      <c r="G96" t="s">
        <v>38</v>
      </c>
      <c r="H96" t="s">
        <v>38</v>
      </c>
      <c r="I96">
        <v>0.1</v>
      </c>
      <c r="J96" t="s">
        <v>38</v>
      </c>
      <c r="K96">
        <v>0</v>
      </c>
      <c r="L96">
        <v>1.9362501301194799E-3</v>
      </c>
      <c r="M96" t="s">
        <v>38</v>
      </c>
      <c r="O96" t="s">
        <v>2838</v>
      </c>
      <c r="P96">
        <v>1300.9767999999999</v>
      </c>
      <c r="Q96">
        <v>1106.6751999999999</v>
      </c>
      <c r="R96">
        <v>0.85064945047444396</v>
      </c>
      <c r="S96">
        <v>5.6699537300901097E-2</v>
      </c>
      <c r="T96">
        <v>3</v>
      </c>
      <c r="U96" t="s">
        <v>2826</v>
      </c>
    </row>
    <row r="97" spans="1:21" x14ac:dyDescent="0.3">
      <c r="A97">
        <v>96</v>
      </c>
      <c r="B97" t="s">
        <v>737</v>
      </c>
      <c r="C97" t="s">
        <v>51</v>
      </c>
      <c r="D97">
        <v>70</v>
      </c>
      <c r="E97" t="s">
        <v>76</v>
      </c>
      <c r="F97">
        <v>33</v>
      </c>
      <c r="G97" t="s">
        <v>106</v>
      </c>
      <c r="H97" t="s">
        <v>51</v>
      </c>
      <c r="I97">
        <v>0.7</v>
      </c>
      <c r="J97" t="s">
        <v>38</v>
      </c>
      <c r="K97">
        <v>0</v>
      </c>
      <c r="L97">
        <v>0.23093766792047299</v>
      </c>
      <c r="M97" t="s">
        <v>106</v>
      </c>
      <c r="N97" t="s">
        <v>53</v>
      </c>
      <c r="O97" t="s">
        <v>2830</v>
      </c>
      <c r="P97">
        <v>151.6788</v>
      </c>
      <c r="Q97">
        <v>29.776</v>
      </c>
      <c r="R97">
        <v>0.19630956995967799</v>
      </c>
      <c r="S97">
        <v>0.668766102124425</v>
      </c>
      <c r="T97">
        <v>33</v>
      </c>
      <c r="U97" t="s">
        <v>2826</v>
      </c>
    </row>
    <row r="98" spans="1:21" x14ac:dyDescent="0.3">
      <c r="A98">
        <v>97</v>
      </c>
      <c r="B98" t="s">
        <v>1345</v>
      </c>
      <c r="C98" t="s">
        <v>38</v>
      </c>
      <c r="D98">
        <v>22</v>
      </c>
      <c r="E98" t="s">
        <v>38</v>
      </c>
      <c r="F98">
        <v>12</v>
      </c>
      <c r="G98" t="s">
        <v>106</v>
      </c>
      <c r="H98" t="s">
        <v>51</v>
      </c>
      <c r="I98">
        <v>0.2</v>
      </c>
      <c r="J98" t="s">
        <v>38</v>
      </c>
      <c r="K98">
        <v>0</v>
      </c>
      <c r="L98">
        <v>0.58037148360180502</v>
      </c>
      <c r="M98" t="s">
        <v>106</v>
      </c>
      <c r="N98" t="s">
        <v>1352</v>
      </c>
      <c r="O98" t="s">
        <v>2854</v>
      </c>
      <c r="P98">
        <v>76.61</v>
      </c>
      <c r="Q98">
        <v>60.018799999999999</v>
      </c>
      <c r="R98">
        <v>0.78343297219684105</v>
      </c>
      <c r="S98">
        <v>0.241095755607629</v>
      </c>
      <c r="T98">
        <v>12</v>
      </c>
      <c r="U98" t="s">
        <v>2826</v>
      </c>
    </row>
    <row r="99" spans="1:21" x14ac:dyDescent="0.3">
      <c r="A99">
        <v>98</v>
      </c>
      <c r="B99" t="s">
        <v>1060</v>
      </c>
      <c r="C99" t="s">
        <v>76</v>
      </c>
      <c r="D99">
        <v>57</v>
      </c>
      <c r="E99" t="s">
        <v>76</v>
      </c>
      <c r="F99">
        <v>41</v>
      </c>
      <c r="G99" t="s">
        <v>51</v>
      </c>
      <c r="H99" t="s">
        <v>76</v>
      </c>
      <c r="I99">
        <v>0.8</v>
      </c>
      <c r="J99" t="s">
        <v>38</v>
      </c>
      <c r="K99">
        <v>0</v>
      </c>
      <c r="L99">
        <v>2.4760765360610299E-2</v>
      </c>
      <c r="M99" t="s">
        <v>51</v>
      </c>
      <c r="N99" t="s">
        <v>53</v>
      </c>
      <c r="O99" t="s">
        <v>2842</v>
      </c>
      <c r="P99">
        <v>2055.6608000000001</v>
      </c>
      <c r="Q99">
        <v>756.9556</v>
      </c>
      <c r="R99">
        <v>0.36822981690364498</v>
      </c>
      <c r="S99">
        <v>0.82335673099564299</v>
      </c>
      <c r="T99">
        <v>41</v>
      </c>
      <c r="U99" t="s">
        <v>2826</v>
      </c>
    </row>
    <row r="100" spans="1:21" x14ac:dyDescent="0.3">
      <c r="A100">
        <v>99</v>
      </c>
      <c r="B100" t="s">
        <v>1131</v>
      </c>
      <c r="C100" t="s">
        <v>38</v>
      </c>
      <c r="D100">
        <v>30</v>
      </c>
      <c r="E100" t="s">
        <v>38</v>
      </c>
      <c r="F100">
        <v>15</v>
      </c>
      <c r="G100" t="s">
        <v>51</v>
      </c>
      <c r="H100" t="s">
        <v>76</v>
      </c>
      <c r="I100">
        <v>0.3</v>
      </c>
      <c r="J100" t="s">
        <v>38</v>
      </c>
      <c r="K100">
        <v>0</v>
      </c>
      <c r="L100">
        <v>7.4760832264864893E-2</v>
      </c>
      <c r="M100" t="s">
        <v>51</v>
      </c>
      <c r="N100" t="s">
        <v>108</v>
      </c>
      <c r="O100" t="s">
        <v>2853</v>
      </c>
      <c r="P100">
        <v>1009.5924</v>
      </c>
      <c r="Q100">
        <v>638.29679999999996</v>
      </c>
      <c r="R100">
        <v>0.63223217607422599</v>
      </c>
      <c r="S100">
        <v>0.29920706338619601</v>
      </c>
      <c r="T100">
        <v>15</v>
      </c>
      <c r="U100" t="s">
        <v>2826</v>
      </c>
    </row>
    <row r="101" spans="1:21" x14ac:dyDescent="0.3">
      <c r="A101">
        <v>100</v>
      </c>
      <c r="B101" t="s">
        <v>542</v>
      </c>
      <c r="C101" t="s">
        <v>76</v>
      </c>
      <c r="D101">
        <v>52</v>
      </c>
      <c r="E101" t="s">
        <v>38</v>
      </c>
      <c r="F101">
        <v>18</v>
      </c>
      <c r="G101" t="s">
        <v>51</v>
      </c>
      <c r="H101" t="s">
        <v>76</v>
      </c>
      <c r="I101">
        <v>0.4</v>
      </c>
      <c r="J101" t="s">
        <v>38</v>
      </c>
      <c r="K101">
        <v>0</v>
      </c>
      <c r="L101">
        <v>0.36476526701406098</v>
      </c>
      <c r="M101" t="s">
        <v>51</v>
      </c>
      <c r="N101" t="s">
        <v>548</v>
      </c>
      <c r="O101" t="s">
        <v>2838</v>
      </c>
      <c r="P101">
        <v>689.04359999999997</v>
      </c>
      <c r="Q101">
        <v>330.84399999999999</v>
      </c>
      <c r="R101">
        <v>0.48014958705080502</v>
      </c>
      <c r="S101">
        <v>0.352681209784937</v>
      </c>
      <c r="T101">
        <v>18</v>
      </c>
      <c r="U101" t="s">
        <v>2826</v>
      </c>
    </row>
    <row r="102" spans="1:21" x14ac:dyDescent="0.3">
      <c r="A102">
        <v>101</v>
      </c>
      <c r="B102" t="s">
        <v>1917</v>
      </c>
      <c r="C102" t="s">
        <v>106</v>
      </c>
      <c r="D102">
        <v>70</v>
      </c>
      <c r="E102" t="s">
        <v>51</v>
      </c>
      <c r="F102">
        <v>76</v>
      </c>
      <c r="G102" t="s">
        <v>106</v>
      </c>
      <c r="H102" t="s">
        <v>51</v>
      </c>
      <c r="I102">
        <v>1.5</v>
      </c>
      <c r="J102" t="s">
        <v>38</v>
      </c>
      <c r="K102">
        <v>44</v>
      </c>
      <c r="L102">
        <v>0.34509036076789801</v>
      </c>
      <c r="M102" t="s">
        <v>106</v>
      </c>
      <c r="N102" t="s">
        <v>1923</v>
      </c>
      <c r="O102" t="s">
        <v>2855</v>
      </c>
      <c r="P102">
        <v>556.93359999999996</v>
      </c>
      <c r="Q102">
        <v>88.866</v>
      </c>
      <c r="R102">
        <v>0.15956300715201999</v>
      </c>
      <c r="S102">
        <v>1.5127384374941899</v>
      </c>
      <c r="T102">
        <v>76</v>
      </c>
      <c r="U102" t="s">
        <v>2826</v>
      </c>
    </row>
    <row r="103" spans="1:21" x14ac:dyDescent="0.3">
      <c r="A103">
        <v>102</v>
      </c>
      <c r="B103" t="s">
        <v>1452</v>
      </c>
      <c r="C103" t="s">
        <v>38</v>
      </c>
      <c r="D103">
        <v>36</v>
      </c>
      <c r="E103" t="s">
        <v>38</v>
      </c>
      <c r="F103">
        <v>23</v>
      </c>
      <c r="G103" t="s">
        <v>106</v>
      </c>
      <c r="H103" t="s">
        <v>51</v>
      </c>
      <c r="I103">
        <v>0.5</v>
      </c>
      <c r="J103" t="s">
        <v>38</v>
      </c>
      <c r="K103">
        <v>0</v>
      </c>
      <c r="L103">
        <v>0.18926304242971201</v>
      </c>
      <c r="M103" t="s">
        <v>106</v>
      </c>
      <c r="N103" t="s">
        <v>504</v>
      </c>
      <c r="O103" t="s">
        <v>2850</v>
      </c>
      <c r="P103">
        <v>88.580799999999996</v>
      </c>
      <c r="Q103">
        <v>51.416800000000002</v>
      </c>
      <c r="R103">
        <v>0.58045084262052304</v>
      </c>
      <c r="S103">
        <v>0.45663000949919902</v>
      </c>
      <c r="T103">
        <v>23</v>
      </c>
      <c r="U103" t="s">
        <v>2826</v>
      </c>
    </row>
    <row r="104" spans="1:21" x14ac:dyDescent="0.3">
      <c r="A104">
        <v>103</v>
      </c>
      <c r="B104" t="s">
        <v>1161</v>
      </c>
      <c r="C104" t="s">
        <v>76</v>
      </c>
      <c r="D104">
        <v>52</v>
      </c>
      <c r="E104" t="s">
        <v>38</v>
      </c>
      <c r="F104">
        <v>16</v>
      </c>
      <c r="G104" t="s">
        <v>106</v>
      </c>
      <c r="H104" t="s">
        <v>51</v>
      </c>
      <c r="I104">
        <v>0.3</v>
      </c>
      <c r="J104" t="s">
        <v>38</v>
      </c>
      <c r="K104">
        <v>0</v>
      </c>
      <c r="L104">
        <v>0.16440119650283899</v>
      </c>
      <c r="M104" t="s">
        <v>106</v>
      </c>
      <c r="N104" t="s">
        <v>108</v>
      </c>
      <c r="O104" t="s">
        <v>2849</v>
      </c>
      <c r="P104">
        <v>247.44479999999999</v>
      </c>
      <c r="Q104">
        <v>119.5484</v>
      </c>
      <c r="R104">
        <v>0.48313159136906503</v>
      </c>
      <c r="S104">
        <v>0.31655192477703098</v>
      </c>
      <c r="T104">
        <v>16</v>
      </c>
      <c r="U104" t="s">
        <v>2826</v>
      </c>
    </row>
    <row r="105" spans="1:21" x14ac:dyDescent="0.3">
      <c r="A105">
        <v>104</v>
      </c>
      <c r="B105" t="s">
        <v>774</v>
      </c>
      <c r="C105" t="s">
        <v>76</v>
      </c>
      <c r="D105">
        <v>51</v>
      </c>
      <c r="E105" t="s">
        <v>38</v>
      </c>
      <c r="F105">
        <v>12</v>
      </c>
      <c r="G105" t="s">
        <v>106</v>
      </c>
      <c r="H105" t="s">
        <v>51</v>
      </c>
      <c r="I105">
        <v>0.2</v>
      </c>
      <c r="J105" t="s">
        <v>38</v>
      </c>
      <c r="K105">
        <v>0</v>
      </c>
      <c r="L105">
        <v>5.1074179164977702E-2</v>
      </c>
      <c r="M105" t="s">
        <v>106</v>
      </c>
      <c r="N105" t="s">
        <v>108</v>
      </c>
      <c r="O105" t="s">
        <v>2853</v>
      </c>
      <c r="P105">
        <v>97.686000000000007</v>
      </c>
      <c r="Q105">
        <v>43.419199999999996</v>
      </c>
      <c r="R105">
        <v>0.44447720246504102</v>
      </c>
      <c r="S105">
        <v>0.23668396583874801</v>
      </c>
      <c r="T105">
        <v>12</v>
      </c>
      <c r="U105" t="s">
        <v>2826</v>
      </c>
    </row>
    <row r="106" spans="1:21" x14ac:dyDescent="0.3">
      <c r="A106">
        <v>105</v>
      </c>
      <c r="B106" t="s">
        <v>1327</v>
      </c>
      <c r="C106" t="s">
        <v>38</v>
      </c>
      <c r="D106">
        <v>41</v>
      </c>
      <c r="E106" t="s">
        <v>38</v>
      </c>
      <c r="F106">
        <v>17</v>
      </c>
      <c r="G106" t="s">
        <v>51</v>
      </c>
      <c r="H106" t="s">
        <v>76</v>
      </c>
      <c r="I106">
        <v>0.3</v>
      </c>
      <c r="J106" t="s">
        <v>38</v>
      </c>
      <c r="K106">
        <v>0</v>
      </c>
      <c r="L106">
        <v>9.8863798121624893E-2</v>
      </c>
      <c r="M106" t="s">
        <v>51</v>
      </c>
      <c r="N106" t="s">
        <v>108</v>
      </c>
      <c r="O106" t="s">
        <v>2853</v>
      </c>
      <c r="P106">
        <v>517.29</v>
      </c>
      <c r="Q106">
        <v>264.14319999999998</v>
      </c>
      <c r="R106">
        <v>0.51062885422103699</v>
      </c>
      <c r="S106">
        <v>0.33262800736109999</v>
      </c>
      <c r="T106">
        <v>17</v>
      </c>
      <c r="U106" t="s">
        <v>2826</v>
      </c>
    </row>
    <row r="107" spans="1:21" x14ac:dyDescent="0.3">
      <c r="A107">
        <v>106</v>
      </c>
      <c r="B107" t="s">
        <v>498</v>
      </c>
      <c r="C107" t="s">
        <v>76</v>
      </c>
      <c r="D107">
        <v>57</v>
      </c>
      <c r="E107" t="s">
        <v>38</v>
      </c>
      <c r="F107">
        <v>26</v>
      </c>
      <c r="G107" t="s">
        <v>51</v>
      </c>
      <c r="H107" t="s">
        <v>76</v>
      </c>
      <c r="I107">
        <v>0.5</v>
      </c>
      <c r="J107" t="s">
        <v>38</v>
      </c>
      <c r="K107">
        <v>0</v>
      </c>
      <c r="L107">
        <v>0.25897959463348502</v>
      </c>
      <c r="M107" t="s">
        <v>51</v>
      </c>
      <c r="N107" t="s">
        <v>504</v>
      </c>
      <c r="O107" t="s">
        <v>2850</v>
      </c>
      <c r="P107">
        <v>694.00160000000005</v>
      </c>
      <c r="Q107">
        <v>233.50720000000001</v>
      </c>
      <c r="R107">
        <v>0.33646493034021802</v>
      </c>
      <c r="S107">
        <v>0.52611774979841697</v>
      </c>
      <c r="T107">
        <v>26</v>
      </c>
      <c r="U107" t="s">
        <v>2826</v>
      </c>
    </row>
    <row r="108" spans="1:21" x14ac:dyDescent="0.3">
      <c r="A108">
        <v>107</v>
      </c>
      <c r="B108" t="s">
        <v>661</v>
      </c>
      <c r="C108" t="s">
        <v>76</v>
      </c>
      <c r="D108">
        <v>52</v>
      </c>
      <c r="E108" t="s">
        <v>38</v>
      </c>
      <c r="F108">
        <v>13</v>
      </c>
      <c r="G108" t="s">
        <v>106</v>
      </c>
      <c r="H108" t="s">
        <v>51</v>
      </c>
      <c r="I108">
        <v>0.3</v>
      </c>
      <c r="J108" t="s">
        <v>38</v>
      </c>
      <c r="K108">
        <v>0</v>
      </c>
      <c r="L108">
        <v>0.214554087530966</v>
      </c>
      <c r="M108" t="s">
        <v>106</v>
      </c>
      <c r="N108" t="s">
        <v>108</v>
      </c>
      <c r="O108" t="s">
        <v>2849</v>
      </c>
      <c r="P108">
        <v>40.588000000000001</v>
      </c>
      <c r="Q108">
        <v>19.376000000000001</v>
      </c>
      <c r="R108">
        <v>0.47738247757958002</v>
      </c>
      <c r="S108">
        <v>0.25794064169097303</v>
      </c>
      <c r="T108">
        <v>13</v>
      </c>
      <c r="U108" t="s">
        <v>2826</v>
      </c>
    </row>
    <row r="109" spans="1:21" x14ac:dyDescent="0.3">
      <c r="A109">
        <v>108</v>
      </c>
      <c r="B109" t="s">
        <v>1096</v>
      </c>
      <c r="C109" t="s">
        <v>38</v>
      </c>
      <c r="D109">
        <v>1</v>
      </c>
      <c r="E109" t="s">
        <v>38</v>
      </c>
      <c r="F109">
        <v>0</v>
      </c>
      <c r="G109" t="s">
        <v>38</v>
      </c>
      <c r="H109" t="s">
        <v>38</v>
      </c>
      <c r="I109">
        <v>0</v>
      </c>
      <c r="J109" t="s">
        <v>38</v>
      </c>
      <c r="K109">
        <v>0</v>
      </c>
      <c r="L109">
        <v>3.2488628979856999E-4</v>
      </c>
      <c r="M109" t="s">
        <v>38</v>
      </c>
      <c r="O109" t="s">
        <v>2838</v>
      </c>
      <c r="P109">
        <v>64.817599999999999</v>
      </c>
      <c r="Q109">
        <v>64.022400000000005</v>
      </c>
      <c r="R109">
        <v>0.98773172718520896</v>
      </c>
      <c r="S109">
        <v>6.8380743982494304E-3</v>
      </c>
      <c r="T109">
        <v>0</v>
      </c>
      <c r="U109" t="s">
        <v>2826</v>
      </c>
    </row>
    <row r="110" spans="1:21" x14ac:dyDescent="0.3">
      <c r="A110">
        <v>109</v>
      </c>
      <c r="B110" t="s">
        <v>1562</v>
      </c>
      <c r="C110" t="s">
        <v>38</v>
      </c>
      <c r="D110">
        <v>36</v>
      </c>
      <c r="E110" t="s">
        <v>38</v>
      </c>
      <c r="F110">
        <v>21</v>
      </c>
      <c r="G110" t="s">
        <v>51</v>
      </c>
      <c r="H110" t="s">
        <v>76</v>
      </c>
      <c r="I110">
        <v>0.4</v>
      </c>
      <c r="J110" t="s">
        <v>38</v>
      </c>
      <c r="K110">
        <v>0</v>
      </c>
      <c r="L110">
        <v>0.18754846777447401</v>
      </c>
      <c r="M110" t="s">
        <v>51</v>
      </c>
      <c r="N110" t="s">
        <v>504</v>
      </c>
      <c r="O110" t="s">
        <v>2850</v>
      </c>
      <c r="P110">
        <v>523.98919999999998</v>
      </c>
      <c r="Q110">
        <v>279.56720000000001</v>
      </c>
      <c r="R110">
        <v>0.53353618738706798</v>
      </c>
      <c r="S110">
        <v>0.422116895813481</v>
      </c>
      <c r="T110">
        <v>21</v>
      </c>
      <c r="U110" t="s">
        <v>2826</v>
      </c>
    </row>
    <row r="111" spans="1:21" x14ac:dyDescent="0.3">
      <c r="A111">
        <v>110</v>
      </c>
      <c r="B111" t="s">
        <v>2011</v>
      </c>
      <c r="C111" t="s">
        <v>76</v>
      </c>
      <c r="D111">
        <v>59</v>
      </c>
      <c r="E111" t="s">
        <v>38</v>
      </c>
      <c r="F111">
        <v>27</v>
      </c>
      <c r="G111" t="s">
        <v>106</v>
      </c>
      <c r="H111" t="s">
        <v>51</v>
      </c>
      <c r="I111">
        <v>0.5</v>
      </c>
      <c r="J111" t="s">
        <v>38</v>
      </c>
      <c r="K111">
        <v>13</v>
      </c>
      <c r="L111">
        <v>0.165513308472057</v>
      </c>
      <c r="M111" t="s">
        <v>106</v>
      </c>
      <c r="N111" t="s">
        <v>504</v>
      </c>
      <c r="O111" t="s">
        <v>2856</v>
      </c>
      <c r="P111">
        <v>91.795599999999993</v>
      </c>
      <c r="Q111">
        <v>31.213200000000001</v>
      </c>
      <c r="R111">
        <v>0.34002936959941399</v>
      </c>
      <c r="S111">
        <v>0.53302375637755095</v>
      </c>
      <c r="T111">
        <v>27</v>
      </c>
      <c r="U111" t="s">
        <v>2826</v>
      </c>
    </row>
    <row r="112" spans="1:21" x14ac:dyDescent="0.3">
      <c r="A112">
        <v>111</v>
      </c>
      <c r="B112" t="s">
        <v>713</v>
      </c>
      <c r="C112" t="s">
        <v>38</v>
      </c>
      <c r="D112">
        <v>14</v>
      </c>
      <c r="E112" t="s">
        <v>38</v>
      </c>
      <c r="F112">
        <v>6</v>
      </c>
      <c r="G112" t="s">
        <v>38</v>
      </c>
      <c r="H112" t="s">
        <v>38</v>
      </c>
      <c r="I112">
        <v>0.1</v>
      </c>
      <c r="J112" t="s">
        <v>38</v>
      </c>
      <c r="K112">
        <v>0</v>
      </c>
      <c r="L112">
        <v>0.14298449173647301</v>
      </c>
      <c r="M112" t="s">
        <v>38</v>
      </c>
      <c r="O112" t="s">
        <v>2836</v>
      </c>
      <c r="P112">
        <v>16.934000000000001</v>
      </c>
      <c r="Q112">
        <v>14.134399999999999</v>
      </c>
      <c r="R112">
        <v>0.83467580016534804</v>
      </c>
      <c r="S112">
        <v>0.12652062345561699</v>
      </c>
      <c r="T112">
        <v>6</v>
      </c>
      <c r="U112" t="s">
        <v>2826</v>
      </c>
    </row>
    <row r="113" spans="1:21" x14ac:dyDescent="0.3">
      <c r="A113">
        <v>112</v>
      </c>
      <c r="B113" t="s">
        <v>2382</v>
      </c>
      <c r="C113" t="s">
        <v>76</v>
      </c>
      <c r="D113">
        <v>56</v>
      </c>
      <c r="E113" t="s">
        <v>76</v>
      </c>
      <c r="F113">
        <v>38</v>
      </c>
      <c r="G113" t="s">
        <v>106</v>
      </c>
      <c r="H113" t="s">
        <v>51</v>
      </c>
      <c r="I113">
        <v>0.8</v>
      </c>
      <c r="J113" t="s">
        <v>38</v>
      </c>
      <c r="K113">
        <v>0</v>
      </c>
      <c r="L113">
        <v>0.35152804511532099</v>
      </c>
      <c r="M113" t="s">
        <v>106</v>
      </c>
      <c r="N113" t="s">
        <v>811</v>
      </c>
      <c r="O113" t="s">
        <v>2857</v>
      </c>
      <c r="P113">
        <v>498.22239999999999</v>
      </c>
      <c r="Q113">
        <v>177.678</v>
      </c>
      <c r="R113">
        <v>0.35662386917970801</v>
      </c>
      <c r="S113">
        <v>0.76469125411278605</v>
      </c>
      <c r="T113">
        <v>38</v>
      </c>
      <c r="U113" t="s">
        <v>2826</v>
      </c>
    </row>
    <row r="114" spans="1:21" x14ac:dyDescent="0.3">
      <c r="A114">
        <v>113</v>
      </c>
      <c r="B114" t="s">
        <v>799</v>
      </c>
      <c r="C114" t="s">
        <v>76</v>
      </c>
      <c r="D114">
        <v>54</v>
      </c>
      <c r="E114" t="s">
        <v>38</v>
      </c>
      <c r="F114">
        <v>21</v>
      </c>
      <c r="G114" t="s">
        <v>106</v>
      </c>
      <c r="H114" t="s">
        <v>51</v>
      </c>
      <c r="I114">
        <v>0.4</v>
      </c>
      <c r="J114" t="s">
        <v>38</v>
      </c>
      <c r="K114">
        <v>0</v>
      </c>
      <c r="L114">
        <v>2.0883844836709901E-2</v>
      </c>
      <c r="M114" t="s">
        <v>106</v>
      </c>
      <c r="N114" t="s">
        <v>53</v>
      </c>
      <c r="O114" t="s">
        <v>2846</v>
      </c>
      <c r="P114">
        <v>427.97719999999998</v>
      </c>
      <c r="Q114">
        <v>198.7996</v>
      </c>
      <c r="R114">
        <v>0.46450979164310602</v>
      </c>
      <c r="S114">
        <v>0.41799130618170899</v>
      </c>
      <c r="T114">
        <v>21</v>
      </c>
      <c r="U114" t="s">
        <v>2826</v>
      </c>
    </row>
    <row r="115" spans="1:21" x14ac:dyDescent="0.3">
      <c r="A115">
        <v>114</v>
      </c>
      <c r="B115" t="s">
        <v>1766</v>
      </c>
      <c r="C115" t="s">
        <v>38</v>
      </c>
      <c r="D115">
        <v>2</v>
      </c>
      <c r="E115" t="s">
        <v>38</v>
      </c>
      <c r="F115">
        <v>1</v>
      </c>
      <c r="G115" t="s">
        <v>38</v>
      </c>
      <c r="H115" t="s">
        <v>38</v>
      </c>
      <c r="I115">
        <v>0</v>
      </c>
      <c r="J115" t="s">
        <v>38</v>
      </c>
      <c r="K115">
        <v>0</v>
      </c>
      <c r="L115">
        <v>3.52381952909245E-2</v>
      </c>
      <c r="M115" t="s">
        <v>38</v>
      </c>
      <c r="O115" t="s">
        <v>2825</v>
      </c>
      <c r="P115">
        <v>283.26760000000002</v>
      </c>
      <c r="Q115">
        <v>277.94839999999999</v>
      </c>
      <c r="R115">
        <v>0.98122199644435104</v>
      </c>
      <c r="S115">
        <v>1.1626910845833499E-2</v>
      </c>
      <c r="T115">
        <v>1</v>
      </c>
      <c r="U115" t="s">
        <v>2826</v>
      </c>
    </row>
    <row r="116" spans="1:21" x14ac:dyDescent="0.3">
      <c r="A116">
        <v>115</v>
      </c>
      <c r="B116" t="s">
        <v>812</v>
      </c>
      <c r="C116" t="s">
        <v>76</v>
      </c>
      <c r="D116">
        <v>58</v>
      </c>
      <c r="E116" t="s">
        <v>38</v>
      </c>
      <c r="F116">
        <v>19</v>
      </c>
      <c r="G116" t="s">
        <v>106</v>
      </c>
      <c r="H116" t="s">
        <v>106</v>
      </c>
      <c r="I116">
        <v>0.4</v>
      </c>
      <c r="J116" t="s">
        <v>38</v>
      </c>
      <c r="K116">
        <v>0</v>
      </c>
      <c r="L116">
        <v>0.15800849668331199</v>
      </c>
      <c r="M116" t="s">
        <v>106</v>
      </c>
      <c r="N116" t="s">
        <v>706</v>
      </c>
      <c r="O116" t="s">
        <v>2858</v>
      </c>
      <c r="P116">
        <v>12.629200000000001</v>
      </c>
      <c r="Q116">
        <v>5.3667999999999996</v>
      </c>
      <c r="R116">
        <v>0.42495169923669002</v>
      </c>
      <c r="S116">
        <v>0.38871304574822202</v>
      </c>
      <c r="T116">
        <v>19</v>
      </c>
      <c r="U116" t="s">
        <v>2826</v>
      </c>
    </row>
    <row r="117" spans="1:21" x14ac:dyDescent="0.3">
      <c r="A117">
        <v>116</v>
      </c>
      <c r="B117" t="s">
        <v>2076</v>
      </c>
      <c r="C117" t="s">
        <v>38</v>
      </c>
      <c r="D117">
        <v>3</v>
      </c>
      <c r="E117" t="s">
        <v>38</v>
      </c>
      <c r="F117">
        <v>1</v>
      </c>
      <c r="G117" t="s">
        <v>38</v>
      </c>
      <c r="H117" t="s">
        <v>38</v>
      </c>
      <c r="I117">
        <v>0</v>
      </c>
      <c r="J117" t="s">
        <v>38</v>
      </c>
      <c r="K117">
        <v>0</v>
      </c>
      <c r="L117" t="s">
        <v>2840</v>
      </c>
      <c r="M117" t="s">
        <v>38</v>
      </c>
      <c r="O117" t="s">
        <v>2859</v>
      </c>
      <c r="P117">
        <v>106.53400000000001</v>
      </c>
      <c r="Q117">
        <v>101.2808</v>
      </c>
      <c r="R117">
        <v>0.95068992058873203</v>
      </c>
      <c r="S117">
        <v>2.36032556079472E-2</v>
      </c>
      <c r="T117">
        <v>1</v>
      </c>
      <c r="U117" t="s">
        <v>2826</v>
      </c>
    </row>
    <row r="118" spans="1:21" x14ac:dyDescent="0.3">
      <c r="A118">
        <v>117</v>
      </c>
      <c r="B118" t="s">
        <v>786</v>
      </c>
      <c r="C118" t="s">
        <v>38</v>
      </c>
      <c r="D118">
        <v>9</v>
      </c>
      <c r="E118" t="s">
        <v>38</v>
      </c>
      <c r="F118">
        <v>5</v>
      </c>
      <c r="G118" t="s">
        <v>38</v>
      </c>
      <c r="H118" t="s">
        <v>38</v>
      </c>
      <c r="I118">
        <v>0.1</v>
      </c>
      <c r="J118" t="s">
        <v>38</v>
      </c>
      <c r="K118">
        <v>0</v>
      </c>
      <c r="L118">
        <v>2.1047276290252701E-2</v>
      </c>
      <c r="M118" t="s">
        <v>38</v>
      </c>
      <c r="O118" t="s">
        <v>2833</v>
      </c>
      <c r="P118">
        <v>75.126800000000003</v>
      </c>
      <c r="Q118">
        <v>63.685200000000002</v>
      </c>
      <c r="R118">
        <v>0.84770281710388296</v>
      </c>
      <c r="S118">
        <v>9.4855569833796893E-2</v>
      </c>
      <c r="T118">
        <v>5</v>
      </c>
      <c r="U118" t="s">
        <v>2826</v>
      </c>
    </row>
    <row r="119" spans="1:21" x14ac:dyDescent="0.3">
      <c r="A119">
        <v>118</v>
      </c>
      <c r="B119" t="s">
        <v>725</v>
      </c>
      <c r="C119" t="s">
        <v>38</v>
      </c>
      <c r="D119">
        <v>31</v>
      </c>
      <c r="E119" t="s">
        <v>38</v>
      </c>
      <c r="F119">
        <v>18</v>
      </c>
      <c r="G119" t="s">
        <v>51</v>
      </c>
      <c r="H119" t="s">
        <v>76</v>
      </c>
      <c r="I119">
        <v>0.4</v>
      </c>
      <c r="J119" t="s">
        <v>38</v>
      </c>
      <c r="K119">
        <v>0</v>
      </c>
      <c r="L119">
        <v>0.123238073909055</v>
      </c>
      <c r="M119" t="s">
        <v>51</v>
      </c>
      <c r="N119" t="s">
        <v>504</v>
      </c>
      <c r="O119" t="s">
        <v>2850</v>
      </c>
      <c r="P119">
        <v>316.87599999999998</v>
      </c>
      <c r="Q119">
        <v>203.61240000000001</v>
      </c>
      <c r="R119">
        <v>0.64256175917393599</v>
      </c>
      <c r="S119">
        <v>0.36732774536912599</v>
      </c>
      <c r="T119">
        <v>18</v>
      </c>
      <c r="U119" t="s">
        <v>2826</v>
      </c>
    </row>
    <row r="120" spans="1:21" x14ac:dyDescent="0.3">
      <c r="A120">
        <v>119</v>
      </c>
      <c r="B120" t="s">
        <v>792</v>
      </c>
      <c r="C120" t="s">
        <v>76</v>
      </c>
      <c r="D120">
        <v>57</v>
      </c>
      <c r="E120" t="s">
        <v>38</v>
      </c>
      <c r="F120">
        <v>22</v>
      </c>
      <c r="G120" t="s">
        <v>51</v>
      </c>
      <c r="H120" t="s">
        <v>51</v>
      </c>
      <c r="I120">
        <v>0.4</v>
      </c>
      <c r="J120" t="s">
        <v>38</v>
      </c>
      <c r="K120">
        <v>0</v>
      </c>
      <c r="L120">
        <v>0.24194476409666299</v>
      </c>
      <c r="M120" t="s">
        <v>106</v>
      </c>
      <c r="N120" t="s">
        <v>798</v>
      </c>
      <c r="O120" t="s">
        <v>2851</v>
      </c>
      <c r="P120">
        <v>84.004400000000004</v>
      </c>
      <c r="Q120">
        <v>35.802799999999998</v>
      </c>
      <c r="R120">
        <v>0.42620148468413599</v>
      </c>
      <c r="S120">
        <v>0.44003057326063599</v>
      </c>
      <c r="T120">
        <v>22</v>
      </c>
      <c r="U120" t="s">
        <v>2860</v>
      </c>
    </row>
    <row r="121" spans="1:21" x14ac:dyDescent="0.3">
      <c r="A121">
        <v>120</v>
      </c>
      <c r="B121" t="s">
        <v>1575</v>
      </c>
      <c r="C121" t="s">
        <v>51</v>
      </c>
      <c r="D121">
        <v>76</v>
      </c>
      <c r="E121" t="s">
        <v>51</v>
      </c>
      <c r="F121">
        <v>50</v>
      </c>
      <c r="G121" t="s">
        <v>106</v>
      </c>
      <c r="H121" t="s">
        <v>51</v>
      </c>
      <c r="I121">
        <v>1</v>
      </c>
      <c r="J121" t="s">
        <v>38</v>
      </c>
      <c r="K121">
        <v>0</v>
      </c>
      <c r="L121">
        <v>0.27035226798593298</v>
      </c>
      <c r="M121" t="s">
        <v>106</v>
      </c>
      <c r="N121" t="s">
        <v>504</v>
      </c>
      <c r="O121" t="s">
        <v>2851</v>
      </c>
      <c r="P121">
        <v>279.49160000000001</v>
      </c>
      <c r="Q121">
        <v>67.108000000000004</v>
      </c>
      <c r="R121">
        <v>0.24010739499863301</v>
      </c>
      <c r="S121">
        <v>0.99507414178346498</v>
      </c>
      <c r="T121">
        <v>50</v>
      </c>
      <c r="U121" t="s">
        <v>2826</v>
      </c>
    </row>
    <row r="122" spans="1:21" x14ac:dyDescent="0.3">
      <c r="A122">
        <v>121</v>
      </c>
      <c r="B122" t="s">
        <v>818</v>
      </c>
      <c r="C122" t="s">
        <v>38</v>
      </c>
      <c r="D122">
        <v>40</v>
      </c>
      <c r="E122" t="s">
        <v>38</v>
      </c>
      <c r="F122">
        <v>16</v>
      </c>
      <c r="G122" t="s">
        <v>106</v>
      </c>
      <c r="H122" t="s">
        <v>51</v>
      </c>
      <c r="I122">
        <v>0.3</v>
      </c>
      <c r="J122" t="s">
        <v>38</v>
      </c>
      <c r="K122">
        <v>0</v>
      </c>
      <c r="L122">
        <v>0.12669123204837501</v>
      </c>
      <c r="M122" t="s">
        <v>106</v>
      </c>
      <c r="N122" t="s">
        <v>108</v>
      </c>
      <c r="O122" t="s">
        <v>2853</v>
      </c>
      <c r="P122">
        <v>266.61799999999999</v>
      </c>
      <c r="Q122">
        <v>148.17599999999999</v>
      </c>
      <c r="R122">
        <v>0.555761426460329</v>
      </c>
      <c r="S122">
        <v>0.32626249927470402</v>
      </c>
      <c r="T122">
        <v>16</v>
      </c>
      <c r="U122" t="s">
        <v>2826</v>
      </c>
    </row>
    <row r="123" spans="1:21" x14ac:dyDescent="0.3">
      <c r="A123">
        <v>122</v>
      </c>
      <c r="B123" t="s">
        <v>707</v>
      </c>
      <c r="C123" t="s">
        <v>38</v>
      </c>
      <c r="D123">
        <v>15</v>
      </c>
      <c r="E123" t="s">
        <v>38</v>
      </c>
      <c r="F123">
        <v>7</v>
      </c>
      <c r="G123" t="s">
        <v>38</v>
      </c>
      <c r="H123" t="s">
        <v>38</v>
      </c>
      <c r="I123">
        <v>0.1</v>
      </c>
      <c r="J123" t="s">
        <v>38</v>
      </c>
      <c r="K123">
        <v>0</v>
      </c>
      <c r="L123">
        <v>2.0888487654662901E-2</v>
      </c>
      <c r="M123" t="s">
        <v>38</v>
      </c>
      <c r="O123" t="s">
        <v>2836</v>
      </c>
      <c r="P123">
        <v>186.76759999999999</v>
      </c>
      <c r="Q123">
        <v>144.44319999999999</v>
      </c>
      <c r="R123">
        <v>0.77338467699965097</v>
      </c>
      <c r="S123">
        <v>0.13207213766069201</v>
      </c>
      <c r="T123">
        <v>7</v>
      </c>
      <c r="U123" t="s">
        <v>2826</v>
      </c>
    </row>
    <row r="124" spans="1:21" x14ac:dyDescent="0.3">
      <c r="A124">
        <v>123</v>
      </c>
      <c r="B124" t="s">
        <v>805</v>
      </c>
      <c r="C124" t="s">
        <v>76</v>
      </c>
      <c r="D124">
        <v>57</v>
      </c>
      <c r="E124" t="s">
        <v>38</v>
      </c>
      <c r="F124">
        <v>28</v>
      </c>
      <c r="G124" t="s">
        <v>51</v>
      </c>
      <c r="H124" t="s">
        <v>76</v>
      </c>
      <c r="I124">
        <v>0.6</v>
      </c>
      <c r="J124" t="s">
        <v>38</v>
      </c>
      <c r="K124">
        <v>0</v>
      </c>
      <c r="L124">
        <v>0.40052542019668003</v>
      </c>
      <c r="M124" t="s">
        <v>51</v>
      </c>
      <c r="N124" t="s">
        <v>811</v>
      </c>
      <c r="O124" t="s">
        <v>2861</v>
      </c>
      <c r="P124">
        <v>563.63919999999996</v>
      </c>
      <c r="Q124">
        <v>243.76679999999999</v>
      </c>
      <c r="R124">
        <v>0.432487307483227</v>
      </c>
      <c r="S124">
        <v>0.55739560666240695</v>
      </c>
      <c r="T124">
        <v>28</v>
      </c>
      <c r="U124" t="s">
        <v>2826</v>
      </c>
    </row>
    <row r="125" spans="1:21" x14ac:dyDescent="0.3">
      <c r="A125">
        <v>124</v>
      </c>
      <c r="B125" t="s">
        <v>1886</v>
      </c>
      <c r="C125" t="s">
        <v>38</v>
      </c>
      <c r="D125">
        <v>9</v>
      </c>
      <c r="E125" t="s">
        <v>38</v>
      </c>
      <c r="F125">
        <v>4</v>
      </c>
      <c r="G125" t="s">
        <v>106</v>
      </c>
      <c r="H125" t="s">
        <v>51</v>
      </c>
      <c r="I125">
        <v>0.1</v>
      </c>
      <c r="J125" t="s">
        <v>38</v>
      </c>
      <c r="K125">
        <v>0</v>
      </c>
      <c r="L125">
        <v>0.336300224818258</v>
      </c>
      <c r="M125" t="s">
        <v>106</v>
      </c>
      <c r="N125" t="s">
        <v>1892</v>
      </c>
      <c r="O125" t="s">
        <v>2862</v>
      </c>
      <c r="P125">
        <v>286.9588</v>
      </c>
      <c r="Q125">
        <v>257.45240000000001</v>
      </c>
      <c r="R125">
        <v>0.89717548303101402</v>
      </c>
      <c r="S125">
        <v>8.7179732125865703E-2</v>
      </c>
      <c r="T125">
        <v>4</v>
      </c>
      <c r="U125" t="s">
        <v>2826</v>
      </c>
    </row>
    <row r="126" spans="1:21" x14ac:dyDescent="0.3">
      <c r="A126">
        <v>125</v>
      </c>
      <c r="B126" t="s">
        <v>1856</v>
      </c>
      <c r="C126" t="s">
        <v>38</v>
      </c>
      <c r="D126">
        <v>4</v>
      </c>
      <c r="E126" t="s">
        <v>38</v>
      </c>
      <c r="F126">
        <v>2</v>
      </c>
      <c r="G126" t="s">
        <v>38</v>
      </c>
      <c r="H126" t="s">
        <v>38</v>
      </c>
      <c r="I126">
        <v>0</v>
      </c>
      <c r="J126" t="s">
        <v>38</v>
      </c>
      <c r="K126">
        <v>0</v>
      </c>
      <c r="L126">
        <v>0.182478993679664</v>
      </c>
      <c r="M126" t="s">
        <v>38</v>
      </c>
      <c r="O126" t="s">
        <v>2836</v>
      </c>
      <c r="P126">
        <v>694.2568</v>
      </c>
      <c r="Q126">
        <v>661.61040000000003</v>
      </c>
      <c r="R126">
        <v>0.952976477868132</v>
      </c>
      <c r="S126">
        <v>3.2713410037785801E-2</v>
      </c>
      <c r="T126">
        <v>2</v>
      </c>
      <c r="U126" t="s">
        <v>2826</v>
      </c>
    </row>
    <row r="127" spans="1:21" x14ac:dyDescent="0.3">
      <c r="A127">
        <v>126</v>
      </c>
      <c r="B127" t="s">
        <v>1754</v>
      </c>
      <c r="C127" t="s">
        <v>38</v>
      </c>
      <c r="D127">
        <v>20</v>
      </c>
      <c r="E127" t="s">
        <v>38</v>
      </c>
      <c r="F127">
        <v>7</v>
      </c>
      <c r="G127" t="s">
        <v>38</v>
      </c>
      <c r="H127" t="s">
        <v>38</v>
      </c>
      <c r="I127">
        <v>0.1</v>
      </c>
      <c r="J127" t="s">
        <v>38</v>
      </c>
      <c r="K127">
        <v>0</v>
      </c>
      <c r="L127">
        <v>0.136855032196572</v>
      </c>
      <c r="M127" t="s">
        <v>38</v>
      </c>
      <c r="O127" t="s">
        <v>2836</v>
      </c>
      <c r="P127">
        <v>791.67359999999996</v>
      </c>
      <c r="Q127">
        <v>622.36440000000005</v>
      </c>
      <c r="R127">
        <v>0.78613762035263002</v>
      </c>
      <c r="S127">
        <v>0.139972419530103</v>
      </c>
      <c r="T127">
        <v>7</v>
      </c>
      <c r="U127" t="s">
        <v>2826</v>
      </c>
    </row>
    <row r="128" spans="1:21" x14ac:dyDescent="0.3">
      <c r="A128">
        <v>127</v>
      </c>
      <c r="B128" t="s">
        <v>1947</v>
      </c>
      <c r="C128" t="s">
        <v>38</v>
      </c>
      <c r="D128">
        <v>0</v>
      </c>
      <c r="E128" t="s">
        <v>38</v>
      </c>
      <c r="F128">
        <v>0</v>
      </c>
      <c r="G128" t="s">
        <v>38</v>
      </c>
      <c r="H128" t="s">
        <v>38</v>
      </c>
      <c r="I128">
        <v>0</v>
      </c>
      <c r="J128" t="s">
        <v>38</v>
      </c>
      <c r="K128">
        <v>0</v>
      </c>
      <c r="L128" t="s">
        <v>2840</v>
      </c>
      <c r="M128" t="s">
        <v>38</v>
      </c>
      <c r="O128" t="s">
        <v>2848</v>
      </c>
      <c r="P128">
        <v>49.024000000000001</v>
      </c>
      <c r="Q128">
        <v>49.024000000000001</v>
      </c>
      <c r="R128">
        <v>1</v>
      </c>
      <c r="S128">
        <v>0</v>
      </c>
      <c r="T128">
        <v>0</v>
      </c>
      <c r="U128" t="s">
        <v>2826</v>
      </c>
    </row>
    <row r="129" spans="1:21" x14ac:dyDescent="0.3">
      <c r="A129">
        <v>128</v>
      </c>
      <c r="B129" t="s">
        <v>1291</v>
      </c>
      <c r="C129" t="s">
        <v>38</v>
      </c>
      <c r="D129">
        <v>1</v>
      </c>
      <c r="E129" t="s">
        <v>38</v>
      </c>
      <c r="F129">
        <v>1</v>
      </c>
      <c r="G129" t="s">
        <v>38</v>
      </c>
      <c r="H129" t="s">
        <v>38</v>
      </c>
      <c r="I129">
        <v>0</v>
      </c>
      <c r="J129" t="s">
        <v>38</v>
      </c>
      <c r="K129">
        <v>0</v>
      </c>
      <c r="L129">
        <v>4.3625291391721001E-4</v>
      </c>
      <c r="M129" t="s">
        <v>38</v>
      </c>
      <c r="O129" t="s">
        <v>2836</v>
      </c>
      <c r="P129">
        <v>1646.1872000000001</v>
      </c>
      <c r="Q129">
        <v>1617.4104</v>
      </c>
      <c r="R129">
        <v>0.98251912054716495</v>
      </c>
      <c r="S129">
        <v>1.29545227292766E-2</v>
      </c>
      <c r="T129">
        <v>1</v>
      </c>
      <c r="U129" t="s">
        <v>2826</v>
      </c>
    </row>
    <row r="130" spans="1:21" x14ac:dyDescent="0.3">
      <c r="A130">
        <v>129</v>
      </c>
      <c r="B130" t="s">
        <v>667</v>
      </c>
      <c r="C130" t="s">
        <v>38</v>
      </c>
      <c r="D130">
        <v>1</v>
      </c>
      <c r="E130" t="s">
        <v>38</v>
      </c>
      <c r="F130">
        <v>0</v>
      </c>
      <c r="G130" t="s">
        <v>38</v>
      </c>
      <c r="H130" t="s">
        <v>38</v>
      </c>
      <c r="I130">
        <v>0</v>
      </c>
      <c r="J130" t="s">
        <v>38</v>
      </c>
      <c r="K130">
        <v>0</v>
      </c>
      <c r="L130">
        <v>2.1667397447919801E-4</v>
      </c>
      <c r="M130" t="s">
        <v>38</v>
      </c>
      <c r="O130" t="s">
        <v>2836</v>
      </c>
      <c r="P130">
        <v>1268.0852</v>
      </c>
      <c r="Q130">
        <v>1249.8040000000001</v>
      </c>
      <c r="R130">
        <v>0.98558361851396104</v>
      </c>
      <c r="S130">
        <v>6.3958877236639997E-3</v>
      </c>
      <c r="T130">
        <v>0</v>
      </c>
      <c r="U130" t="s">
        <v>2826</v>
      </c>
    </row>
    <row r="131" spans="1:21" x14ac:dyDescent="0.3">
      <c r="A131">
        <v>130</v>
      </c>
      <c r="B131" t="s">
        <v>743</v>
      </c>
      <c r="C131" t="s">
        <v>38</v>
      </c>
      <c r="D131">
        <v>6</v>
      </c>
      <c r="E131" t="s">
        <v>38</v>
      </c>
      <c r="F131">
        <v>2</v>
      </c>
      <c r="G131" t="s">
        <v>38</v>
      </c>
      <c r="H131" t="s">
        <v>38</v>
      </c>
      <c r="I131">
        <v>0</v>
      </c>
      <c r="J131" t="s">
        <v>38</v>
      </c>
      <c r="K131">
        <v>0</v>
      </c>
      <c r="L131">
        <v>4.67910925002847E-3</v>
      </c>
      <c r="M131" t="s">
        <v>38</v>
      </c>
      <c r="O131" t="s">
        <v>2836</v>
      </c>
      <c r="P131">
        <v>97.855999999999995</v>
      </c>
      <c r="Q131">
        <v>91.320800000000006</v>
      </c>
      <c r="R131">
        <v>0.93321615434924798</v>
      </c>
      <c r="S131">
        <v>4.91485233886612E-2</v>
      </c>
      <c r="T131">
        <v>2</v>
      </c>
      <c r="U131" t="s">
        <v>2826</v>
      </c>
    </row>
    <row r="132" spans="1:21" x14ac:dyDescent="0.3">
      <c r="A132">
        <v>131</v>
      </c>
      <c r="B132" t="s">
        <v>755</v>
      </c>
      <c r="C132" t="s">
        <v>38</v>
      </c>
      <c r="D132">
        <v>0</v>
      </c>
      <c r="E132" t="s">
        <v>38</v>
      </c>
      <c r="F132">
        <v>0</v>
      </c>
      <c r="G132" t="s">
        <v>38</v>
      </c>
      <c r="H132" t="s">
        <v>38</v>
      </c>
      <c r="I132">
        <v>0</v>
      </c>
      <c r="J132" t="s">
        <v>38</v>
      </c>
      <c r="K132">
        <v>1</v>
      </c>
      <c r="L132">
        <v>4.4216565889636299E-4</v>
      </c>
      <c r="M132" t="s">
        <v>38</v>
      </c>
      <c r="O132" t="s">
        <v>2825</v>
      </c>
      <c r="P132">
        <v>388.81079999999997</v>
      </c>
      <c r="Q132">
        <v>388.31599999999997</v>
      </c>
      <c r="R132">
        <v>0.99872740160509899</v>
      </c>
      <c r="S132">
        <v>1.4736195080967899E-3</v>
      </c>
      <c r="T132">
        <v>0</v>
      </c>
      <c r="U132" t="s">
        <v>2826</v>
      </c>
    </row>
    <row r="133" spans="1:21" x14ac:dyDescent="0.3">
      <c r="A133">
        <v>132</v>
      </c>
      <c r="B133" t="s">
        <v>1694</v>
      </c>
      <c r="C133" t="s">
        <v>38</v>
      </c>
      <c r="D133">
        <v>2</v>
      </c>
      <c r="E133" t="s">
        <v>38</v>
      </c>
      <c r="F133">
        <v>1</v>
      </c>
      <c r="G133" t="s">
        <v>38</v>
      </c>
      <c r="H133" t="s">
        <v>38</v>
      </c>
      <c r="I133">
        <v>0</v>
      </c>
      <c r="J133" t="s">
        <v>38</v>
      </c>
      <c r="K133">
        <v>0</v>
      </c>
      <c r="L133">
        <v>4.7876226117079E-2</v>
      </c>
      <c r="M133" t="s">
        <v>38</v>
      </c>
      <c r="O133" t="s">
        <v>2825</v>
      </c>
      <c r="P133">
        <v>683.27760000000001</v>
      </c>
      <c r="Q133">
        <v>668.57399999999996</v>
      </c>
      <c r="R133">
        <v>0.97848078145690698</v>
      </c>
      <c r="S133">
        <v>2.1532938767652901E-2</v>
      </c>
      <c r="T133">
        <v>1</v>
      </c>
      <c r="U133" t="s">
        <v>2826</v>
      </c>
    </row>
    <row r="134" spans="1:21" x14ac:dyDescent="0.3">
      <c r="A134">
        <v>133</v>
      </c>
      <c r="B134" t="s">
        <v>731</v>
      </c>
      <c r="C134" t="s">
        <v>38</v>
      </c>
      <c r="D134">
        <v>21</v>
      </c>
      <c r="E134" t="s">
        <v>38</v>
      </c>
      <c r="F134">
        <v>9</v>
      </c>
      <c r="G134" t="s">
        <v>38</v>
      </c>
      <c r="H134" t="s">
        <v>38</v>
      </c>
      <c r="I134">
        <v>0.2</v>
      </c>
      <c r="J134" t="s">
        <v>38</v>
      </c>
      <c r="K134">
        <v>0</v>
      </c>
      <c r="L134">
        <v>1.6874531554489602E-2</v>
      </c>
      <c r="M134" t="s">
        <v>38</v>
      </c>
      <c r="O134" t="s">
        <v>2838</v>
      </c>
      <c r="P134">
        <v>1014.1516</v>
      </c>
      <c r="Q134">
        <v>800.52</v>
      </c>
      <c r="R134">
        <v>0.78934944243050098</v>
      </c>
      <c r="S134">
        <v>0.17293331435797499</v>
      </c>
      <c r="T134">
        <v>9</v>
      </c>
      <c r="U134" t="s">
        <v>2826</v>
      </c>
    </row>
    <row r="135" spans="1:21" x14ac:dyDescent="0.3">
      <c r="A135">
        <v>134</v>
      </c>
      <c r="B135" t="s">
        <v>1601</v>
      </c>
      <c r="C135" t="s">
        <v>38</v>
      </c>
      <c r="D135">
        <v>3</v>
      </c>
      <c r="E135" t="s">
        <v>38</v>
      </c>
      <c r="F135">
        <v>1</v>
      </c>
      <c r="G135" t="s">
        <v>38</v>
      </c>
      <c r="H135" t="s">
        <v>38</v>
      </c>
      <c r="I135">
        <v>0</v>
      </c>
      <c r="J135" t="s">
        <v>38</v>
      </c>
      <c r="K135">
        <v>0</v>
      </c>
      <c r="L135">
        <v>6.2214198327672297E-2</v>
      </c>
      <c r="M135" t="s">
        <v>38</v>
      </c>
      <c r="O135" t="s">
        <v>2836</v>
      </c>
      <c r="P135">
        <v>1050.6224</v>
      </c>
      <c r="Q135">
        <v>1008.654</v>
      </c>
      <c r="R135">
        <v>0.96005377383920198</v>
      </c>
      <c r="S135">
        <v>2.21867265223065E-2</v>
      </c>
      <c r="T135">
        <v>1</v>
      </c>
      <c r="U135" t="s">
        <v>2826</v>
      </c>
    </row>
    <row r="136" spans="1:21" x14ac:dyDescent="0.3">
      <c r="A136">
        <v>135</v>
      </c>
      <c r="B136" t="s">
        <v>1643</v>
      </c>
      <c r="C136" t="s">
        <v>38</v>
      </c>
      <c r="D136">
        <v>9</v>
      </c>
      <c r="E136" t="s">
        <v>38</v>
      </c>
      <c r="F136">
        <v>3</v>
      </c>
      <c r="G136" t="s">
        <v>106</v>
      </c>
      <c r="H136" t="s">
        <v>76</v>
      </c>
      <c r="I136">
        <v>0.1</v>
      </c>
      <c r="J136" t="s">
        <v>38</v>
      </c>
      <c r="K136">
        <v>0</v>
      </c>
      <c r="L136">
        <v>4.6841102703846803E-2</v>
      </c>
      <c r="M136" t="s">
        <v>106</v>
      </c>
      <c r="N136" t="s">
        <v>108</v>
      </c>
      <c r="O136" t="s">
        <v>2853</v>
      </c>
      <c r="P136">
        <v>914.23479999999995</v>
      </c>
      <c r="Q136">
        <v>763.51959999999997</v>
      </c>
      <c r="R136">
        <v>0.83514606969675598</v>
      </c>
      <c r="S136">
        <v>6.6264099549214403E-2</v>
      </c>
      <c r="T136">
        <v>3</v>
      </c>
      <c r="U136" t="s">
        <v>2826</v>
      </c>
    </row>
    <row r="137" spans="1:21" x14ac:dyDescent="0.3">
      <c r="A137">
        <v>136</v>
      </c>
      <c r="B137" t="s">
        <v>1333</v>
      </c>
      <c r="C137" t="s">
        <v>38</v>
      </c>
      <c r="D137">
        <v>7</v>
      </c>
      <c r="E137" t="s">
        <v>38</v>
      </c>
      <c r="F137">
        <v>4</v>
      </c>
      <c r="G137" t="s">
        <v>51</v>
      </c>
      <c r="H137" t="s">
        <v>76</v>
      </c>
      <c r="I137">
        <v>0.1</v>
      </c>
      <c r="J137" t="s">
        <v>38</v>
      </c>
      <c r="K137">
        <v>0</v>
      </c>
      <c r="L137">
        <v>0.123548573910526</v>
      </c>
      <c r="M137" t="s">
        <v>51</v>
      </c>
      <c r="N137" t="s">
        <v>108</v>
      </c>
      <c r="O137" t="s">
        <v>2853</v>
      </c>
      <c r="P137">
        <v>1179.4079999999999</v>
      </c>
      <c r="Q137">
        <v>1049.864</v>
      </c>
      <c r="R137">
        <v>0.89016184390813002</v>
      </c>
      <c r="S137">
        <v>7.1760992991227998E-2</v>
      </c>
      <c r="T137">
        <v>4</v>
      </c>
      <c r="U137" t="s">
        <v>2826</v>
      </c>
    </row>
    <row r="138" spans="1:21" x14ac:dyDescent="0.3">
      <c r="A138">
        <v>137</v>
      </c>
      <c r="B138" t="s">
        <v>1126</v>
      </c>
      <c r="C138" t="s">
        <v>38</v>
      </c>
      <c r="D138">
        <v>2</v>
      </c>
      <c r="E138" t="s">
        <v>38</v>
      </c>
      <c r="F138">
        <v>1</v>
      </c>
      <c r="G138" t="s">
        <v>38</v>
      </c>
      <c r="H138" t="s">
        <v>38</v>
      </c>
      <c r="I138">
        <v>0</v>
      </c>
      <c r="J138" t="s">
        <v>38</v>
      </c>
      <c r="K138">
        <v>0</v>
      </c>
      <c r="L138">
        <v>2.4692249210944602E-2</v>
      </c>
      <c r="M138" t="s">
        <v>38</v>
      </c>
      <c r="O138" t="s">
        <v>2836</v>
      </c>
      <c r="P138">
        <v>531.50400000000002</v>
      </c>
      <c r="Q138">
        <v>520.87599999999998</v>
      </c>
      <c r="R138">
        <v>0.98000391342304105</v>
      </c>
      <c r="S138">
        <v>1.86093835759178E-2</v>
      </c>
      <c r="T138">
        <v>1</v>
      </c>
      <c r="U138" t="s">
        <v>2826</v>
      </c>
    </row>
    <row r="139" spans="1:21" x14ac:dyDescent="0.3">
      <c r="A139">
        <v>138</v>
      </c>
      <c r="B139" t="s">
        <v>196</v>
      </c>
      <c r="C139" t="s">
        <v>38</v>
      </c>
      <c r="D139">
        <v>6</v>
      </c>
      <c r="E139" t="s">
        <v>38</v>
      </c>
      <c r="F139">
        <v>3</v>
      </c>
      <c r="G139" t="s">
        <v>106</v>
      </c>
      <c r="H139" t="s">
        <v>51</v>
      </c>
      <c r="I139">
        <v>0.1</v>
      </c>
      <c r="J139" t="s">
        <v>38</v>
      </c>
      <c r="K139">
        <v>0</v>
      </c>
      <c r="L139">
        <v>0.13876216882834599</v>
      </c>
      <c r="M139" t="s">
        <v>106</v>
      </c>
      <c r="N139" t="s">
        <v>108</v>
      </c>
      <c r="O139" t="s">
        <v>2853</v>
      </c>
      <c r="P139">
        <v>358.88279999999997</v>
      </c>
      <c r="Q139">
        <v>333.10520000000002</v>
      </c>
      <c r="R139">
        <v>0.92817265135024596</v>
      </c>
      <c r="S139">
        <v>5.1297095295519499E-2</v>
      </c>
      <c r="T139">
        <v>3</v>
      </c>
      <c r="U139" t="s">
        <v>2826</v>
      </c>
    </row>
    <row r="140" spans="1:21" x14ac:dyDescent="0.3">
      <c r="A140">
        <v>139</v>
      </c>
      <c r="B140" t="s">
        <v>1253</v>
      </c>
      <c r="C140" t="s">
        <v>38</v>
      </c>
      <c r="D140">
        <v>7</v>
      </c>
      <c r="E140" t="s">
        <v>38</v>
      </c>
      <c r="F140">
        <v>3</v>
      </c>
      <c r="G140" t="s">
        <v>38</v>
      </c>
      <c r="H140" t="s">
        <v>38</v>
      </c>
      <c r="I140">
        <v>0.1</v>
      </c>
      <c r="J140" t="s">
        <v>38</v>
      </c>
      <c r="K140">
        <v>0</v>
      </c>
      <c r="L140">
        <v>2.1840405456217699E-2</v>
      </c>
      <c r="M140" t="s">
        <v>38</v>
      </c>
      <c r="O140" t="s">
        <v>2836</v>
      </c>
      <c r="P140">
        <v>993.57759999999996</v>
      </c>
      <c r="Q140">
        <v>906.35680000000002</v>
      </c>
      <c r="R140">
        <v>0.91221541226372305</v>
      </c>
      <c r="S140">
        <v>6.8567967713043299E-2</v>
      </c>
      <c r="T140">
        <v>3</v>
      </c>
      <c r="U140" t="s">
        <v>2826</v>
      </c>
    </row>
    <row r="141" spans="1:21" x14ac:dyDescent="0.3">
      <c r="A141">
        <v>140</v>
      </c>
      <c r="B141" t="s">
        <v>1749</v>
      </c>
      <c r="C141" t="s">
        <v>38</v>
      </c>
      <c r="D141">
        <v>2</v>
      </c>
      <c r="E141" t="s">
        <v>38</v>
      </c>
      <c r="F141">
        <v>1</v>
      </c>
      <c r="G141" t="s">
        <v>38</v>
      </c>
      <c r="H141" t="s">
        <v>38</v>
      </c>
      <c r="I141">
        <v>0</v>
      </c>
      <c r="J141" t="s">
        <v>38</v>
      </c>
      <c r="K141">
        <v>0</v>
      </c>
      <c r="L141">
        <v>9.8727704140075298E-2</v>
      </c>
      <c r="M141" t="s">
        <v>38</v>
      </c>
      <c r="O141" t="s">
        <v>2836</v>
      </c>
      <c r="P141">
        <v>1215.3227999999999</v>
      </c>
      <c r="Q141">
        <v>1173.3119999999999</v>
      </c>
      <c r="R141">
        <v>0.96543239376402701</v>
      </c>
      <c r="S141">
        <v>2.1103003396628101E-2</v>
      </c>
      <c r="T141">
        <v>1</v>
      </c>
      <c r="U141" t="s">
        <v>2826</v>
      </c>
    </row>
    <row r="142" spans="1:21" x14ac:dyDescent="0.3">
      <c r="A142">
        <v>141</v>
      </c>
      <c r="B142" t="s">
        <v>761</v>
      </c>
      <c r="C142" t="s">
        <v>38</v>
      </c>
      <c r="D142">
        <v>5</v>
      </c>
      <c r="E142" t="s">
        <v>38</v>
      </c>
      <c r="F142">
        <v>2</v>
      </c>
      <c r="G142" t="s">
        <v>106</v>
      </c>
      <c r="H142" t="s">
        <v>51</v>
      </c>
      <c r="I142">
        <v>0</v>
      </c>
      <c r="J142" t="s">
        <v>38</v>
      </c>
      <c r="K142">
        <v>0</v>
      </c>
      <c r="L142">
        <v>7.6545425540400405E-2</v>
      </c>
      <c r="M142" t="s">
        <v>106</v>
      </c>
      <c r="N142" t="s">
        <v>108</v>
      </c>
      <c r="O142" t="s">
        <v>2853</v>
      </c>
      <c r="P142">
        <v>107.4468</v>
      </c>
      <c r="Q142">
        <v>100.29600000000001</v>
      </c>
      <c r="R142">
        <v>0.933447994728554</v>
      </c>
      <c r="S142">
        <v>3.9209257815269002E-2</v>
      </c>
      <c r="T142">
        <v>2</v>
      </c>
      <c r="U142" t="s">
        <v>2826</v>
      </c>
    </row>
    <row r="143" spans="1:21" x14ac:dyDescent="0.3">
      <c r="A143">
        <v>142</v>
      </c>
      <c r="B143" t="s">
        <v>1259</v>
      </c>
      <c r="C143" t="s">
        <v>38</v>
      </c>
      <c r="D143">
        <v>13</v>
      </c>
      <c r="E143" t="s">
        <v>38</v>
      </c>
      <c r="F143">
        <v>4</v>
      </c>
      <c r="G143" t="s">
        <v>38</v>
      </c>
      <c r="H143" t="s">
        <v>38</v>
      </c>
      <c r="I143">
        <v>0.1</v>
      </c>
      <c r="J143" t="s">
        <v>38</v>
      </c>
      <c r="K143">
        <v>0</v>
      </c>
      <c r="L143">
        <v>6.4775826405089401E-2</v>
      </c>
      <c r="M143" t="s">
        <v>38</v>
      </c>
      <c r="O143" t="s">
        <v>2833</v>
      </c>
      <c r="P143">
        <v>878.80520000000001</v>
      </c>
      <c r="Q143">
        <v>732.31640000000004</v>
      </c>
      <c r="R143">
        <v>0.83330913381031402</v>
      </c>
      <c r="S143">
        <v>8.8077489213796004E-2</v>
      </c>
      <c r="T143">
        <v>4</v>
      </c>
      <c r="U143" t="s">
        <v>2826</v>
      </c>
    </row>
    <row r="144" spans="1:21" x14ac:dyDescent="0.3">
      <c r="A144">
        <v>143</v>
      </c>
      <c r="B144" t="s">
        <v>945</v>
      </c>
      <c r="C144" t="s">
        <v>38</v>
      </c>
      <c r="D144">
        <v>23</v>
      </c>
      <c r="E144" t="s">
        <v>38</v>
      </c>
      <c r="F144">
        <v>8</v>
      </c>
      <c r="G144" t="s">
        <v>38</v>
      </c>
      <c r="H144" t="s">
        <v>38</v>
      </c>
      <c r="I144">
        <v>0.2</v>
      </c>
      <c r="J144" t="s">
        <v>38</v>
      </c>
      <c r="K144">
        <v>0</v>
      </c>
      <c r="L144">
        <v>0.180514896209862</v>
      </c>
      <c r="M144" t="s">
        <v>38</v>
      </c>
      <c r="O144" t="s">
        <v>2833</v>
      </c>
      <c r="P144">
        <v>1571.0644</v>
      </c>
      <c r="Q144">
        <v>1047.7295999999999</v>
      </c>
      <c r="R144">
        <v>0.66689156727120802</v>
      </c>
      <c r="S144">
        <v>0.153444445251182</v>
      </c>
      <c r="T144">
        <v>8</v>
      </c>
      <c r="U144" t="s">
        <v>2826</v>
      </c>
    </row>
    <row r="145" spans="1:21" x14ac:dyDescent="0.3">
      <c r="A145">
        <v>144</v>
      </c>
      <c r="B145" t="s">
        <v>2041</v>
      </c>
      <c r="C145" t="s">
        <v>38</v>
      </c>
      <c r="D145">
        <v>27</v>
      </c>
      <c r="E145" t="s">
        <v>38</v>
      </c>
      <c r="F145">
        <v>14</v>
      </c>
      <c r="G145" t="s">
        <v>38</v>
      </c>
      <c r="H145" t="s">
        <v>38</v>
      </c>
      <c r="I145">
        <v>0.3</v>
      </c>
      <c r="J145" t="s">
        <v>38</v>
      </c>
      <c r="K145">
        <v>0</v>
      </c>
      <c r="L145">
        <v>1.6250327902765899E-2</v>
      </c>
      <c r="M145" t="s">
        <v>38</v>
      </c>
      <c r="O145" t="s">
        <v>2836</v>
      </c>
      <c r="P145">
        <v>1343.1468</v>
      </c>
      <c r="Q145">
        <v>937.77800000000002</v>
      </c>
      <c r="R145">
        <v>0.698194717062945</v>
      </c>
      <c r="S145">
        <v>0.28220426567353901</v>
      </c>
      <c r="T145">
        <v>14</v>
      </c>
      <c r="U145" t="s">
        <v>2826</v>
      </c>
    </row>
    <row r="146" spans="1:21" x14ac:dyDescent="0.3">
      <c r="A146">
        <v>145</v>
      </c>
      <c r="B146" t="s">
        <v>87</v>
      </c>
      <c r="C146" t="s">
        <v>38</v>
      </c>
      <c r="D146">
        <v>32</v>
      </c>
      <c r="E146" t="s">
        <v>38</v>
      </c>
      <c r="F146">
        <v>9</v>
      </c>
      <c r="G146" t="s">
        <v>38</v>
      </c>
      <c r="H146" t="s">
        <v>38</v>
      </c>
      <c r="I146">
        <v>0.2</v>
      </c>
      <c r="J146" t="s">
        <v>38</v>
      </c>
      <c r="K146">
        <v>0</v>
      </c>
      <c r="L146">
        <v>0.19344814441635799</v>
      </c>
      <c r="M146" t="s">
        <v>38</v>
      </c>
      <c r="O146" t="s">
        <v>2825</v>
      </c>
      <c r="P146">
        <v>2298.4987999999998</v>
      </c>
      <c r="Q146">
        <v>1567.7116000000001</v>
      </c>
      <c r="R146">
        <v>0.68205891601944701</v>
      </c>
      <c r="S146">
        <v>0.17041730483321099</v>
      </c>
      <c r="T146">
        <v>9</v>
      </c>
      <c r="U146" t="s">
        <v>2826</v>
      </c>
    </row>
    <row r="147" spans="1:21" x14ac:dyDescent="0.3">
      <c r="A147">
        <v>146</v>
      </c>
      <c r="B147" t="s">
        <v>1982</v>
      </c>
      <c r="C147" t="s">
        <v>38</v>
      </c>
      <c r="D147">
        <v>0</v>
      </c>
      <c r="E147" t="s">
        <v>38</v>
      </c>
      <c r="F147">
        <v>0</v>
      </c>
      <c r="G147" t="s">
        <v>38</v>
      </c>
      <c r="H147" t="s">
        <v>38</v>
      </c>
      <c r="I147">
        <v>0</v>
      </c>
      <c r="J147" t="s">
        <v>38</v>
      </c>
      <c r="K147">
        <v>3</v>
      </c>
      <c r="L147">
        <v>2.1947007723585898E-3</v>
      </c>
      <c r="M147" t="s">
        <v>38</v>
      </c>
      <c r="O147" t="s">
        <v>2829</v>
      </c>
      <c r="P147">
        <v>318.33960000000002</v>
      </c>
      <c r="Q147">
        <v>318.03879999999998</v>
      </c>
      <c r="R147">
        <v>0.99905509713525997</v>
      </c>
      <c r="S147">
        <v>2.0502904028183999E-3</v>
      </c>
      <c r="T147">
        <v>0</v>
      </c>
      <c r="U147" t="s">
        <v>2826</v>
      </c>
    </row>
    <row r="148" spans="1:21" x14ac:dyDescent="0.3">
      <c r="A148">
        <v>147</v>
      </c>
      <c r="B148" t="s">
        <v>173</v>
      </c>
      <c r="C148" t="s">
        <v>38</v>
      </c>
      <c r="D148">
        <v>0</v>
      </c>
      <c r="E148" t="s">
        <v>38</v>
      </c>
      <c r="F148">
        <v>0</v>
      </c>
      <c r="G148" t="s">
        <v>38</v>
      </c>
      <c r="H148" t="s">
        <v>38</v>
      </c>
      <c r="I148">
        <v>0</v>
      </c>
      <c r="J148" t="s">
        <v>38</v>
      </c>
      <c r="K148">
        <v>1</v>
      </c>
      <c r="L148">
        <v>2.8953481371997501E-3</v>
      </c>
      <c r="M148" t="s">
        <v>38</v>
      </c>
      <c r="O148" t="s">
        <v>2829</v>
      </c>
      <c r="P148">
        <v>388.32560000000001</v>
      </c>
      <c r="Q148">
        <v>385.3768</v>
      </c>
      <c r="R148">
        <v>0.99240637238441098</v>
      </c>
      <c r="S148">
        <v>3.6965455538816201E-3</v>
      </c>
      <c r="T148">
        <v>0</v>
      </c>
      <c r="U148" t="s">
        <v>2826</v>
      </c>
    </row>
    <row r="149" spans="1:21" x14ac:dyDescent="0.3">
      <c r="A149">
        <v>148</v>
      </c>
      <c r="B149" t="s">
        <v>1953</v>
      </c>
      <c r="C149" t="s">
        <v>38</v>
      </c>
      <c r="D149">
        <v>1</v>
      </c>
      <c r="E149" t="s">
        <v>38</v>
      </c>
      <c r="F149">
        <v>0</v>
      </c>
      <c r="G149" t="s">
        <v>38</v>
      </c>
      <c r="H149" t="s">
        <v>38</v>
      </c>
      <c r="I149">
        <v>0</v>
      </c>
      <c r="J149" t="s">
        <v>38</v>
      </c>
      <c r="K149">
        <v>0</v>
      </c>
      <c r="L149">
        <v>5.2333744628345303E-4</v>
      </c>
      <c r="M149" t="s">
        <v>38</v>
      </c>
      <c r="O149" t="s">
        <v>2836</v>
      </c>
      <c r="P149">
        <v>852.19240000000002</v>
      </c>
      <c r="Q149">
        <v>846.10799999999995</v>
      </c>
      <c r="R149">
        <v>0.99286029774496898</v>
      </c>
      <c r="S149">
        <v>6.4647902606792904E-3</v>
      </c>
      <c r="T149">
        <v>0</v>
      </c>
      <c r="U149" t="s">
        <v>2826</v>
      </c>
    </row>
    <row r="150" spans="1:21" x14ac:dyDescent="0.3">
      <c r="A150">
        <v>149</v>
      </c>
      <c r="B150" t="s">
        <v>1192</v>
      </c>
      <c r="C150" t="s">
        <v>38</v>
      </c>
      <c r="D150">
        <v>0</v>
      </c>
      <c r="E150" t="s">
        <v>38</v>
      </c>
      <c r="F150">
        <v>0</v>
      </c>
      <c r="G150" t="s">
        <v>38</v>
      </c>
      <c r="H150" t="s">
        <v>38</v>
      </c>
      <c r="I150">
        <v>0</v>
      </c>
      <c r="J150" t="s">
        <v>38</v>
      </c>
      <c r="K150">
        <v>0</v>
      </c>
      <c r="L150">
        <v>3.61947233984676E-3</v>
      </c>
      <c r="M150" t="s">
        <v>38</v>
      </c>
      <c r="O150" t="s">
        <v>2836</v>
      </c>
      <c r="P150">
        <v>1084.7883999999999</v>
      </c>
      <c r="Q150">
        <v>1082.2572</v>
      </c>
      <c r="R150">
        <v>0.99766664171556396</v>
      </c>
      <c r="S150">
        <v>3.71235364236108E-3</v>
      </c>
      <c r="T150">
        <v>0</v>
      </c>
      <c r="U150" t="s">
        <v>2826</v>
      </c>
    </row>
    <row r="151" spans="1:21" x14ac:dyDescent="0.3">
      <c r="A151">
        <v>150</v>
      </c>
      <c r="B151" t="s">
        <v>2388</v>
      </c>
      <c r="C151" t="s">
        <v>38</v>
      </c>
      <c r="D151">
        <v>0</v>
      </c>
      <c r="E151" t="s">
        <v>38</v>
      </c>
      <c r="F151">
        <v>0</v>
      </c>
      <c r="G151" t="s">
        <v>38</v>
      </c>
      <c r="H151" t="s">
        <v>38</v>
      </c>
      <c r="I151">
        <v>0</v>
      </c>
      <c r="J151" t="s">
        <v>38</v>
      </c>
      <c r="K151">
        <v>0</v>
      </c>
      <c r="L151">
        <v>2.53365616496809E-3</v>
      </c>
      <c r="M151" t="s">
        <v>38</v>
      </c>
      <c r="O151" t="s">
        <v>2829</v>
      </c>
      <c r="P151">
        <v>332.5684</v>
      </c>
      <c r="Q151">
        <v>330.90519999999998</v>
      </c>
      <c r="R151">
        <v>0.99499892352971597</v>
      </c>
      <c r="S151">
        <v>3.6259816184996099E-3</v>
      </c>
      <c r="T151">
        <v>0</v>
      </c>
      <c r="U151" t="s">
        <v>2826</v>
      </c>
    </row>
    <row r="152" spans="1:21" x14ac:dyDescent="0.3">
      <c r="A152">
        <v>151</v>
      </c>
      <c r="B152" t="s">
        <v>1048</v>
      </c>
      <c r="C152" t="s">
        <v>38</v>
      </c>
      <c r="D152">
        <v>5</v>
      </c>
      <c r="E152" t="s">
        <v>38</v>
      </c>
      <c r="F152">
        <v>2</v>
      </c>
      <c r="G152" t="s">
        <v>38</v>
      </c>
      <c r="H152" t="s">
        <v>38</v>
      </c>
      <c r="I152">
        <v>0</v>
      </c>
      <c r="J152" t="s">
        <v>38</v>
      </c>
      <c r="K152">
        <v>0</v>
      </c>
      <c r="L152">
        <v>1.91999554137465E-2</v>
      </c>
      <c r="M152" t="s">
        <v>38</v>
      </c>
      <c r="O152" t="s">
        <v>2829</v>
      </c>
      <c r="P152">
        <v>304.18439999999998</v>
      </c>
      <c r="Q152">
        <v>287.084</v>
      </c>
      <c r="R152">
        <v>0.94378278438999497</v>
      </c>
      <c r="S152">
        <v>3.2271314494366599E-2</v>
      </c>
      <c r="T152">
        <v>2</v>
      </c>
      <c r="U152" t="s">
        <v>2826</v>
      </c>
    </row>
    <row r="153" spans="1:21" x14ac:dyDescent="0.3">
      <c r="A153">
        <v>152</v>
      </c>
      <c r="B153" t="s">
        <v>602</v>
      </c>
      <c r="C153" t="s">
        <v>38</v>
      </c>
      <c r="D153">
        <v>10</v>
      </c>
      <c r="E153" t="s">
        <v>38</v>
      </c>
      <c r="F153">
        <v>3</v>
      </c>
      <c r="G153" t="s">
        <v>38</v>
      </c>
      <c r="H153" t="s">
        <v>38</v>
      </c>
      <c r="I153">
        <v>0.1</v>
      </c>
      <c r="J153" t="s">
        <v>38</v>
      </c>
      <c r="K153">
        <v>0</v>
      </c>
      <c r="L153">
        <v>1.0149094451718301E-2</v>
      </c>
      <c r="M153" t="s">
        <v>38</v>
      </c>
      <c r="O153" t="s">
        <v>2825</v>
      </c>
      <c r="P153">
        <v>2402.9412000000002</v>
      </c>
      <c r="Q153">
        <v>2155.9756000000002</v>
      </c>
      <c r="R153">
        <v>0.897223619121433</v>
      </c>
      <c r="S153">
        <v>5.87123922110903E-2</v>
      </c>
      <c r="T153">
        <v>3</v>
      </c>
      <c r="U153" t="s">
        <v>2826</v>
      </c>
    </row>
    <row r="154" spans="1:21" x14ac:dyDescent="0.3">
      <c r="A154">
        <v>153</v>
      </c>
      <c r="B154" t="s">
        <v>2394</v>
      </c>
      <c r="C154" t="s">
        <v>38</v>
      </c>
      <c r="D154">
        <v>9</v>
      </c>
      <c r="E154" t="s">
        <v>38</v>
      </c>
      <c r="F154">
        <v>2</v>
      </c>
      <c r="G154" t="s">
        <v>38</v>
      </c>
      <c r="H154" t="s">
        <v>38</v>
      </c>
      <c r="I154">
        <v>0</v>
      </c>
      <c r="J154" t="s">
        <v>38</v>
      </c>
      <c r="K154">
        <v>0</v>
      </c>
      <c r="L154">
        <v>1.7579476995504599E-2</v>
      </c>
      <c r="M154" t="s">
        <v>38</v>
      </c>
      <c r="O154" t="s">
        <v>2825</v>
      </c>
      <c r="P154">
        <v>4052.18</v>
      </c>
      <c r="Q154">
        <v>3696.5036</v>
      </c>
      <c r="R154">
        <v>0.91222591296536704</v>
      </c>
      <c r="S154">
        <v>4.6238102939345403E-2</v>
      </c>
      <c r="T154">
        <v>2</v>
      </c>
      <c r="U154" t="s">
        <v>2826</v>
      </c>
    </row>
    <row r="155" spans="1:21" x14ac:dyDescent="0.3">
      <c r="A155">
        <v>154</v>
      </c>
      <c r="B155" t="s">
        <v>2399</v>
      </c>
      <c r="C155" t="s">
        <v>76</v>
      </c>
      <c r="D155">
        <v>65</v>
      </c>
      <c r="E155" t="s">
        <v>76</v>
      </c>
      <c r="F155">
        <v>31</v>
      </c>
      <c r="G155" t="s">
        <v>106</v>
      </c>
      <c r="H155" t="s">
        <v>51</v>
      </c>
      <c r="I155">
        <v>0.6</v>
      </c>
      <c r="J155" t="s">
        <v>38</v>
      </c>
      <c r="K155">
        <v>31</v>
      </c>
      <c r="L155">
        <v>0.14065181666023699</v>
      </c>
      <c r="M155" t="s">
        <v>106</v>
      </c>
      <c r="N155" t="s">
        <v>504</v>
      </c>
      <c r="O155" t="s">
        <v>2863</v>
      </c>
      <c r="P155">
        <v>334.19639999999998</v>
      </c>
      <c r="Q155">
        <v>131.68119999999999</v>
      </c>
      <c r="R155">
        <v>0.39402339462663299</v>
      </c>
      <c r="S155">
        <v>0.61709086410242697</v>
      </c>
      <c r="T155">
        <v>31</v>
      </c>
      <c r="U155" t="s">
        <v>2826</v>
      </c>
    </row>
    <row r="156" spans="1:21" x14ac:dyDescent="0.3">
      <c r="A156">
        <v>155</v>
      </c>
      <c r="B156" t="s">
        <v>360</v>
      </c>
      <c r="C156" t="s">
        <v>38</v>
      </c>
      <c r="D156">
        <v>3</v>
      </c>
      <c r="E156" t="s">
        <v>38</v>
      </c>
      <c r="F156">
        <v>2</v>
      </c>
      <c r="G156" t="s">
        <v>38</v>
      </c>
      <c r="H156" t="s">
        <v>38</v>
      </c>
      <c r="I156">
        <v>0</v>
      </c>
      <c r="J156" t="s">
        <v>38</v>
      </c>
      <c r="K156">
        <v>0</v>
      </c>
      <c r="L156">
        <v>2.0880260653833398E-2</v>
      </c>
      <c r="M156" t="s">
        <v>38</v>
      </c>
      <c r="O156" t="s">
        <v>2836</v>
      </c>
      <c r="P156">
        <v>498.23840000000001</v>
      </c>
      <c r="Q156">
        <v>469.34280000000001</v>
      </c>
      <c r="R156">
        <v>0.94200447014923006</v>
      </c>
      <c r="S156">
        <v>3.1998737237409397E-2</v>
      </c>
      <c r="T156">
        <v>2</v>
      </c>
      <c r="U156" t="s">
        <v>2826</v>
      </c>
    </row>
    <row r="157" spans="1:21" x14ac:dyDescent="0.3">
      <c r="A157">
        <v>156</v>
      </c>
      <c r="B157" t="s">
        <v>824</v>
      </c>
      <c r="C157" t="s">
        <v>38</v>
      </c>
      <c r="D157">
        <v>0</v>
      </c>
      <c r="E157" t="s">
        <v>38</v>
      </c>
      <c r="F157">
        <v>0</v>
      </c>
      <c r="G157" t="s">
        <v>38</v>
      </c>
      <c r="H157" t="s">
        <v>38</v>
      </c>
      <c r="I157">
        <v>0</v>
      </c>
      <c r="J157" t="s">
        <v>38</v>
      </c>
      <c r="K157">
        <v>0</v>
      </c>
      <c r="L157" s="18">
        <v>2.9348672906372399E-5</v>
      </c>
      <c r="M157" t="s">
        <v>38</v>
      </c>
      <c r="O157" t="s">
        <v>2836</v>
      </c>
      <c r="P157">
        <v>37.525199999999998</v>
      </c>
      <c r="Q157">
        <v>37.480400000000003</v>
      </c>
      <c r="R157">
        <v>0.99880613561020304</v>
      </c>
      <c r="S157">
        <v>3.73082621811435E-3</v>
      </c>
      <c r="T157">
        <v>0</v>
      </c>
      <c r="U157" t="s">
        <v>2826</v>
      </c>
    </row>
    <row r="158" spans="1:21" x14ac:dyDescent="0.3">
      <c r="A158">
        <v>157</v>
      </c>
      <c r="B158" t="s">
        <v>900</v>
      </c>
      <c r="C158" t="s">
        <v>38</v>
      </c>
      <c r="D158">
        <v>0</v>
      </c>
      <c r="E158" t="s">
        <v>38</v>
      </c>
      <c r="F158">
        <v>0</v>
      </c>
      <c r="G158" t="s">
        <v>38</v>
      </c>
      <c r="H158" t="s">
        <v>38</v>
      </c>
      <c r="I158">
        <v>0</v>
      </c>
      <c r="J158" t="s">
        <v>38</v>
      </c>
      <c r="K158">
        <v>0</v>
      </c>
      <c r="L158">
        <v>1.24040165386887E-4</v>
      </c>
      <c r="M158" t="s">
        <v>38</v>
      </c>
      <c r="O158" t="s">
        <v>2833</v>
      </c>
      <c r="P158">
        <v>50.834800000000001</v>
      </c>
      <c r="Q158">
        <v>50.79</v>
      </c>
      <c r="R158">
        <v>0.99911871395186003</v>
      </c>
      <c r="S158">
        <v>2.75401890043842E-3</v>
      </c>
      <c r="T158">
        <v>0</v>
      </c>
      <c r="U158" t="s">
        <v>2826</v>
      </c>
    </row>
    <row r="159" spans="1:21" x14ac:dyDescent="0.3">
      <c r="A159">
        <v>158</v>
      </c>
      <c r="B159" t="s">
        <v>2486</v>
      </c>
      <c r="C159" t="s">
        <v>38</v>
      </c>
      <c r="D159">
        <v>35</v>
      </c>
      <c r="E159" t="s">
        <v>38</v>
      </c>
      <c r="F159">
        <v>22</v>
      </c>
      <c r="G159" t="s">
        <v>106</v>
      </c>
      <c r="H159" t="s">
        <v>51</v>
      </c>
      <c r="I159">
        <v>0.4</v>
      </c>
      <c r="J159" t="s">
        <v>38</v>
      </c>
      <c r="K159">
        <v>0</v>
      </c>
      <c r="L159">
        <v>5.4799036331738497E-3</v>
      </c>
      <c r="M159" t="s">
        <v>106</v>
      </c>
      <c r="N159" t="s">
        <v>53</v>
      </c>
      <c r="O159" t="s">
        <v>2846</v>
      </c>
      <c r="P159">
        <v>547.94880000000001</v>
      </c>
      <c r="Q159">
        <v>354.31279999999998</v>
      </c>
      <c r="R159">
        <v>0.64661661819498495</v>
      </c>
      <c r="S159">
        <v>0.44287459437252202</v>
      </c>
      <c r="T159">
        <v>22</v>
      </c>
      <c r="U159" t="s">
        <v>2826</v>
      </c>
    </row>
    <row r="160" spans="1:21" x14ac:dyDescent="0.3">
      <c r="A160">
        <v>159</v>
      </c>
      <c r="B160" t="s">
        <v>1899</v>
      </c>
      <c r="C160" t="s">
        <v>38</v>
      </c>
      <c r="D160">
        <v>10</v>
      </c>
      <c r="E160" t="s">
        <v>38</v>
      </c>
      <c r="F160">
        <v>4</v>
      </c>
      <c r="G160" t="s">
        <v>38</v>
      </c>
      <c r="H160" t="s">
        <v>38</v>
      </c>
      <c r="I160">
        <v>0.1</v>
      </c>
      <c r="J160" t="s">
        <v>38</v>
      </c>
      <c r="K160">
        <v>0</v>
      </c>
      <c r="L160">
        <v>7.4395855029213203E-3</v>
      </c>
      <c r="M160" t="s">
        <v>38</v>
      </c>
      <c r="O160" t="s">
        <v>2836</v>
      </c>
      <c r="P160">
        <v>2523.64</v>
      </c>
      <c r="Q160">
        <v>2232.7588000000001</v>
      </c>
      <c r="R160">
        <v>0.88473744274143695</v>
      </c>
      <c r="S160">
        <v>7.0583922325214404E-2</v>
      </c>
      <c r="T160">
        <v>4</v>
      </c>
      <c r="U160" t="s">
        <v>2826</v>
      </c>
    </row>
    <row r="161" spans="1:21" x14ac:dyDescent="0.3">
      <c r="A161">
        <v>160</v>
      </c>
      <c r="B161" t="s">
        <v>1711</v>
      </c>
      <c r="C161" t="s">
        <v>38</v>
      </c>
      <c r="D161">
        <v>5</v>
      </c>
      <c r="E161" t="s">
        <v>38</v>
      </c>
      <c r="F161">
        <v>2</v>
      </c>
      <c r="G161" t="s">
        <v>38</v>
      </c>
      <c r="H161" t="s">
        <v>38</v>
      </c>
      <c r="I161">
        <v>0</v>
      </c>
      <c r="J161" t="s">
        <v>38</v>
      </c>
      <c r="K161">
        <v>0</v>
      </c>
      <c r="L161">
        <v>9.5860588420653599E-3</v>
      </c>
      <c r="M161" t="s">
        <v>38</v>
      </c>
      <c r="O161" t="s">
        <v>2836</v>
      </c>
      <c r="P161">
        <v>1135.9860000000001</v>
      </c>
      <c r="Q161">
        <v>1051.0576000000001</v>
      </c>
      <c r="R161">
        <v>0.92523816314637697</v>
      </c>
      <c r="S161">
        <v>4.3603909371978E-2</v>
      </c>
      <c r="T161">
        <v>2</v>
      </c>
      <c r="U161" t="s">
        <v>2826</v>
      </c>
    </row>
    <row r="162" spans="1:21" x14ac:dyDescent="0.3">
      <c r="A162">
        <v>161</v>
      </c>
      <c r="B162" t="s">
        <v>1186</v>
      </c>
      <c r="C162" t="s">
        <v>38</v>
      </c>
      <c r="D162">
        <v>10</v>
      </c>
      <c r="E162" t="s">
        <v>38</v>
      </c>
      <c r="F162">
        <v>5</v>
      </c>
      <c r="G162" t="s">
        <v>106</v>
      </c>
      <c r="H162" t="s">
        <v>51</v>
      </c>
      <c r="I162">
        <v>0.1</v>
      </c>
      <c r="J162" t="s">
        <v>38</v>
      </c>
      <c r="K162">
        <v>0</v>
      </c>
      <c r="L162">
        <v>2.8003862899440499E-2</v>
      </c>
      <c r="M162" t="s">
        <v>106</v>
      </c>
      <c r="N162" t="s">
        <v>108</v>
      </c>
      <c r="O162" t="s">
        <v>2853</v>
      </c>
      <c r="P162">
        <v>422.87639999999999</v>
      </c>
      <c r="Q162">
        <v>370.70600000000002</v>
      </c>
      <c r="R162">
        <v>0.87662967240545897</v>
      </c>
      <c r="S162">
        <v>0.102175837159518</v>
      </c>
      <c r="T162">
        <v>5</v>
      </c>
      <c r="U162" t="s">
        <v>2826</v>
      </c>
    </row>
    <row r="163" spans="1:21" x14ac:dyDescent="0.3">
      <c r="A163">
        <v>162</v>
      </c>
      <c r="B163" t="s">
        <v>1204</v>
      </c>
      <c r="C163" t="s">
        <v>38</v>
      </c>
      <c r="D163">
        <v>5</v>
      </c>
      <c r="E163" t="s">
        <v>38</v>
      </c>
      <c r="F163">
        <v>2</v>
      </c>
      <c r="G163" t="s">
        <v>38</v>
      </c>
      <c r="H163" t="s">
        <v>38</v>
      </c>
      <c r="I163">
        <v>0</v>
      </c>
      <c r="J163" t="s">
        <v>38</v>
      </c>
      <c r="K163">
        <v>0</v>
      </c>
      <c r="L163">
        <v>7.3557707336475899E-3</v>
      </c>
      <c r="M163" t="s">
        <v>38</v>
      </c>
      <c r="O163" t="s">
        <v>2836</v>
      </c>
      <c r="P163">
        <v>394.07119999999998</v>
      </c>
      <c r="Q163">
        <v>371.08280000000002</v>
      </c>
      <c r="R163">
        <v>0.94166434898059004</v>
      </c>
      <c r="S163">
        <v>3.9334701388881302E-2</v>
      </c>
      <c r="T163">
        <v>2</v>
      </c>
      <c r="U163" t="s">
        <v>2826</v>
      </c>
    </row>
    <row r="164" spans="1:21" x14ac:dyDescent="0.3">
      <c r="A164">
        <v>163</v>
      </c>
      <c r="B164" t="s">
        <v>277</v>
      </c>
      <c r="C164" t="s">
        <v>38</v>
      </c>
      <c r="D164">
        <v>1</v>
      </c>
      <c r="E164" t="s">
        <v>38</v>
      </c>
      <c r="F164">
        <v>1</v>
      </c>
      <c r="G164" t="s">
        <v>38</v>
      </c>
      <c r="H164" t="s">
        <v>38</v>
      </c>
      <c r="I164">
        <v>0</v>
      </c>
      <c r="J164" t="s">
        <v>38</v>
      </c>
      <c r="K164">
        <v>0</v>
      </c>
      <c r="L164">
        <v>1.3422391535142301E-2</v>
      </c>
      <c r="M164" t="s">
        <v>38</v>
      </c>
      <c r="O164" t="s">
        <v>2836</v>
      </c>
      <c r="P164">
        <v>319.74639999999999</v>
      </c>
      <c r="Q164">
        <v>315.73360000000002</v>
      </c>
      <c r="R164">
        <v>0.98745005416792797</v>
      </c>
      <c r="S164">
        <v>1.2386037414429301E-2</v>
      </c>
      <c r="T164">
        <v>1</v>
      </c>
      <c r="U164" t="s">
        <v>2826</v>
      </c>
    </row>
    <row r="165" spans="1:21" x14ac:dyDescent="0.3">
      <c r="A165">
        <v>164</v>
      </c>
      <c r="B165" t="s">
        <v>417</v>
      </c>
      <c r="C165" t="s">
        <v>38</v>
      </c>
      <c r="D165">
        <v>6</v>
      </c>
      <c r="E165" t="s">
        <v>38</v>
      </c>
      <c r="F165">
        <v>2</v>
      </c>
      <c r="G165" t="s">
        <v>106</v>
      </c>
      <c r="H165" t="s">
        <v>51</v>
      </c>
      <c r="I165">
        <v>0</v>
      </c>
      <c r="J165" t="s">
        <v>38</v>
      </c>
      <c r="K165">
        <v>1</v>
      </c>
      <c r="L165">
        <v>4.05488104842677E-2</v>
      </c>
      <c r="M165" t="s">
        <v>106</v>
      </c>
      <c r="N165" t="s">
        <v>108</v>
      </c>
      <c r="O165" t="s">
        <v>2864</v>
      </c>
      <c r="P165">
        <v>219.44640000000001</v>
      </c>
      <c r="Q165">
        <v>203.27600000000001</v>
      </c>
      <c r="R165">
        <v>0.92631275792175205</v>
      </c>
      <c r="S165">
        <v>4.9766272796631802E-2</v>
      </c>
      <c r="T165">
        <v>2</v>
      </c>
      <c r="U165" t="s">
        <v>2826</v>
      </c>
    </row>
    <row r="166" spans="1:21" x14ac:dyDescent="0.3">
      <c r="A166">
        <v>165</v>
      </c>
      <c r="B166" t="s">
        <v>1247</v>
      </c>
      <c r="C166" t="s">
        <v>38</v>
      </c>
      <c r="D166">
        <v>2</v>
      </c>
      <c r="E166" t="s">
        <v>38</v>
      </c>
      <c r="F166">
        <v>1</v>
      </c>
      <c r="G166" t="s">
        <v>38</v>
      </c>
      <c r="H166" t="s">
        <v>38</v>
      </c>
      <c r="I166">
        <v>0</v>
      </c>
      <c r="J166" t="s">
        <v>38</v>
      </c>
      <c r="K166">
        <v>0</v>
      </c>
      <c r="L166">
        <v>8.0196269484936605E-3</v>
      </c>
      <c r="M166" t="s">
        <v>38</v>
      </c>
      <c r="O166" t="s">
        <v>2833</v>
      </c>
      <c r="P166">
        <v>404.95440000000002</v>
      </c>
      <c r="Q166">
        <v>395.74160000000001</v>
      </c>
      <c r="R166">
        <v>0.97724978417323005</v>
      </c>
      <c r="S166">
        <v>1.55855097941994E-2</v>
      </c>
      <c r="T166">
        <v>1</v>
      </c>
      <c r="U166" t="s">
        <v>2826</v>
      </c>
    </row>
    <row r="167" spans="1:21" x14ac:dyDescent="0.3">
      <c r="A167">
        <v>166</v>
      </c>
      <c r="B167" t="s">
        <v>1760</v>
      </c>
      <c r="C167" t="s">
        <v>38</v>
      </c>
      <c r="D167">
        <v>14</v>
      </c>
      <c r="E167" t="s">
        <v>38</v>
      </c>
      <c r="F167">
        <v>2</v>
      </c>
      <c r="G167" t="s">
        <v>38</v>
      </c>
      <c r="H167" t="s">
        <v>38</v>
      </c>
      <c r="I167">
        <v>0</v>
      </c>
      <c r="J167" t="s">
        <v>38</v>
      </c>
      <c r="K167">
        <v>0</v>
      </c>
      <c r="L167">
        <v>2.13536537813349E-2</v>
      </c>
      <c r="M167" t="s">
        <v>38</v>
      </c>
      <c r="O167" t="s">
        <v>2825</v>
      </c>
      <c r="P167">
        <v>211.16239999999999</v>
      </c>
      <c r="Q167">
        <v>181.57079999999999</v>
      </c>
      <c r="R167">
        <v>0.85986330899819297</v>
      </c>
      <c r="S167">
        <v>4.7198288955234299E-2</v>
      </c>
      <c r="T167">
        <v>2</v>
      </c>
      <c r="U167" t="s">
        <v>2826</v>
      </c>
    </row>
    <row r="168" spans="1:21" x14ac:dyDescent="0.3">
      <c r="A168">
        <v>167</v>
      </c>
      <c r="B168" t="s">
        <v>1587</v>
      </c>
      <c r="C168" t="s">
        <v>38</v>
      </c>
      <c r="D168">
        <v>24</v>
      </c>
      <c r="E168" t="s">
        <v>38</v>
      </c>
      <c r="F168">
        <v>17</v>
      </c>
      <c r="G168" t="s">
        <v>38</v>
      </c>
      <c r="H168" t="s">
        <v>38</v>
      </c>
      <c r="I168">
        <v>0.3</v>
      </c>
      <c r="J168" t="s">
        <v>38</v>
      </c>
      <c r="K168">
        <v>0</v>
      </c>
      <c r="L168">
        <v>4.6830683991821104E-3</v>
      </c>
      <c r="M168" t="s">
        <v>76</v>
      </c>
      <c r="N168" t="s">
        <v>1594</v>
      </c>
      <c r="O168" t="s">
        <v>2838</v>
      </c>
      <c r="P168">
        <v>176.51240000000001</v>
      </c>
      <c r="Q168">
        <v>133.41679999999999</v>
      </c>
      <c r="R168">
        <v>0.75584944740426196</v>
      </c>
      <c r="S168">
        <v>0.34894045282275199</v>
      </c>
      <c r="T168">
        <v>17</v>
      </c>
      <c r="U168" t="s">
        <v>2860</v>
      </c>
    </row>
    <row r="169" spans="1:21" x14ac:dyDescent="0.3">
      <c r="A169">
        <v>168</v>
      </c>
      <c r="B169" t="s">
        <v>1384</v>
      </c>
      <c r="C169" t="s">
        <v>38</v>
      </c>
      <c r="D169">
        <v>20</v>
      </c>
      <c r="E169" t="s">
        <v>38</v>
      </c>
      <c r="F169">
        <v>2</v>
      </c>
      <c r="G169" t="s">
        <v>38</v>
      </c>
      <c r="H169" t="s">
        <v>38</v>
      </c>
      <c r="I169">
        <v>0</v>
      </c>
      <c r="J169" t="s">
        <v>38</v>
      </c>
      <c r="K169">
        <v>0</v>
      </c>
      <c r="L169">
        <v>3.2371103364061397E-2</v>
      </c>
      <c r="M169" t="s">
        <v>38</v>
      </c>
      <c r="O169" t="s">
        <v>2825</v>
      </c>
      <c r="P169">
        <v>788.08280000000002</v>
      </c>
      <c r="Q169">
        <v>632.21199999999999</v>
      </c>
      <c r="R169">
        <v>0.80221519870754698</v>
      </c>
      <c r="S169">
        <v>3.4684008136302402E-2</v>
      </c>
      <c r="T169">
        <v>2</v>
      </c>
      <c r="U169" t="s">
        <v>2826</v>
      </c>
    </row>
    <row r="170" spans="1:21" x14ac:dyDescent="0.3">
      <c r="A170">
        <v>169</v>
      </c>
      <c r="B170" t="s">
        <v>1655</v>
      </c>
      <c r="C170" t="s">
        <v>38</v>
      </c>
      <c r="D170">
        <v>15</v>
      </c>
      <c r="E170" t="s">
        <v>38</v>
      </c>
      <c r="F170">
        <v>3</v>
      </c>
      <c r="G170" t="s">
        <v>38</v>
      </c>
      <c r="H170" t="s">
        <v>38</v>
      </c>
      <c r="I170">
        <v>0.1</v>
      </c>
      <c r="J170" t="s">
        <v>38</v>
      </c>
      <c r="K170">
        <v>0</v>
      </c>
      <c r="L170">
        <v>2.8036276564953101E-2</v>
      </c>
      <c r="M170" t="s">
        <v>38</v>
      </c>
      <c r="O170" t="s">
        <v>2838</v>
      </c>
      <c r="P170">
        <v>214.07320000000001</v>
      </c>
      <c r="Q170">
        <v>182.42080000000001</v>
      </c>
      <c r="R170">
        <v>0.85214216445589597</v>
      </c>
      <c r="S170">
        <v>5.1621480574149302E-2</v>
      </c>
      <c r="T170">
        <v>3</v>
      </c>
      <c r="U170" t="s">
        <v>2826</v>
      </c>
    </row>
    <row r="171" spans="1:21" x14ac:dyDescent="0.3">
      <c r="A171">
        <v>170</v>
      </c>
      <c r="B171" t="s">
        <v>2053</v>
      </c>
      <c r="C171" t="s">
        <v>38</v>
      </c>
      <c r="D171">
        <v>17</v>
      </c>
      <c r="E171" t="s">
        <v>38</v>
      </c>
      <c r="F171">
        <v>2</v>
      </c>
      <c r="G171" t="s">
        <v>38</v>
      </c>
      <c r="H171" t="s">
        <v>38</v>
      </c>
      <c r="I171">
        <v>0</v>
      </c>
      <c r="J171" t="s">
        <v>38</v>
      </c>
      <c r="K171">
        <v>0</v>
      </c>
      <c r="L171">
        <v>3.85190860825428E-2</v>
      </c>
      <c r="M171" t="s">
        <v>38</v>
      </c>
      <c r="O171" t="s">
        <v>2838</v>
      </c>
      <c r="P171">
        <v>1062.2747999999999</v>
      </c>
      <c r="Q171">
        <v>884.35119999999995</v>
      </c>
      <c r="R171">
        <v>0.83250699348228896</v>
      </c>
      <c r="S171">
        <v>3.05417904518256E-2</v>
      </c>
      <c r="T171">
        <v>2</v>
      </c>
      <c r="U171" t="s">
        <v>2826</v>
      </c>
    </row>
    <row r="172" spans="1:21" x14ac:dyDescent="0.3">
      <c r="A172">
        <v>171</v>
      </c>
      <c r="B172" t="s">
        <v>888</v>
      </c>
      <c r="C172" t="s">
        <v>38</v>
      </c>
      <c r="D172">
        <v>26</v>
      </c>
      <c r="E172" t="s">
        <v>38</v>
      </c>
      <c r="F172">
        <v>1</v>
      </c>
      <c r="G172" t="s">
        <v>38</v>
      </c>
      <c r="H172" t="s">
        <v>38</v>
      </c>
      <c r="I172">
        <v>0</v>
      </c>
      <c r="J172" t="s">
        <v>38</v>
      </c>
      <c r="K172">
        <v>0</v>
      </c>
      <c r="L172">
        <v>4.3290930336879502E-2</v>
      </c>
      <c r="M172" t="s">
        <v>38</v>
      </c>
      <c r="O172" t="s">
        <v>2838</v>
      </c>
      <c r="P172">
        <v>389.35840000000002</v>
      </c>
      <c r="Q172">
        <v>288.91039999999998</v>
      </c>
      <c r="R172">
        <v>0.74201660988950002</v>
      </c>
      <c r="S172">
        <v>2.87855062682533E-2</v>
      </c>
      <c r="T172">
        <v>1</v>
      </c>
      <c r="U172" t="s">
        <v>2826</v>
      </c>
    </row>
    <row r="173" spans="1:21" x14ac:dyDescent="0.3">
      <c r="A173">
        <v>172</v>
      </c>
      <c r="B173" t="s">
        <v>1942</v>
      </c>
      <c r="C173" t="s">
        <v>38</v>
      </c>
      <c r="D173">
        <v>8</v>
      </c>
      <c r="E173" t="s">
        <v>38</v>
      </c>
      <c r="F173">
        <v>1</v>
      </c>
      <c r="G173" t="s">
        <v>38</v>
      </c>
      <c r="H173" t="s">
        <v>38</v>
      </c>
      <c r="I173">
        <v>0</v>
      </c>
      <c r="J173" t="s">
        <v>38</v>
      </c>
      <c r="K173">
        <v>0</v>
      </c>
      <c r="L173">
        <v>1.3866189579558499E-2</v>
      </c>
      <c r="M173" t="s">
        <v>38</v>
      </c>
      <c r="O173" t="s">
        <v>2838</v>
      </c>
      <c r="P173">
        <v>1029.4780000000001</v>
      </c>
      <c r="Q173">
        <v>946.18640000000005</v>
      </c>
      <c r="R173">
        <v>0.91909336576400902</v>
      </c>
      <c r="S173">
        <v>2.60574312597362E-2</v>
      </c>
      <c r="T173">
        <v>1</v>
      </c>
      <c r="U173" t="s">
        <v>2826</v>
      </c>
    </row>
    <row r="174" spans="1:21" x14ac:dyDescent="0.3">
      <c r="A174">
        <v>173</v>
      </c>
      <c r="B174" t="s">
        <v>1377</v>
      </c>
      <c r="C174" t="s">
        <v>38</v>
      </c>
      <c r="D174">
        <v>19</v>
      </c>
      <c r="E174" t="s">
        <v>38</v>
      </c>
      <c r="F174">
        <v>3</v>
      </c>
      <c r="G174" t="s">
        <v>38</v>
      </c>
      <c r="H174" t="s">
        <v>38</v>
      </c>
      <c r="I174">
        <v>0.1</v>
      </c>
      <c r="J174" t="s">
        <v>38</v>
      </c>
      <c r="K174">
        <v>0</v>
      </c>
      <c r="L174">
        <v>1.4614175690789301E-2</v>
      </c>
      <c r="M174" t="s">
        <v>38</v>
      </c>
      <c r="O174" t="s">
        <v>2838</v>
      </c>
      <c r="P174">
        <v>185.23439999999999</v>
      </c>
      <c r="Q174">
        <v>150.9288</v>
      </c>
      <c r="R174">
        <v>0.81479897902333498</v>
      </c>
      <c r="S174">
        <v>5.34738376257844E-2</v>
      </c>
      <c r="T174">
        <v>3</v>
      </c>
      <c r="U174" t="s">
        <v>2826</v>
      </c>
    </row>
    <row r="175" spans="1:21" x14ac:dyDescent="0.3">
      <c r="A175">
        <v>174</v>
      </c>
      <c r="B175" t="s">
        <v>1690</v>
      </c>
      <c r="C175" t="s">
        <v>38</v>
      </c>
      <c r="D175">
        <v>25</v>
      </c>
      <c r="E175" t="s">
        <v>38</v>
      </c>
      <c r="F175">
        <v>13</v>
      </c>
      <c r="G175" t="s">
        <v>38</v>
      </c>
      <c r="H175" t="s">
        <v>38</v>
      </c>
      <c r="I175">
        <v>0.3</v>
      </c>
      <c r="J175" t="s">
        <v>38</v>
      </c>
      <c r="K175">
        <v>0</v>
      </c>
      <c r="L175">
        <v>3.6081285037491101E-3</v>
      </c>
      <c r="M175" t="s">
        <v>38</v>
      </c>
      <c r="O175" t="s">
        <v>2843</v>
      </c>
      <c r="P175">
        <v>680.32079999999996</v>
      </c>
      <c r="Q175">
        <v>514.94839999999999</v>
      </c>
      <c r="R175">
        <v>0.756919970696177</v>
      </c>
      <c r="S175">
        <v>0.25290981371195398</v>
      </c>
      <c r="T175">
        <v>13</v>
      </c>
      <c r="U175" t="s">
        <v>2826</v>
      </c>
    </row>
    <row r="176" spans="1:21" x14ac:dyDescent="0.3">
      <c r="A176">
        <v>175</v>
      </c>
      <c r="B176" t="s">
        <v>870</v>
      </c>
      <c r="C176" t="s">
        <v>38</v>
      </c>
      <c r="D176">
        <v>9</v>
      </c>
      <c r="E176" t="s">
        <v>38</v>
      </c>
      <c r="F176">
        <v>4</v>
      </c>
      <c r="G176" t="s">
        <v>38</v>
      </c>
      <c r="H176" t="s">
        <v>38</v>
      </c>
      <c r="I176">
        <v>0.1</v>
      </c>
      <c r="J176" t="s">
        <v>38</v>
      </c>
      <c r="K176">
        <v>0</v>
      </c>
      <c r="L176">
        <v>5.4862900069274601E-4</v>
      </c>
      <c r="M176" t="s">
        <v>38</v>
      </c>
      <c r="O176" t="s">
        <v>2843</v>
      </c>
      <c r="P176">
        <v>265.43079999999998</v>
      </c>
      <c r="Q176">
        <v>244.24520000000001</v>
      </c>
      <c r="R176">
        <v>0.92018409317984196</v>
      </c>
      <c r="S176">
        <v>8.8656749548884306E-2</v>
      </c>
      <c r="T176">
        <v>4</v>
      </c>
      <c r="U176" t="s">
        <v>2826</v>
      </c>
    </row>
    <row r="177" spans="1:21" x14ac:dyDescent="0.3">
      <c r="A177">
        <v>176</v>
      </c>
      <c r="B177" t="s">
        <v>1845</v>
      </c>
      <c r="C177" t="s">
        <v>38</v>
      </c>
      <c r="D177">
        <v>0</v>
      </c>
      <c r="E177" t="s">
        <v>38</v>
      </c>
      <c r="F177">
        <v>0</v>
      </c>
      <c r="G177" t="s">
        <v>38</v>
      </c>
      <c r="H177" t="s">
        <v>38</v>
      </c>
      <c r="I177">
        <v>0</v>
      </c>
      <c r="J177" t="s">
        <v>38</v>
      </c>
      <c r="K177">
        <v>0</v>
      </c>
      <c r="L177" t="s">
        <v>2840</v>
      </c>
      <c r="M177" t="s">
        <v>38</v>
      </c>
      <c r="O177" t="s">
        <v>2848</v>
      </c>
      <c r="P177">
        <v>81.642799999999994</v>
      </c>
      <c r="Q177">
        <v>81.260400000000004</v>
      </c>
      <c r="R177">
        <v>0.995316182198553</v>
      </c>
      <c r="S177">
        <v>4.4603307412152199E-4</v>
      </c>
      <c r="T177">
        <v>0</v>
      </c>
      <c r="U177" t="s">
        <v>2826</v>
      </c>
    </row>
    <row r="178" spans="1:21" x14ac:dyDescent="0.3">
      <c r="A178">
        <v>177</v>
      </c>
      <c r="B178" t="s">
        <v>1930</v>
      </c>
      <c r="C178" t="s">
        <v>76</v>
      </c>
      <c r="D178">
        <v>57</v>
      </c>
      <c r="E178" t="s">
        <v>76</v>
      </c>
      <c r="F178">
        <v>41</v>
      </c>
      <c r="G178" t="s">
        <v>51</v>
      </c>
      <c r="H178" t="s">
        <v>76</v>
      </c>
      <c r="I178">
        <v>0.8</v>
      </c>
      <c r="J178" t="s">
        <v>38</v>
      </c>
      <c r="K178">
        <v>0</v>
      </c>
      <c r="L178">
        <v>0.102381329168358</v>
      </c>
      <c r="M178" t="s">
        <v>51</v>
      </c>
      <c r="N178" t="s">
        <v>53</v>
      </c>
      <c r="O178" t="s">
        <v>2842</v>
      </c>
      <c r="P178">
        <v>497.67599999999999</v>
      </c>
      <c r="Q178">
        <v>174.4068</v>
      </c>
      <c r="R178">
        <v>0.350442456537989</v>
      </c>
      <c r="S178">
        <v>0.82312947580216</v>
      </c>
      <c r="T178">
        <v>41</v>
      </c>
      <c r="U178" t="s">
        <v>2826</v>
      </c>
    </row>
    <row r="179" spans="1:21" x14ac:dyDescent="0.3">
      <c r="A179">
        <v>178</v>
      </c>
      <c r="B179" t="s">
        <v>98</v>
      </c>
      <c r="C179" t="s">
        <v>38</v>
      </c>
      <c r="D179">
        <v>35</v>
      </c>
      <c r="E179" t="s">
        <v>38</v>
      </c>
      <c r="F179">
        <v>17</v>
      </c>
      <c r="G179" t="s">
        <v>106</v>
      </c>
      <c r="H179" t="s">
        <v>51</v>
      </c>
      <c r="I179">
        <v>0.3</v>
      </c>
      <c r="J179" t="s">
        <v>38</v>
      </c>
      <c r="K179">
        <v>0</v>
      </c>
      <c r="L179">
        <v>0.150000547447253</v>
      </c>
      <c r="M179" t="s">
        <v>106</v>
      </c>
      <c r="N179" t="s">
        <v>108</v>
      </c>
      <c r="O179" t="s">
        <v>2853</v>
      </c>
      <c r="P179">
        <v>63.072000000000003</v>
      </c>
      <c r="Q179">
        <v>36.533200000000001</v>
      </c>
      <c r="R179">
        <v>0.57923008625063399</v>
      </c>
      <c r="S179">
        <v>0.33146349221885102</v>
      </c>
      <c r="T179">
        <v>17</v>
      </c>
      <c r="U179" t="s">
        <v>2826</v>
      </c>
    </row>
    <row r="180" spans="1:21" x14ac:dyDescent="0.3">
      <c r="A180">
        <v>179</v>
      </c>
      <c r="B180" t="s">
        <v>523</v>
      </c>
      <c r="C180" t="s">
        <v>51</v>
      </c>
      <c r="D180">
        <v>80</v>
      </c>
      <c r="E180" t="s">
        <v>51</v>
      </c>
      <c r="F180">
        <v>60</v>
      </c>
      <c r="G180" t="s">
        <v>51</v>
      </c>
      <c r="H180" t="s">
        <v>106</v>
      </c>
      <c r="I180">
        <v>1.2</v>
      </c>
      <c r="J180" t="s">
        <v>38</v>
      </c>
      <c r="K180">
        <v>0</v>
      </c>
      <c r="L180">
        <v>0.102890173410405</v>
      </c>
      <c r="M180" t="s">
        <v>106</v>
      </c>
      <c r="N180" t="s">
        <v>529</v>
      </c>
      <c r="O180" t="s">
        <v>2850</v>
      </c>
      <c r="P180">
        <v>101.0616</v>
      </c>
      <c r="Q180">
        <v>12.802</v>
      </c>
      <c r="R180">
        <v>0.126675215907921</v>
      </c>
      <c r="S180">
        <v>1.1911724898006499</v>
      </c>
      <c r="T180">
        <v>60</v>
      </c>
      <c r="U180" t="s">
        <v>2826</v>
      </c>
    </row>
    <row r="181" spans="1:21" x14ac:dyDescent="0.3">
      <c r="A181">
        <v>180</v>
      </c>
      <c r="B181" t="s">
        <v>2095</v>
      </c>
      <c r="C181" t="s">
        <v>51</v>
      </c>
      <c r="D181">
        <v>81</v>
      </c>
      <c r="E181" t="s">
        <v>51</v>
      </c>
      <c r="F181">
        <v>51</v>
      </c>
      <c r="G181" t="s">
        <v>51</v>
      </c>
      <c r="H181" t="s">
        <v>51</v>
      </c>
      <c r="I181">
        <v>1</v>
      </c>
      <c r="J181" t="s">
        <v>38</v>
      </c>
      <c r="K181">
        <v>0</v>
      </c>
      <c r="L181">
        <v>9.3819751526637199E-2</v>
      </c>
      <c r="M181" t="s">
        <v>51</v>
      </c>
      <c r="N181" t="s">
        <v>2101</v>
      </c>
      <c r="O181" t="s">
        <v>2850</v>
      </c>
      <c r="P181">
        <v>209.756</v>
      </c>
      <c r="Q181">
        <v>28.494</v>
      </c>
      <c r="R181">
        <v>0.13584355155514</v>
      </c>
      <c r="S181">
        <v>1.0275827954962999</v>
      </c>
      <c r="T181">
        <v>51</v>
      </c>
      <c r="U181" t="s">
        <v>2826</v>
      </c>
    </row>
    <row r="182" spans="1:21" x14ac:dyDescent="0.3">
      <c r="A182">
        <v>181</v>
      </c>
      <c r="B182" t="s">
        <v>1874</v>
      </c>
      <c r="C182" t="s">
        <v>38</v>
      </c>
      <c r="D182">
        <v>10</v>
      </c>
      <c r="E182" t="s">
        <v>38</v>
      </c>
      <c r="F182">
        <v>4</v>
      </c>
      <c r="G182" t="s">
        <v>38</v>
      </c>
      <c r="H182" t="s">
        <v>38</v>
      </c>
      <c r="I182">
        <v>0.1</v>
      </c>
      <c r="J182" t="s">
        <v>38</v>
      </c>
      <c r="K182">
        <v>0</v>
      </c>
      <c r="L182">
        <v>2.7479547510210998E-3</v>
      </c>
      <c r="M182" t="s">
        <v>38</v>
      </c>
      <c r="O182" t="s">
        <v>2838</v>
      </c>
      <c r="P182">
        <v>219.49440000000001</v>
      </c>
      <c r="Q182">
        <v>197.23759999999999</v>
      </c>
      <c r="R182">
        <v>0.89859969092605496</v>
      </c>
      <c r="S182">
        <v>8.0061069954294004E-2</v>
      </c>
      <c r="T182">
        <v>4</v>
      </c>
      <c r="U182" t="s">
        <v>2826</v>
      </c>
    </row>
    <row r="183" spans="1:21" x14ac:dyDescent="0.3">
      <c r="A183">
        <v>182</v>
      </c>
      <c r="B183" t="s">
        <v>1209</v>
      </c>
      <c r="C183" t="s">
        <v>38</v>
      </c>
      <c r="D183">
        <v>2</v>
      </c>
      <c r="E183" t="s">
        <v>38</v>
      </c>
      <c r="F183">
        <v>0</v>
      </c>
      <c r="G183" t="s">
        <v>38</v>
      </c>
      <c r="H183" t="s">
        <v>38</v>
      </c>
      <c r="I183">
        <v>0</v>
      </c>
      <c r="J183" t="s">
        <v>38</v>
      </c>
      <c r="K183">
        <v>0</v>
      </c>
      <c r="L183">
        <v>7.2949111096331002E-4</v>
      </c>
      <c r="M183" t="s">
        <v>38</v>
      </c>
      <c r="O183" t="s">
        <v>2838</v>
      </c>
      <c r="P183">
        <v>578.92600000000004</v>
      </c>
      <c r="Q183">
        <v>565.32560000000001</v>
      </c>
      <c r="R183">
        <v>0.97650753291439696</v>
      </c>
      <c r="S183">
        <v>7.0287680903636501E-3</v>
      </c>
      <c r="T183">
        <v>0</v>
      </c>
      <c r="U183" t="s">
        <v>2826</v>
      </c>
    </row>
    <row r="184" spans="1:21" x14ac:dyDescent="0.3">
      <c r="A184">
        <v>183</v>
      </c>
      <c r="B184" t="s">
        <v>595</v>
      </c>
      <c r="C184" t="s">
        <v>38</v>
      </c>
      <c r="D184">
        <v>17</v>
      </c>
      <c r="E184" t="s">
        <v>38</v>
      </c>
      <c r="F184">
        <v>6</v>
      </c>
      <c r="G184" t="s">
        <v>38</v>
      </c>
      <c r="H184" t="s">
        <v>38</v>
      </c>
      <c r="I184">
        <v>0.1</v>
      </c>
      <c r="J184" t="s">
        <v>38</v>
      </c>
      <c r="K184">
        <v>0</v>
      </c>
      <c r="L184">
        <v>1.0206180673133199E-3</v>
      </c>
      <c r="M184" t="s">
        <v>38</v>
      </c>
      <c r="O184" t="s">
        <v>2838</v>
      </c>
      <c r="P184">
        <v>305.53960000000001</v>
      </c>
      <c r="Q184">
        <v>252.78800000000001</v>
      </c>
      <c r="R184">
        <v>0.82734938449876905</v>
      </c>
      <c r="S184">
        <v>0.110805522571665</v>
      </c>
      <c r="T184">
        <v>6</v>
      </c>
      <c r="U184" t="s">
        <v>2826</v>
      </c>
    </row>
    <row r="185" spans="1:21" x14ac:dyDescent="0.3">
      <c r="A185">
        <v>184</v>
      </c>
      <c r="B185" t="s">
        <v>1228</v>
      </c>
      <c r="C185" t="s">
        <v>51</v>
      </c>
      <c r="D185">
        <v>77</v>
      </c>
      <c r="E185" t="s">
        <v>51</v>
      </c>
      <c r="F185">
        <v>53</v>
      </c>
      <c r="G185" t="s">
        <v>51</v>
      </c>
      <c r="H185" t="s">
        <v>76</v>
      </c>
      <c r="I185">
        <v>1.1000000000000001</v>
      </c>
      <c r="J185" t="s">
        <v>38</v>
      </c>
      <c r="K185">
        <v>0</v>
      </c>
      <c r="L185">
        <v>0.18064563085345001</v>
      </c>
      <c r="M185" t="s">
        <v>51</v>
      </c>
      <c r="N185" t="s">
        <v>1234</v>
      </c>
      <c r="O185" t="s">
        <v>2850</v>
      </c>
      <c r="P185">
        <v>951.34079999999994</v>
      </c>
      <c r="Q185">
        <v>153.8836</v>
      </c>
      <c r="R185">
        <v>0.161754441731081</v>
      </c>
      <c r="S185">
        <v>1.05818681705967</v>
      </c>
      <c r="T185">
        <v>53</v>
      </c>
      <c r="U185" t="s">
        <v>2826</v>
      </c>
    </row>
    <row r="186" spans="1:21" x14ac:dyDescent="0.3">
      <c r="A186">
        <v>185</v>
      </c>
      <c r="B186" t="s">
        <v>479</v>
      </c>
      <c r="C186" t="s">
        <v>38</v>
      </c>
      <c r="D186">
        <v>2</v>
      </c>
      <c r="E186" t="s">
        <v>38</v>
      </c>
      <c r="F186">
        <v>1</v>
      </c>
      <c r="G186" t="s">
        <v>38</v>
      </c>
      <c r="H186" t="s">
        <v>38</v>
      </c>
      <c r="I186">
        <v>0</v>
      </c>
      <c r="J186" t="s">
        <v>38</v>
      </c>
      <c r="K186">
        <v>0</v>
      </c>
      <c r="L186">
        <v>0.10817598708663401</v>
      </c>
      <c r="M186" t="s">
        <v>38</v>
      </c>
      <c r="O186" t="s">
        <v>2836</v>
      </c>
      <c r="P186">
        <v>19.175599999999999</v>
      </c>
      <c r="Q186">
        <v>18.833200000000001</v>
      </c>
      <c r="R186">
        <v>0.98214397463443104</v>
      </c>
      <c r="S186">
        <v>2.71733409129188E-2</v>
      </c>
      <c r="T186">
        <v>1</v>
      </c>
      <c r="U186" t="s">
        <v>2826</v>
      </c>
    </row>
    <row r="187" spans="1:21" x14ac:dyDescent="0.3">
      <c r="A187">
        <v>186</v>
      </c>
      <c r="B187" t="s">
        <v>2035</v>
      </c>
      <c r="C187" t="s">
        <v>38</v>
      </c>
      <c r="D187">
        <v>11</v>
      </c>
      <c r="E187" t="s">
        <v>38</v>
      </c>
      <c r="F187">
        <v>5</v>
      </c>
      <c r="G187" t="s">
        <v>38</v>
      </c>
      <c r="H187" t="s">
        <v>38</v>
      </c>
      <c r="I187">
        <v>0.1</v>
      </c>
      <c r="J187" t="s">
        <v>38</v>
      </c>
      <c r="K187">
        <v>21</v>
      </c>
      <c r="L187">
        <v>1.9067156141750599E-2</v>
      </c>
      <c r="M187" t="s">
        <v>38</v>
      </c>
      <c r="O187" t="s">
        <v>2829</v>
      </c>
      <c r="P187">
        <v>501.68880000000001</v>
      </c>
      <c r="Q187">
        <v>432.68119999999999</v>
      </c>
      <c r="R187">
        <v>0.86244939093717099</v>
      </c>
      <c r="S187">
        <v>9.4929978881168206E-2</v>
      </c>
      <c r="T187">
        <v>5</v>
      </c>
      <c r="U187" t="s">
        <v>2826</v>
      </c>
    </row>
    <row r="188" spans="1:21" x14ac:dyDescent="0.3">
      <c r="A188">
        <v>187</v>
      </c>
      <c r="B188" t="s">
        <v>467</v>
      </c>
      <c r="C188" t="s">
        <v>38</v>
      </c>
      <c r="D188">
        <v>5</v>
      </c>
      <c r="E188" t="s">
        <v>38</v>
      </c>
      <c r="F188">
        <v>3</v>
      </c>
      <c r="G188" t="s">
        <v>38</v>
      </c>
      <c r="H188" t="s">
        <v>38</v>
      </c>
      <c r="I188">
        <v>0.1</v>
      </c>
      <c r="J188" t="s">
        <v>38</v>
      </c>
      <c r="K188">
        <v>0</v>
      </c>
      <c r="L188">
        <v>1.39517991659117E-2</v>
      </c>
      <c r="M188" t="s">
        <v>38</v>
      </c>
      <c r="O188" t="s">
        <v>2838</v>
      </c>
      <c r="P188">
        <v>207.30600000000001</v>
      </c>
      <c r="Q188">
        <v>196.04640000000001</v>
      </c>
      <c r="R188">
        <v>0.945686087233365</v>
      </c>
      <c r="S188">
        <v>6.6595046207177502E-2</v>
      </c>
      <c r="T188">
        <v>3</v>
      </c>
      <c r="U188" t="s">
        <v>2826</v>
      </c>
    </row>
    <row r="189" spans="1:21" x14ac:dyDescent="0.3">
      <c r="A189">
        <v>188</v>
      </c>
      <c r="B189" t="s">
        <v>353</v>
      </c>
      <c r="C189" t="s">
        <v>106</v>
      </c>
      <c r="D189">
        <v>90</v>
      </c>
      <c r="E189" t="s">
        <v>51</v>
      </c>
      <c r="F189">
        <v>61</v>
      </c>
      <c r="G189" t="s">
        <v>106</v>
      </c>
      <c r="H189" t="s">
        <v>106</v>
      </c>
      <c r="I189">
        <v>1.2</v>
      </c>
      <c r="J189" t="s">
        <v>38</v>
      </c>
      <c r="K189">
        <v>7</v>
      </c>
      <c r="L189">
        <v>8.7537800413815106E-2</v>
      </c>
      <c r="M189" t="s">
        <v>106</v>
      </c>
      <c r="N189" t="s">
        <v>359</v>
      </c>
      <c r="O189" t="s">
        <v>2856</v>
      </c>
      <c r="P189">
        <v>25.273599999999998</v>
      </c>
      <c r="Q189">
        <v>2.5131999999999999</v>
      </c>
      <c r="R189">
        <v>9.9439731577614598E-2</v>
      </c>
      <c r="S189">
        <v>1.2244700416223</v>
      </c>
      <c r="T189">
        <v>61</v>
      </c>
      <c r="U189" t="s">
        <v>2826</v>
      </c>
    </row>
    <row r="190" spans="1:21" x14ac:dyDescent="0.3">
      <c r="A190">
        <v>189</v>
      </c>
      <c r="B190" t="s">
        <v>2405</v>
      </c>
      <c r="C190" t="s">
        <v>51</v>
      </c>
      <c r="D190">
        <v>84</v>
      </c>
      <c r="E190" t="s">
        <v>51</v>
      </c>
      <c r="F190">
        <v>54</v>
      </c>
      <c r="G190" t="s">
        <v>106</v>
      </c>
      <c r="H190" t="s">
        <v>76</v>
      </c>
      <c r="I190">
        <v>1.1000000000000001</v>
      </c>
      <c r="J190" t="s">
        <v>38</v>
      </c>
      <c r="K190">
        <v>0</v>
      </c>
      <c r="L190">
        <v>0.175503694236886</v>
      </c>
      <c r="M190" t="s">
        <v>106</v>
      </c>
      <c r="N190" t="s">
        <v>504</v>
      </c>
      <c r="O190" t="s">
        <v>2850</v>
      </c>
      <c r="P190">
        <v>1193.6704</v>
      </c>
      <c r="Q190">
        <v>153.04920000000001</v>
      </c>
      <c r="R190">
        <v>0.12821730353705699</v>
      </c>
      <c r="S190">
        <v>1.0816430635566501</v>
      </c>
      <c r="T190">
        <v>54</v>
      </c>
      <c r="U190" t="s">
        <v>2826</v>
      </c>
    </row>
    <row r="191" spans="1:21" x14ac:dyDescent="0.3">
      <c r="A191">
        <v>190</v>
      </c>
      <c r="B191" t="s">
        <v>2411</v>
      </c>
      <c r="C191" t="s">
        <v>106</v>
      </c>
      <c r="D191">
        <v>90</v>
      </c>
      <c r="E191" t="s">
        <v>51</v>
      </c>
      <c r="F191">
        <v>58</v>
      </c>
      <c r="G191" t="s">
        <v>51</v>
      </c>
      <c r="H191" t="s">
        <v>76</v>
      </c>
      <c r="I191">
        <v>1.2</v>
      </c>
      <c r="J191" t="s">
        <v>38</v>
      </c>
      <c r="K191">
        <v>0</v>
      </c>
      <c r="L191">
        <v>0.13953231697471499</v>
      </c>
      <c r="M191" t="s">
        <v>106</v>
      </c>
      <c r="N191" t="s">
        <v>262</v>
      </c>
      <c r="O191" t="s">
        <v>2851</v>
      </c>
      <c r="P191">
        <v>2027.5060000000001</v>
      </c>
      <c r="Q191">
        <v>195.70519999999999</v>
      </c>
      <c r="R191">
        <v>9.6525090431298297E-2</v>
      </c>
      <c r="S191">
        <v>1.1639619155480201</v>
      </c>
      <c r="T191">
        <v>58</v>
      </c>
      <c r="U191" t="s">
        <v>2826</v>
      </c>
    </row>
    <row r="192" spans="1:21" x14ac:dyDescent="0.3">
      <c r="A192">
        <v>191</v>
      </c>
      <c r="B192" t="s">
        <v>1420</v>
      </c>
      <c r="C192" t="s">
        <v>51</v>
      </c>
      <c r="D192">
        <v>82</v>
      </c>
      <c r="E192" t="s">
        <v>51</v>
      </c>
      <c r="F192">
        <v>54</v>
      </c>
      <c r="G192" t="s">
        <v>51</v>
      </c>
      <c r="H192" t="s">
        <v>76</v>
      </c>
      <c r="I192">
        <v>1.1000000000000001</v>
      </c>
      <c r="J192" t="s">
        <v>38</v>
      </c>
      <c r="K192">
        <v>0</v>
      </c>
      <c r="L192">
        <v>0.11231463957667499</v>
      </c>
      <c r="M192" t="s">
        <v>51</v>
      </c>
      <c r="N192" t="s">
        <v>1234</v>
      </c>
      <c r="O192" t="s">
        <v>2850</v>
      </c>
      <c r="P192">
        <v>2762.57</v>
      </c>
      <c r="Q192">
        <v>397.76560000000001</v>
      </c>
      <c r="R192">
        <v>0.143983899050522</v>
      </c>
      <c r="S192">
        <v>1.07282581562457</v>
      </c>
      <c r="T192">
        <v>54</v>
      </c>
      <c r="U192" t="s">
        <v>2826</v>
      </c>
    </row>
    <row r="193" spans="1:21" x14ac:dyDescent="0.3">
      <c r="A193">
        <v>192</v>
      </c>
      <c r="B193" t="s">
        <v>1484</v>
      </c>
      <c r="C193" t="s">
        <v>76</v>
      </c>
      <c r="D193">
        <v>58</v>
      </c>
      <c r="E193" t="s">
        <v>38</v>
      </c>
      <c r="F193">
        <v>29</v>
      </c>
      <c r="G193" t="s">
        <v>106</v>
      </c>
      <c r="H193" t="s">
        <v>76</v>
      </c>
      <c r="I193">
        <v>0.6</v>
      </c>
      <c r="J193" t="s">
        <v>38</v>
      </c>
      <c r="K193">
        <v>0</v>
      </c>
      <c r="L193">
        <v>0.17641845600547801</v>
      </c>
      <c r="M193" t="s">
        <v>106</v>
      </c>
      <c r="N193" t="s">
        <v>53</v>
      </c>
      <c r="O193" t="s">
        <v>2830</v>
      </c>
      <c r="P193">
        <v>866.5308</v>
      </c>
      <c r="Q193">
        <v>326.54520000000002</v>
      </c>
      <c r="R193">
        <v>0.37684200030743298</v>
      </c>
      <c r="S193">
        <v>0.58949952095379898</v>
      </c>
      <c r="T193">
        <v>29</v>
      </c>
      <c r="U193" t="s">
        <v>2826</v>
      </c>
    </row>
    <row r="194" spans="1:21" x14ac:dyDescent="0.3">
      <c r="A194">
        <v>193</v>
      </c>
      <c r="B194" t="s">
        <v>835</v>
      </c>
      <c r="C194" t="s">
        <v>38</v>
      </c>
      <c r="D194">
        <v>4</v>
      </c>
      <c r="E194" t="s">
        <v>38</v>
      </c>
      <c r="F194">
        <v>1</v>
      </c>
      <c r="G194" t="s">
        <v>38</v>
      </c>
      <c r="H194" t="s">
        <v>38</v>
      </c>
      <c r="I194">
        <v>0</v>
      </c>
      <c r="J194" t="s">
        <v>38</v>
      </c>
      <c r="K194">
        <v>0</v>
      </c>
      <c r="L194">
        <v>2.3111215391834802E-3</v>
      </c>
      <c r="M194" t="s">
        <v>38</v>
      </c>
      <c r="O194" t="s">
        <v>2825</v>
      </c>
      <c r="P194">
        <v>276.41039999999998</v>
      </c>
      <c r="Q194">
        <v>264.24400000000003</v>
      </c>
      <c r="R194">
        <v>0.95598429002671403</v>
      </c>
      <c r="S194">
        <v>2.6119145333529301E-2</v>
      </c>
      <c r="T194">
        <v>1</v>
      </c>
      <c r="U194" t="s">
        <v>2826</v>
      </c>
    </row>
    <row r="195" spans="1:21" x14ac:dyDescent="0.3">
      <c r="A195">
        <v>194</v>
      </c>
      <c r="B195" t="s">
        <v>847</v>
      </c>
      <c r="C195" t="s">
        <v>38</v>
      </c>
      <c r="D195">
        <v>18</v>
      </c>
      <c r="E195" t="s">
        <v>38</v>
      </c>
      <c r="F195">
        <v>5</v>
      </c>
      <c r="G195" t="s">
        <v>38</v>
      </c>
      <c r="H195" t="s">
        <v>38</v>
      </c>
      <c r="I195">
        <v>0.1</v>
      </c>
      <c r="J195" t="s">
        <v>38</v>
      </c>
      <c r="K195">
        <v>0</v>
      </c>
      <c r="L195">
        <v>5.5406275857771596E-3</v>
      </c>
      <c r="M195" t="s">
        <v>38</v>
      </c>
      <c r="O195" t="s">
        <v>2825</v>
      </c>
      <c r="P195">
        <v>1347.8643999999999</v>
      </c>
      <c r="Q195">
        <v>1104.1168</v>
      </c>
      <c r="R195">
        <v>0.81916014697027395</v>
      </c>
      <c r="S195">
        <v>9.4901216934581201E-2</v>
      </c>
      <c r="T195">
        <v>5</v>
      </c>
      <c r="U195" t="s">
        <v>2826</v>
      </c>
    </row>
    <row r="196" spans="1:21" x14ac:dyDescent="0.3">
      <c r="A196">
        <v>195</v>
      </c>
      <c r="B196" t="s">
        <v>841</v>
      </c>
      <c r="C196" t="s">
        <v>76</v>
      </c>
      <c r="D196">
        <v>69</v>
      </c>
      <c r="E196" t="s">
        <v>76</v>
      </c>
      <c r="F196">
        <v>34</v>
      </c>
      <c r="G196" t="s">
        <v>51</v>
      </c>
      <c r="H196" t="s">
        <v>76</v>
      </c>
      <c r="I196">
        <v>0.7</v>
      </c>
      <c r="J196" t="s">
        <v>38</v>
      </c>
      <c r="K196">
        <v>0</v>
      </c>
      <c r="L196">
        <v>0.191890763112291</v>
      </c>
      <c r="M196" t="s">
        <v>51</v>
      </c>
      <c r="N196" t="s">
        <v>53</v>
      </c>
      <c r="O196" t="s">
        <v>2828</v>
      </c>
      <c r="P196">
        <v>207.13839999999999</v>
      </c>
      <c r="Q196">
        <v>64.168800000000005</v>
      </c>
      <c r="R196">
        <v>0.309787079556471</v>
      </c>
      <c r="S196">
        <v>0.67924442005122498</v>
      </c>
      <c r="T196">
        <v>34</v>
      </c>
      <c r="U196" t="s">
        <v>2826</v>
      </c>
    </row>
    <row r="197" spans="1:21" x14ac:dyDescent="0.3">
      <c r="A197">
        <v>196</v>
      </c>
      <c r="B197" t="s">
        <v>768</v>
      </c>
      <c r="C197" t="s">
        <v>38</v>
      </c>
      <c r="D197">
        <v>0</v>
      </c>
      <c r="E197" t="s">
        <v>38</v>
      </c>
      <c r="F197">
        <v>0</v>
      </c>
      <c r="G197" t="s">
        <v>38</v>
      </c>
      <c r="H197" t="s">
        <v>38</v>
      </c>
      <c r="I197">
        <v>0</v>
      </c>
      <c r="J197" t="s">
        <v>38</v>
      </c>
      <c r="K197">
        <v>0</v>
      </c>
      <c r="L197">
        <v>3.0166065030621099E-4</v>
      </c>
      <c r="M197" t="s">
        <v>38</v>
      </c>
      <c r="O197" t="s">
        <v>2825</v>
      </c>
      <c r="P197">
        <v>118.72239999999999</v>
      </c>
      <c r="Q197">
        <v>118.6764</v>
      </c>
      <c r="R197">
        <v>0.99961254152544099</v>
      </c>
      <c r="S197">
        <v>3.0542262065250299E-4</v>
      </c>
      <c r="T197">
        <v>0</v>
      </c>
      <c r="U197" t="s">
        <v>2826</v>
      </c>
    </row>
    <row r="198" spans="1:21" x14ac:dyDescent="0.3">
      <c r="A198">
        <v>197</v>
      </c>
      <c r="B198" t="s">
        <v>1426</v>
      </c>
      <c r="C198" t="s">
        <v>76</v>
      </c>
      <c r="D198">
        <v>58</v>
      </c>
      <c r="E198" t="s">
        <v>38</v>
      </c>
      <c r="F198">
        <v>19</v>
      </c>
      <c r="G198" t="s">
        <v>51</v>
      </c>
      <c r="H198" t="s">
        <v>51</v>
      </c>
      <c r="I198">
        <v>0.4</v>
      </c>
      <c r="J198" t="s">
        <v>38</v>
      </c>
      <c r="K198">
        <v>0</v>
      </c>
      <c r="L198">
        <v>6.2382129028781701E-2</v>
      </c>
      <c r="M198" t="s">
        <v>51</v>
      </c>
      <c r="N198" t="s">
        <v>706</v>
      </c>
      <c r="O198" t="s">
        <v>2828</v>
      </c>
      <c r="P198">
        <v>373.15</v>
      </c>
      <c r="Q198">
        <v>155.89080000000001</v>
      </c>
      <c r="R198">
        <v>0.41776979766849798</v>
      </c>
      <c r="S198">
        <v>0.38235964734495298</v>
      </c>
      <c r="T198">
        <v>19</v>
      </c>
      <c r="U198" t="s">
        <v>2826</v>
      </c>
    </row>
    <row r="199" spans="1:21" x14ac:dyDescent="0.3">
      <c r="A199">
        <v>198</v>
      </c>
      <c r="B199" t="s">
        <v>189</v>
      </c>
      <c r="C199" t="s">
        <v>76</v>
      </c>
      <c r="D199">
        <v>52</v>
      </c>
      <c r="E199" t="s">
        <v>38</v>
      </c>
      <c r="F199">
        <v>18</v>
      </c>
      <c r="G199" t="s">
        <v>106</v>
      </c>
      <c r="H199" t="s">
        <v>51</v>
      </c>
      <c r="I199">
        <v>0.4</v>
      </c>
      <c r="J199" t="s">
        <v>38</v>
      </c>
      <c r="K199">
        <v>0</v>
      </c>
      <c r="L199">
        <v>6.3945776435137998E-3</v>
      </c>
      <c r="M199" t="s">
        <v>106</v>
      </c>
      <c r="N199" t="s">
        <v>53</v>
      </c>
      <c r="O199" t="s">
        <v>2846</v>
      </c>
      <c r="P199">
        <v>218.83680000000001</v>
      </c>
      <c r="Q199">
        <v>104.33839999999999</v>
      </c>
      <c r="R199">
        <v>0.47678635403186298</v>
      </c>
      <c r="S199">
        <v>0.36985148481386598</v>
      </c>
      <c r="T199">
        <v>18</v>
      </c>
      <c r="U199" t="s">
        <v>2826</v>
      </c>
    </row>
    <row r="200" spans="1:21" x14ac:dyDescent="0.3">
      <c r="A200">
        <v>199</v>
      </c>
      <c r="B200" t="s">
        <v>2488</v>
      </c>
      <c r="C200" t="s">
        <v>51</v>
      </c>
      <c r="D200">
        <v>76</v>
      </c>
      <c r="E200" t="s">
        <v>76</v>
      </c>
      <c r="F200">
        <v>45</v>
      </c>
      <c r="G200" t="s">
        <v>106</v>
      </c>
      <c r="H200" t="s">
        <v>51</v>
      </c>
      <c r="I200">
        <v>0.9</v>
      </c>
      <c r="J200" t="s">
        <v>38</v>
      </c>
      <c r="K200">
        <v>0</v>
      </c>
      <c r="L200">
        <v>2.9902423670129099E-2</v>
      </c>
      <c r="M200" t="s">
        <v>106</v>
      </c>
      <c r="N200" t="s">
        <v>53</v>
      </c>
      <c r="O200" t="s">
        <v>2846</v>
      </c>
      <c r="P200">
        <v>46.991199999999999</v>
      </c>
      <c r="Q200">
        <v>11.437200000000001</v>
      </c>
      <c r="R200">
        <v>0.243390251791825</v>
      </c>
      <c r="S200">
        <v>0.90051471320454102</v>
      </c>
      <c r="T200">
        <v>45</v>
      </c>
      <c r="U200" t="s">
        <v>2826</v>
      </c>
    </row>
    <row r="201" spans="1:21" x14ac:dyDescent="0.3">
      <c r="A201">
        <v>200</v>
      </c>
      <c r="B201" t="s">
        <v>1078</v>
      </c>
      <c r="C201" t="s">
        <v>38</v>
      </c>
      <c r="D201">
        <v>2</v>
      </c>
      <c r="E201" t="s">
        <v>38</v>
      </c>
      <c r="F201">
        <v>1</v>
      </c>
      <c r="G201" t="s">
        <v>38</v>
      </c>
      <c r="H201" t="s">
        <v>38</v>
      </c>
      <c r="I201">
        <v>0</v>
      </c>
      <c r="J201" t="s">
        <v>38</v>
      </c>
      <c r="K201">
        <v>0</v>
      </c>
      <c r="L201">
        <v>4.3160261151978799E-4</v>
      </c>
      <c r="M201" t="s">
        <v>38</v>
      </c>
      <c r="O201" t="s">
        <v>2838</v>
      </c>
      <c r="P201">
        <v>3217.4720000000002</v>
      </c>
      <c r="Q201">
        <v>3148.2664</v>
      </c>
      <c r="R201">
        <v>0.97849069082807905</v>
      </c>
      <c r="S201">
        <v>1.40766264286114E-2</v>
      </c>
      <c r="T201">
        <v>1</v>
      </c>
      <c r="U201" t="s">
        <v>2826</v>
      </c>
    </row>
    <row r="202" spans="1:21" x14ac:dyDescent="0.3">
      <c r="A202">
        <v>201</v>
      </c>
      <c r="B202" t="s">
        <v>405</v>
      </c>
      <c r="C202" t="s">
        <v>76</v>
      </c>
      <c r="D202">
        <v>57</v>
      </c>
      <c r="E202" t="s">
        <v>38</v>
      </c>
      <c r="F202">
        <v>26</v>
      </c>
      <c r="G202" t="s">
        <v>106</v>
      </c>
      <c r="H202" t="s">
        <v>51</v>
      </c>
      <c r="I202">
        <v>0.5</v>
      </c>
      <c r="J202" t="s">
        <v>38</v>
      </c>
      <c r="K202">
        <v>0</v>
      </c>
      <c r="L202">
        <v>2.3302286326322801E-2</v>
      </c>
      <c r="M202" t="s">
        <v>106</v>
      </c>
      <c r="N202" t="s">
        <v>53</v>
      </c>
      <c r="O202" t="s">
        <v>2846</v>
      </c>
      <c r="P202">
        <v>491.74959999999999</v>
      </c>
      <c r="Q202">
        <v>211.3784</v>
      </c>
      <c r="R202">
        <v>0.42984966332458602</v>
      </c>
      <c r="S202">
        <v>0.52469932827148802</v>
      </c>
      <c r="T202">
        <v>26</v>
      </c>
      <c r="U202" t="s">
        <v>2826</v>
      </c>
    </row>
    <row r="203" spans="1:21" x14ac:dyDescent="0.3">
      <c r="A203">
        <v>202</v>
      </c>
      <c r="B203" t="s">
        <v>749</v>
      </c>
      <c r="C203" t="s">
        <v>38</v>
      </c>
      <c r="D203">
        <v>3</v>
      </c>
      <c r="E203" t="s">
        <v>38</v>
      </c>
      <c r="F203">
        <v>0</v>
      </c>
      <c r="G203" t="s">
        <v>38</v>
      </c>
      <c r="H203" t="s">
        <v>38</v>
      </c>
      <c r="I203">
        <v>0</v>
      </c>
      <c r="J203" t="s">
        <v>38</v>
      </c>
      <c r="K203">
        <v>0</v>
      </c>
      <c r="L203">
        <v>4.9669028808703897E-4</v>
      </c>
      <c r="M203" t="s">
        <v>38</v>
      </c>
      <c r="O203" t="s">
        <v>2838</v>
      </c>
      <c r="P203">
        <v>1236.5136</v>
      </c>
      <c r="Q203">
        <v>1199.1376</v>
      </c>
      <c r="R203">
        <v>0.969773078112525</v>
      </c>
      <c r="S203">
        <v>8.6343828484939603E-3</v>
      </c>
      <c r="T203">
        <v>0</v>
      </c>
      <c r="U203" t="s">
        <v>2826</v>
      </c>
    </row>
    <row r="204" spans="1:21" x14ac:dyDescent="0.3">
      <c r="A204">
        <v>203</v>
      </c>
      <c r="B204" t="s">
        <v>719</v>
      </c>
      <c r="C204" t="s">
        <v>38</v>
      </c>
      <c r="D204">
        <v>9</v>
      </c>
      <c r="E204" t="s">
        <v>38</v>
      </c>
      <c r="F204">
        <v>3</v>
      </c>
      <c r="G204" t="s">
        <v>38</v>
      </c>
      <c r="H204" t="s">
        <v>38</v>
      </c>
      <c r="I204">
        <v>0.1</v>
      </c>
      <c r="J204" t="s">
        <v>38</v>
      </c>
      <c r="K204">
        <v>0</v>
      </c>
      <c r="L204">
        <v>1.28862732791599E-3</v>
      </c>
      <c r="M204" t="s">
        <v>38</v>
      </c>
      <c r="O204" t="s">
        <v>2836</v>
      </c>
      <c r="P204">
        <v>2095.8456000000001</v>
      </c>
      <c r="Q204">
        <v>1809.9880000000001</v>
      </c>
      <c r="R204">
        <v>0.86360751001886804</v>
      </c>
      <c r="S204">
        <v>5.1626229629339798E-2</v>
      </c>
      <c r="T204">
        <v>3</v>
      </c>
      <c r="U204" t="s">
        <v>2826</v>
      </c>
    </row>
    <row r="205" spans="1:21" x14ac:dyDescent="0.3">
      <c r="A205">
        <v>204</v>
      </c>
      <c r="B205" t="s">
        <v>296</v>
      </c>
      <c r="C205" t="s">
        <v>38</v>
      </c>
      <c r="D205">
        <v>15</v>
      </c>
      <c r="E205" t="s">
        <v>38</v>
      </c>
      <c r="F205">
        <v>6</v>
      </c>
      <c r="G205" t="s">
        <v>38</v>
      </c>
      <c r="H205" t="s">
        <v>38</v>
      </c>
      <c r="I205">
        <v>0.1</v>
      </c>
      <c r="J205" t="s">
        <v>38</v>
      </c>
      <c r="K205">
        <v>0</v>
      </c>
      <c r="L205">
        <v>7.5536885230692704E-3</v>
      </c>
      <c r="M205" t="s">
        <v>38</v>
      </c>
      <c r="O205" t="s">
        <v>2836</v>
      </c>
      <c r="P205">
        <v>1607.8492000000001</v>
      </c>
      <c r="Q205">
        <v>1293.4608000000001</v>
      </c>
      <c r="R205">
        <v>0.80446648852392399</v>
      </c>
      <c r="S205">
        <v>0.114728451360096</v>
      </c>
      <c r="T205">
        <v>6</v>
      </c>
      <c r="U205" t="s">
        <v>2826</v>
      </c>
    </row>
    <row r="206" spans="1:21" x14ac:dyDescent="0.3">
      <c r="A206">
        <v>205</v>
      </c>
      <c r="B206" t="s">
        <v>1595</v>
      </c>
      <c r="C206" t="s">
        <v>38</v>
      </c>
      <c r="D206">
        <v>34</v>
      </c>
      <c r="E206" t="s">
        <v>38</v>
      </c>
      <c r="F206">
        <v>14</v>
      </c>
      <c r="G206" t="s">
        <v>51</v>
      </c>
      <c r="H206" t="s">
        <v>76</v>
      </c>
      <c r="I206">
        <v>0.3</v>
      </c>
      <c r="J206" t="s">
        <v>38</v>
      </c>
      <c r="K206">
        <v>0</v>
      </c>
      <c r="L206">
        <v>2.6872514522746201E-2</v>
      </c>
      <c r="M206" t="s">
        <v>51</v>
      </c>
      <c r="N206" t="s">
        <v>108</v>
      </c>
      <c r="O206" t="s">
        <v>2853</v>
      </c>
      <c r="P206">
        <v>1049.7592</v>
      </c>
      <c r="Q206">
        <v>616.48119999999994</v>
      </c>
      <c r="R206">
        <v>0.58725963058956798</v>
      </c>
      <c r="S206">
        <v>0.28187503615698301</v>
      </c>
      <c r="T206">
        <v>14</v>
      </c>
      <c r="U206" t="s">
        <v>2826</v>
      </c>
    </row>
    <row r="207" spans="1:21" x14ac:dyDescent="0.3">
      <c r="A207">
        <v>206</v>
      </c>
      <c r="B207" t="s">
        <v>1526</v>
      </c>
      <c r="C207" t="s">
        <v>106</v>
      </c>
      <c r="D207">
        <v>90</v>
      </c>
      <c r="E207" t="s">
        <v>51</v>
      </c>
      <c r="F207">
        <v>62</v>
      </c>
      <c r="G207" t="s">
        <v>51</v>
      </c>
      <c r="H207" t="s">
        <v>38</v>
      </c>
      <c r="I207">
        <v>1.2</v>
      </c>
      <c r="J207" t="s">
        <v>38</v>
      </c>
      <c r="K207">
        <v>0</v>
      </c>
      <c r="L207">
        <v>0.129303040324319</v>
      </c>
      <c r="M207" t="s">
        <v>106</v>
      </c>
      <c r="N207" t="s">
        <v>262</v>
      </c>
      <c r="O207" t="s">
        <v>2865</v>
      </c>
      <c r="P207">
        <v>4963.7543999999998</v>
      </c>
      <c r="Q207">
        <v>486.23759999999999</v>
      </c>
      <c r="R207">
        <v>9.7957626590066599E-2</v>
      </c>
      <c r="S207">
        <v>1.23950969813145</v>
      </c>
      <c r="T207">
        <v>62</v>
      </c>
      <c r="U207" t="s">
        <v>2826</v>
      </c>
    </row>
    <row r="208" spans="1:21" x14ac:dyDescent="0.3">
      <c r="A208">
        <v>207</v>
      </c>
      <c r="B208" t="s">
        <v>1637</v>
      </c>
      <c r="C208" t="s">
        <v>38</v>
      </c>
      <c r="D208">
        <v>25</v>
      </c>
      <c r="E208" t="s">
        <v>38</v>
      </c>
      <c r="F208">
        <v>20</v>
      </c>
      <c r="G208" t="s">
        <v>106</v>
      </c>
      <c r="H208" t="s">
        <v>51</v>
      </c>
      <c r="I208">
        <v>0.4</v>
      </c>
      <c r="J208" t="s">
        <v>38</v>
      </c>
      <c r="K208">
        <v>0</v>
      </c>
      <c r="L208">
        <v>7.5846508787405804E-3</v>
      </c>
      <c r="M208" t="s">
        <v>106</v>
      </c>
      <c r="N208" t="s">
        <v>53</v>
      </c>
      <c r="O208" t="s">
        <v>2842</v>
      </c>
      <c r="P208">
        <v>354.27760000000001</v>
      </c>
      <c r="Q208">
        <v>235.792</v>
      </c>
      <c r="R208">
        <v>0.66555717889022603</v>
      </c>
      <c r="S208">
        <v>0.39325083526238303</v>
      </c>
      <c r="T208">
        <v>20</v>
      </c>
      <c r="U208" t="s">
        <v>2826</v>
      </c>
    </row>
    <row r="209" spans="1:21" x14ac:dyDescent="0.3">
      <c r="A209">
        <v>208</v>
      </c>
      <c r="B209" t="s">
        <v>2764</v>
      </c>
      <c r="C209" t="s">
        <v>38</v>
      </c>
      <c r="D209">
        <v>6</v>
      </c>
      <c r="E209" t="s">
        <v>38</v>
      </c>
      <c r="F209">
        <v>3</v>
      </c>
      <c r="G209" t="s">
        <v>51</v>
      </c>
      <c r="H209" t="s">
        <v>76</v>
      </c>
      <c r="I209">
        <v>0.1</v>
      </c>
      <c r="J209" t="s">
        <v>38</v>
      </c>
      <c r="K209">
        <v>0</v>
      </c>
      <c r="L209">
        <v>0.32253372695079602</v>
      </c>
      <c r="M209" t="s">
        <v>51</v>
      </c>
      <c r="N209" t="s">
        <v>1352</v>
      </c>
      <c r="O209" t="s">
        <v>2866</v>
      </c>
      <c r="P209">
        <v>322.87599999999998</v>
      </c>
      <c r="Q209">
        <v>305.54199999999997</v>
      </c>
      <c r="R209">
        <v>0.94631375512580695</v>
      </c>
      <c r="S209">
        <v>6.2524055423696198E-2</v>
      </c>
      <c r="T209">
        <v>3</v>
      </c>
      <c r="U209" t="s">
        <v>2826</v>
      </c>
    </row>
    <row r="210" spans="1:21" x14ac:dyDescent="0.3">
      <c r="A210">
        <v>209</v>
      </c>
      <c r="B210" t="s">
        <v>2769</v>
      </c>
      <c r="C210" t="s">
        <v>38</v>
      </c>
      <c r="D210">
        <v>4</v>
      </c>
      <c r="E210" t="s">
        <v>38</v>
      </c>
      <c r="F210">
        <v>1</v>
      </c>
      <c r="G210" t="s">
        <v>106</v>
      </c>
      <c r="H210" t="s">
        <v>51</v>
      </c>
      <c r="I210">
        <v>0</v>
      </c>
      <c r="J210" t="s">
        <v>38</v>
      </c>
      <c r="K210">
        <v>0</v>
      </c>
      <c r="L210">
        <v>0.39102362603934299</v>
      </c>
      <c r="M210" t="s">
        <v>106</v>
      </c>
      <c r="N210" t="s">
        <v>1352</v>
      </c>
      <c r="O210" t="s">
        <v>2866</v>
      </c>
      <c r="P210">
        <v>39.6004</v>
      </c>
      <c r="Q210">
        <v>39.448</v>
      </c>
      <c r="R210">
        <v>0.99615155402470701</v>
      </c>
      <c r="S210">
        <v>1.19635046818656E-2</v>
      </c>
      <c r="T210">
        <v>1</v>
      </c>
      <c r="U210" t="s">
        <v>2826</v>
      </c>
    </row>
    <row r="211" spans="1:21" x14ac:dyDescent="0.3">
      <c r="A211">
        <v>210</v>
      </c>
      <c r="B211" t="s">
        <v>2772</v>
      </c>
      <c r="C211" t="s">
        <v>38</v>
      </c>
      <c r="D211">
        <v>24</v>
      </c>
      <c r="E211" t="s">
        <v>38</v>
      </c>
      <c r="F211">
        <v>12</v>
      </c>
      <c r="G211" t="s">
        <v>51</v>
      </c>
      <c r="H211" t="s">
        <v>51</v>
      </c>
      <c r="I211">
        <v>0.2</v>
      </c>
      <c r="J211" t="s">
        <v>38</v>
      </c>
      <c r="K211">
        <v>0</v>
      </c>
      <c r="L211">
        <v>0.37315177833646901</v>
      </c>
      <c r="M211" t="s">
        <v>51</v>
      </c>
      <c r="N211" t="s">
        <v>2774</v>
      </c>
      <c r="O211" t="s">
        <v>2854</v>
      </c>
      <c r="P211">
        <v>119.0592</v>
      </c>
      <c r="Q211">
        <v>91.006399999999999</v>
      </c>
      <c r="R211">
        <v>0.76437940117185399</v>
      </c>
      <c r="S211">
        <v>0.24311283739142101</v>
      </c>
      <c r="T211">
        <v>12</v>
      </c>
      <c r="U211" t="s">
        <v>2826</v>
      </c>
    </row>
    <row r="212" spans="1:21" x14ac:dyDescent="0.3">
      <c r="A212">
        <v>211</v>
      </c>
      <c r="B212" t="s">
        <v>2775</v>
      </c>
      <c r="C212" t="s">
        <v>38</v>
      </c>
      <c r="D212">
        <v>14</v>
      </c>
      <c r="E212" t="s">
        <v>38</v>
      </c>
      <c r="F212">
        <v>6</v>
      </c>
      <c r="G212" t="s">
        <v>38</v>
      </c>
      <c r="H212" t="s">
        <v>38</v>
      </c>
      <c r="I212">
        <v>0.1</v>
      </c>
      <c r="J212" t="s">
        <v>38</v>
      </c>
      <c r="K212">
        <v>2</v>
      </c>
      <c r="L212">
        <v>0.166786173615142</v>
      </c>
      <c r="M212" t="s">
        <v>38</v>
      </c>
      <c r="O212" t="s">
        <v>2833</v>
      </c>
      <c r="P212">
        <v>41.643999999999998</v>
      </c>
      <c r="Q212">
        <v>35.144399999999997</v>
      </c>
      <c r="R212">
        <v>0.84392469503409895</v>
      </c>
      <c r="S212">
        <v>0.123757979537406</v>
      </c>
      <c r="T212">
        <v>6</v>
      </c>
      <c r="U212" t="s">
        <v>2826</v>
      </c>
    </row>
    <row r="213" spans="1:21" x14ac:dyDescent="0.3">
      <c r="A213">
        <v>212</v>
      </c>
      <c r="B213" t="s">
        <v>2778</v>
      </c>
      <c r="C213" t="s">
        <v>38</v>
      </c>
      <c r="D213">
        <v>12</v>
      </c>
      <c r="E213" t="s">
        <v>38</v>
      </c>
      <c r="F213">
        <v>10</v>
      </c>
      <c r="G213" t="s">
        <v>106</v>
      </c>
      <c r="H213" t="s">
        <v>51</v>
      </c>
      <c r="I213">
        <v>0.2</v>
      </c>
      <c r="J213" t="s">
        <v>38</v>
      </c>
      <c r="K213">
        <v>3</v>
      </c>
      <c r="L213">
        <v>0.56478328647253595</v>
      </c>
      <c r="M213" t="s">
        <v>106</v>
      </c>
      <c r="N213" t="s">
        <v>1352</v>
      </c>
      <c r="O213" t="s">
        <v>2854</v>
      </c>
      <c r="P213">
        <v>96.925200000000004</v>
      </c>
      <c r="Q213">
        <v>84.932400000000001</v>
      </c>
      <c r="R213">
        <v>0.87626747223632195</v>
      </c>
      <c r="S213">
        <v>0.19077291983585101</v>
      </c>
      <c r="T213">
        <v>10</v>
      </c>
      <c r="U213" t="s">
        <v>2826</v>
      </c>
    </row>
    <row r="214" spans="1:21" x14ac:dyDescent="0.3">
      <c r="A214">
        <v>213</v>
      </c>
      <c r="B214" t="s">
        <v>1155</v>
      </c>
      <c r="C214" t="s">
        <v>51</v>
      </c>
      <c r="D214">
        <v>74</v>
      </c>
      <c r="E214" t="s">
        <v>76</v>
      </c>
      <c r="F214">
        <v>30</v>
      </c>
      <c r="G214" t="s">
        <v>106</v>
      </c>
      <c r="H214" t="s">
        <v>51</v>
      </c>
      <c r="I214">
        <v>0.6</v>
      </c>
      <c r="J214" t="s">
        <v>38</v>
      </c>
      <c r="K214">
        <v>0</v>
      </c>
      <c r="L214">
        <v>7.0851701820076503E-3</v>
      </c>
      <c r="M214" t="s">
        <v>106</v>
      </c>
      <c r="N214" t="s">
        <v>504</v>
      </c>
      <c r="O214" t="s">
        <v>2851</v>
      </c>
      <c r="P214">
        <v>298.82440000000003</v>
      </c>
      <c r="Q214">
        <v>78.304400000000001</v>
      </c>
      <c r="R214">
        <v>0.26204152003651598</v>
      </c>
      <c r="S214">
        <v>0.59654077132595196</v>
      </c>
      <c r="T214">
        <v>30</v>
      </c>
      <c r="U214" t="s">
        <v>2826</v>
      </c>
    </row>
    <row r="215" spans="1:21" x14ac:dyDescent="0.3">
      <c r="A215">
        <v>214</v>
      </c>
      <c r="B215" t="s">
        <v>2417</v>
      </c>
      <c r="C215" t="s">
        <v>76</v>
      </c>
      <c r="D215">
        <v>55</v>
      </c>
      <c r="E215" t="s">
        <v>38</v>
      </c>
      <c r="F215">
        <v>23</v>
      </c>
      <c r="G215" t="s">
        <v>51</v>
      </c>
      <c r="H215" t="s">
        <v>76</v>
      </c>
      <c r="I215">
        <v>0.5</v>
      </c>
      <c r="J215" t="s">
        <v>38</v>
      </c>
      <c r="K215">
        <v>0</v>
      </c>
      <c r="L215">
        <v>3.3820161115939301E-2</v>
      </c>
      <c r="M215" t="s">
        <v>51</v>
      </c>
      <c r="N215" t="s">
        <v>504</v>
      </c>
      <c r="O215" t="s">
        <v>2850</v>
      </c>
      <c r="P215">
        <v>1643.4048</v>
      </c>
      <c r="Q215">
        <v>580.84879999999998</v>
      </c>
      <c r="R215">
        <v>0.35344231682906102</v>
      </c>
      <c r="S215">
        <v>0.46337211211975698</v>
      </c>
      <c r="T215">
        <v>23</v>
      </c>
      <c r="U215" t="s">
        <v>2826</v>
      </c>
    </row>
    <row r="216" spans="1:21" x14ac:dyDescent="0.3">
      <c r="A216">
        <v>215</v>
      </c>
      <c r="B216" t="s">
        <v>2422</v>
      </c>
      <c r="C216" t="s">
        <v>38</v>
      </c>
      <c r="D216">
        <v>12</v>
      </c>
      <c r="E216" t="s">
        <v>38</v>
      </c>
      <c r="F216">
        <v>5</v>
      </c>
      <c r="G216" t="s">
        <v>38</v>
      </c>
      <c r="H216" t="s">
        <v>38</v>
      </c>
      <c r="I216">
        <v>0.1</v>
      </c>
      <c r="J216" t="s">
        <v>38</v>
      </c>
      <c r="K216">
        <v>0</v>
      </c>
      <c r="L216">
        <v>1.6151957617263201E-3</v>
      </c>
      <c r="M216" t="s">
        <v>106</v>
      </c>
      <c r="N216" t="s">
        <v>108</v>
      </c>
      <c r="O216" t="s">
        <v>2836</v>
      </c>
      <c r="P216">
        <v>61.564</v>
      </c>
      <c r="Q216">
        <v>49.529600000000002</v>
      </c>
      <c r="R216">
        <v>0.804522123318823</v>
      </c>
      <c r="S216">
        <v>9.5183378486305203E-2</v>
      </c>
      <c r="T216">
        <v>5</v>
      </c>
      <c r="U216" t="s">
        <v>2860</v>
      </c>
    </row>
    <row r="217" spans="1:21" x14ac:dyDescent="0.3">
      <c r="A217">
        <v>216</v>
      </c>
      <c r="B217" t="s">
        <v>693</v>
      </c>
      <c r="C217" t="s">
        <v>38</v>
      </c>
      <c r="D217">
        <v>11</v>
      </c>
      <c r="E217" t="s">
        <v>38</v>
      </c>
      <c r="F217">
        <v>7</v>
      </c>
      <c r="G217" t="s">
        <v>51</v>
      </c>
      <c r="H217" t="s">
        <v>76</v>
      </c>
      <c r="I217">
        <v>0.1</v>
      </c>
      <c r="J217" t="s">
        <v>38</v>
      </c>
      <c r="K217">
        <v>0</v>
      </c>
      <c r="L217">
        <v>4.2029919372233798E-2</v>
      </c>
      <c r="M217" t="s">
        <v>51</v>
      </c>
      <c r="N217" t="s">
        <v>108</v>
      </c>
      <c r="O217" t="s">
        <v>2853</v>
      </c>
      <c r="P217">
        <v>342.2724</v>
      </c>
      <c r="Q217">
        <v>293.00080000000003</v>
      </c>
      <c r="R217">
        <v>0.856045652527052</v>
      </c>
      <c r="S217">
        <v>0.13217426377913599</v>
      </c>
      <c r="T217">
        <v>7</v>
      </c>
      <c r="U217" t="s">
        <v>2826</v>
      </c>
    </row>
    <row r="218" spans="1:21" x14ac:dyDescent="0.3">
      <c r="A218">
        <v>217</v>
      </c>
      <c r="B218" t="s">
        <v>1401</v>
      </c>
      <c r="C218" t="s">
        <v>76</v>
      </c>
      <c r="D218">
        <v>63</v>
      </c>
      <c r="E218" t="s">
        <v>76</v>
      </c>
      <c r="F218">
        <v>48</v>
      </c>
      <c r="G218" t="s">
        <v>51</v>
      </c>
      <c r="H218" t="s">
        <v>51</v>
      </c>
      <c r="I218">
        <v>1</v>
      </c>
      <c r="J218" t="s">
        <v>38</v>
      </c>
      <c r="K218">
        <v>20</v>
      </c>
      <c r="L218">
        <v>0.37859400149820599</v>
      </c>
      <c r="M218" t="s">
        <v>51</v>
      </c>
      <c r="N218" t="s">
        <v>1407</v>
      </c>
      <c r="O218" t="s">
        <v>2867</v>
      </c>
      <c r="P218">
        <v>394.28919999999999</v>
      </c>
      <c r="Q218">
        <v>183.1524</v>
      </c>
      <c r="R218">
        <v>0.46451284995886299</v>
      </c>
      <c r="S218">
        <v>0.96934559544667698</v>
      </c>
      <c r="T218">
        <v>48</v>
      </c>
      <c r="U218" t="s">
        <v>2826</v>
      </c>
    </row>
    <row r="219" spans="1:21" x14ac:dyDescent="0.3">
      <c r="A219">
        <v>218</v>
      </c>
      <c r="B219" t="s">
        <v>1465</v>
      </c>
      <c r="C219" t="s">
        <v>38</v>
      </c>
      <c r="D219">
        <v>19</v>
      </c>
      <c r="E219" t="s">
        <v>38</v>
      </c>
      <c r="F219">
        <v>8</v>
      </c>
      <c r="G219" t="s">
        <v>51</v>
      </c>
      <c r="H219" t="s">
        <v>51</v>
      </c>
      <c r="I219">
        <v>0.2</v>
      </c>
      <c r="J219" t="s">
        <v>38</v>
      </c>
      <c r="K219">
        <v>0</v>
      </c>
      <c r="L219">
        <v>0.411619744604585</v>
      </c>
      <c r="M219" t="s">
        <v>51</v>
      </c>
      <c r="N219" t="s">
        <v>1471</v>
      </c>
      <c r="O219" t="s">
        <v>2862</v>
      </c>
      <c r="P219">
        <v>46.828800000000001</v>
      </c>
      <c r="Q219">
        <v>37.494799999999998</v>
      </c>
      <c r="R219">
        <v>0.80067821511548398</v>
      </c>
      <c r="S219">
        <v>0.15089904866335699</v>
      </c>
      <c r="T219">
        <v>8</v>
      </c>
      <c r="U219" t="s">
        <v>2826</v>
      </c>
    </row>
    <row r="220" spans="1:21" x14ac:dyDescent="0.3">
      <c r="A220">
        <v>219</v>
      </c>
      <c r="B220" t="s">
        <v>2428</v>
      </c>
      <c r="C220" t="s">
        <v>76</v>
      </c>
      <c r="D220">
        <v>56</v>
      </c>
      <c r="E220" t="s">
        <v>38</v>
      </c>
      <c r="F220">
        <v>26</v>
      </c>
      <c r="G220" t="s">
        <v>106</v>
      </c>
      <c r="H220" t="s">
        <v>106</v>
      </c>
      <c r="I220">
        <v>0.5</v>
      </c>
      <c r="J220" t="s">
        <v>38</v>
      </c>
      <c r="K220">
        <v>0</v>
      </c>
      <c r="L220">
        <v>0.51176337335361299</v>
      </c>
      <c r="M220" t="s">
        <v>106</v>
      </c>
      <c r="N220" t="s">
        <v>2434</v>
      </c>
      <c r="O220" t="s">
        <v>2861</v>
      </c>
      <c r="P220">
        <v>27.99</v>
      </c>
      <c r="Q220">
        <v>12.3604</v>
      </c>
      <c r="R220">
        <v>0.44160057163272598</v>
      </c>
      <c r="S220">
        <v>0.52418594629534898</v>
      </c>
      <c r="T220">
        <v>26</v>
      </c>
      <c r="U220" t="s">
        <v>2826</v>
      </c>
    </row>
    <row r="221" spans="1:21" x14ac:dyDescent="0.3">
      <c r="A221">
        <v>220</v>
      </c>
      <c r="B221" t="s">
        <v>1514</v>
      </c>
      <c r="C221" t="s">
        <v>38</v>
      </c>
      <c r="D221">
        <v>16</v>
      </c>
      <c r="E221" t="s">
        <v>38</v>
      </c>
      <c r="F221">
        <v>7</v>
      </c>
      <c r="G221" t="s">
        <v>38</v>
      </c>
      <c r="H221" t="s">
        <v>38</v>
      </c>
      <c r="I221">
        <v>0.1</v>
      </c>
      <c r="J221" t="s">
        <v>38</v>
      </c>
      <c r="K221">
        <v>0</v>
      </c>
      <c r="L221">
        <v>8.4004778002837802E-2</v>
      </c>
      <c r="M221" t="s">
        <v>38</v>
      </c>
      <c r="O221" t="s">
        <v>2838</v>
      </c>
      <c r="P221">
        <v>5026.9467999999997</v>
      </c>
      <c r="Q221">
        <v>4202.9276</v>
      </c>
      <c r="R221">
        <v>0.83607958612173905</v>
      </c>
      <c r="S221">
        <v>0.138188497281063</v>
      </c>
      <c r="T221">
        <v>7</v>
      </c>
      <c r="U221" t="s">
        <v>2826</v>
      </c>
    </row>
    <row r="222" spans="1:21" x14ac:dyDescent="0.3">
      <c r="A222">
        <v>221</v>
      </c>
      <c r="B222" t="s">
        <v>1241</v>
      </c>
      <c r="C222" t="s">
        <v>38</v>
      </c>
      <c r="D222">
        <v>3</v>
      </c>
      <c r="E222" t="s">
        <v>38</v>
      </c>
      <c r="F222">
        <v>0</v>
      </c>
      <c r="G222" t="s">
        <v>38</v>
      </c>
      <c r="H222" t="s">
        <v>38</v>
      </c>
      <c r="I222">
        <v>0</v>
      </c>
      <c r="J222" t="s">
        <v>38</v>
      </c>
      <c r="K222">
        <v>0</v>
      </c>
      <c r="L222" s="18">
        <v>1.01696737423382E-6</v>
      </c>
      <c r="M222" t="s">
        <v>38</v>
      </c>
      <c r="O222" t="s">
        <v>2838</v>
      </c>
      <c r="P222">
        <v>2830.788</v>
      </c>
      <c r="Q222">
        <v>2753.2840000000001</v>
      </c>
      <c r="R222">
        <v>0.97262105109955299</v>
      </c>
      <c r="S222">
        <v>2.77693831564525E-3</v>
      </c>
      <c r="T222">
        <v>0</v>
      </c>
      <c r="U222" t="s">
        <v>2826</v>
      </c>
    </row>
    <row r="223" spans="1:21" x14ac:dyDescent="0.3">
      <c r="A223">
        <v>222</v>
      </c>
      <c r="B223" t="s">
        <v>927</v>
      </c>
      <c r="C223" t="s">
        <v>38</v>
      </c>
      <c r="D223">
        <v>3</v>
      </c>
      <c r="E223" t="s">
        <v>38</v>
      </c>
      <c r="F223">
        <v>3</v>
      </c>
      <c r="G223" t="s">
        <v>38</v>
      </c>
      <c r="H223" t="s">
        <v>38</v>
      </c>
      <c r="I223">
        <v>0.1</v>
      </c>
      <c r="J223" t="s">
        <v>38</v>
      </c>
      <c r="K223">
        <v>0</v>
      </c>
      <c r="L223">
        <v>2.6747229565194701E-2</v>
      </c>
      <c r="M223" t="s">
        <v>38</v>
      </c>
      <c r="O223" t="s">
        <v>2838</v>
      </c>
      <c r="P223">
        <v>158.3236</v>
      </c>
      <c r="Q223">
        <v>153.58600000000001</v>
      </c>
      <c r="R223">
        <v>0.97007647628022597</v>
      </c>
      <c r="S223">
        <v>5.0391343675209199E-2</v>
      </c>
      <c r="T223">
        <v>3</v>
      </c>
      <c r="U223" t="s">
        <v>2826</v>
      </c>
    </row>
    <row r="224" spans="1:21" x14ac:dyDescent="0.3">
      <c r="A224">
        <v>223</v>
      </c>
      <c r="B224" t="s">
        <v>1084</v>
      </c>
      <c r="C224" t="s">
        <v>38</v>
      </c>
      <c r="D224">
        <v>19</v>
      </c>
      <c r="E224" t="s">
        <v>38</v>
      </c>
      <c r="F224">
        <v>4</v>
      </c>
      <c r="G224" t="s">
        <v>38</v>
      </c>
      <c r="H224" t="s">
        <v>38</v>
      </c>
      <c r="I224">
        <v>0.1</v>
      </c>
      <c r="J224" t="s">
        <v>38</v>
      </c>
      <c r="K224">
        <v>0</v>
      </c>
      <c r="L224">
        <v>5.3674527718446602E-3</v>
      </c>
      <c r="M224" t="s">
        <v>38</v>
      </c>
      <c r="O224" t="s">
        <v>2838</v>
      </c>
      <c r="P224">
        <v>2966.1812</v>
      </c>
      <c r="Q224">
        <v>2409.2620000000002</v>
      </c>
      <c r="R224">
        <v>0.812243702441375</v>
      </c>
      <c r="S224">
        <v>8.8387696453626402E-2</v>
      </c>
      <c r="T224">
        <v>4</v>
      </c>
      <c r="U224" t="s">
        <v>2826</v>
      </c>
    </row>
    <row r="225" spans="1:21" x14ac:dyDescent="0.3">
      <c r="A225">
        <v>224</v>
      </c>
      <c r="B225" t="s">
        <v>2435</v>
      </c>
      <c r="C225" t="s">
        <v>38</v>
      </c>
      <c r="D225">
        <v>10</v>
      </c>
      <c r="E225" t="s">
        <v>38</v>
      </c>
      <c r="F225">
        <v>4</v>
      </c>
      <c r="G225" t="s">
        <v>38</v>
      </c>
      <c r="H225" t="s">
        <v>38</v>
      </c>
      <c r="I225">
        <v>0.1</v>
      </c>
      <c r="J225" t="s">
        <v>38</v>
      </c>
      <c r="K225">
        <v>0</v>
      </c>
      <c r="L225">
        <v>2.0671157618861499E-2</v>
      </c>
      <c r="M225" t="s">
        <v>38</v>
      </c>
      <c r="O225" t="s">
        <v>2838</v>
      </c>
      <c r="P225">
        <v>6647.0259999999998</v>
      </c>
      <c r="Q225">
        <v>5993.8588</v>
      </c>
      <c r="R225">
        <v>0.90173542272890195</v>
      </c>
      <c r="S225">
        <v>8.2778591780945293E-2</v>
      </c>
      <c r="T225">
        <v>4</v>
      </c>
      <c r="U225" t="s">
        <v>2826</v>
      </c>
    </row>
    <row r="226" spans="1:21" x14ac:dyDescent="0.3">
      <c r="A226">
        <v>225</v>
      </c>
      <c r="B226" t="s">
        <v>2720</v>
      </c>
      <c r="C226" t="s">
        <v>38</v>
      </c>
      <c r="D226">
        <v>10</v>
      </c>
      <c r="E226" t="s">
        <v>38</v>
      </c>
      <c r="F226">
        <v>2</v>
      </c>
      <c r="G226" t="s">
        <v>38</v>
      </c>
      <c r="H226" t="s">
        <v>38</v>
      </c>
      <c r="I226">
        <v>0</v>
      </c>
      <c r="J226" t="s">
        <v>38</v>
      </c>
      <c r="K226">
        <v>0</v>
      </c>
      <c r="L226">
        <v>1.04980517749062E-2</v>
      </c>
      <c r="M226" t="s">
        <v>38</v>
      </c>
      <c r="O226" t="s">
        <v>2838</v>
      </c>
      <c r="P226">
        <v>1237.5219999999999</v>
      </c>
      <c r="Q226">
        <v>1116.0927999999999</v>
      </c>
      <c r="R226">
        <v>0.90187713834582295</v>
      </c>
      <c r="S226">
        <v>3.5186615412364397E-2</v>
      </c>
      <c r="T226">
        <v>2</v>
      </c>
      <c r="U226" t="s">
        <v>2826</v>
      </c>
    </row>
    <row r="227" spans="1:21" x14ac:dyDescent="0.3">
      <c r="A227">
        <v>226</v>
      </c>
      <c r="B227" t="s">
        <v>180</v>
      </c>
      <c r="C227" t="s">
        <v>38</v>
      </c>
      <c r="D227">
        <v>0</v>
      </c>
      <c r="E227" t="s">
        <v>38</v>
      </c>
      <c r="F227">
        <v>0</v>
      </c>
      <c r="G227" t="s">
        <v>38</v>
      </c>
      <c r="H227" t="s">
        <v>38</v>
      </c>
      <c r="I227">
        <v>0</v>
      </c>
      <c r="J227" t="s">
        <v>38</v>
      </c>
      <c r="K227">
        <v>0</v>
      </c>
      <c r="L227">
        <v>1.38484100317437E-2</v>
      </c>
      <c r="M227" t="s">
        <v>38</v>
      </c>
      <c r="O227" t="s">
        <v>2838</v>
      </c>
      <c r="P227">
        <v>21.6172</v>
      </c>
      <c r="Q227">
        <v>21.547599999999999</v>
      </c>
      <c r="R227">
        <v>0.99678034157985296</v>
      </c>
      <c r="S227">
        <v>5.2201269534908005E-4</v>
      </c>
      <c r="T227">
        <v>0</v>
      </c>
      <c r="U227" t="s">
        <v>2826</v>
      </c>
    </row>
    <row r="228" spans="1:21" x14ac:dyDescent="0.3">
      <c r="A228">
        <v>227</v>
      </c>
      <c r="B228" t="s">
        <v>568</v>
      </c>
      <c r="C228" t="s">
        <v>38</v>
      </c>
      <c r="D228">
        <v>0</v>
      </c>
      <c r="E228" t="s">
        <v>38</v>
      </c>
      <c r="F228">
        <v>0</v>
      </c>
      <c r="G228" t="s">
        <v>38</v>
      </c>
      <c r="H228" t="s">
        <v>38</v>
      </c>
      <c r="I228">
        <v>0</v>
      </c>
      <c r="J228" t="s">
        <v>38</v>
      </c>
      <c r="K228">
        <v>0</v>
      </c>
      <c r="L228">
        <v>1.07762559791726E-3</v>
      </c>
      <c r="M228" t="s">
        <v>38</v>
      </c>
      <c r="O228" t="s">
        <v>2838</v>
      </c>
      <c r="P228">
        <v>1346.9464</v>
      </c>
      <c r="Q228">
        <v>1345.922</v>
      </c>
      <c r="R228">
        <v>0.99923946491115001</v>
      </c>
      <c r="S228">
        <v>1.0899503532253801E-3</v>
      </c>
      <c r="T228">
        <v>0</v>
      </c>
      <c r="U228" t="s">
        <v>2826</v>
      </c>
    </row>
    <row r="229" spans="1:21" x14ac:dyDescent="0.3">
      <c r="A229">
        <v>228</v>
      </c>
      <c r="B229" t="s">
        <v>2047</v>
      </c>
      <c r="C229" t="s">
        <v>38</v>
      </c>
      <c r="D229">
        <v>14</v>
      </c>
      <c r="E229" t="s">
        <v>38</v>
      </c>
      <c r="F229">
        <v>0</v>
      </c>
      <c r="G229" t="s">
        <v>38</v>
      </c>
      <c r="H229" t="s">
        <v>38</v>
      </c>
      <c r="I229">
        <v>0</v>
      </c>
      <c r="J229" t="s">
        <v>38</v>
      </c>
      <c r="K229">
        <v>0</v>
      </c>
      <c r="L229">
        <v>2.8162031197256898E-4</v>
      </c>
      <c r="M229" t="s">
        <v>38</v>
      </c>
      <c r="O229" t="s">
        <v>2838</v>
      </c>
      <c r="P229">
        <v>20169.288400000001</v>
      </c>
      <c r="Q229">
        <v>17291.366399999999</v>
      </c>
      <c r="R229">
        <v>0.85731167392102903</v>
      </c>
      <c r="S229">
        <v>2.2803262544050101E-3</v>
      </c>
      <c r="T229">
        <v>0</v>
      </c>
      <c r="U229" t="s">
        <v>2826</v>
      </c>
    </row>
    <row r="230" spans="1:21" x14ac:dyDescent="0.3">
      <c r="A230">
        <v>229</v>
      </c>
      <c r="B230" t="s">
        <v>411</v>
      </c>
      <c r="C230" t="s">
        <v>38</v>
      </c>
      <c r="D230">
        <v>3</v>
      </c>
      <c r="E230" t="s">
        <v>38</v>
      </c>
      <c r="F230">
        <v>1</v>
      </c>
      <c r="G230" t="s">
        <v>38</v>
      </c>
      <c r="H230" t="s">
        <v>38</v>
      </c>
      <c r="I230">
        <v>0</v>
      </c>
      <c r="J230" t="s">
        <v>38</v>
      </c>
      <c r="K230">
        <v>0</v>
      </c>
      <c r="L230">
        <v>3.9516211594492201E-3</v>
      </c>
      <c r="M230" t="s">
        <v>38</v>
      </c>
      <c r="O230" t="s">
        <v>2838</v>
      </c>
      <c r="P230">
        <v>8370.6211999999996</v>
      </c>
      <c r="Q230">
        <v>8138.5331999999999</v>
      </c>
      <c r="R230">
        <v>0.97227350342887298</v>
      </c>
      <c r="S230">
        <v>1.6774609812731701E-2</v>
      </c>
      <c r="T230">
        <v>1</v>
      </c>
      <c r="U230" t="s">
        <v>2826</v>
      </c>
    </row>
    <row r="231" spans="1:21" x14ac:dyDescent="0.3">
      <c r="A231">
        <v>230</v>
      </c>
      <c r="B231" t="s">
        <v>2441</v>
      </c>
      <c r="C231" t="s">
        <v>51</v>
      </c>
      <c r="D231">
        <v>78</v>
      </c>
      <c r="E231" t="s">
        <v>76</v>
      </c>
      <c r="F231">
        <v>31</v>
      </c>
      <c r="G231" t="s">
        <v>38</v>
      </c>
      <c r="H231" t="s">
        <v>38</v>
      </c>
      <c r="I231">
        <v>0.6</v>
      </c>
      <c r="J231" t="s">
        <v>38</v>
      </c>
      <c r="K231">
        <v>0</v>
      </c>
      <c r="L231">
        <v>1.00815066279094E-2</v>
      </c>
      <c r="M231" t="s">
        <v>51</v>
      </c>
      <c r="N231" t="s">
        <v>262</v>
      </c>
      <c r="O231" t="s">
        <v>2838</v>
      </c>
      <c r="P231">
        <v>25965.723999999998</v>
      </c>
      <c r="Q231">
        <v>5813.4168</v>
      </c>
      <c r="R231">
        <v>0.223888107260171</v>
      </c>
      <c r="S231">
        <v>0.62955403192985804</v>
      </c>
      <c r="T231">
        <v>31</v>
      </c>
      <c r="U231" t="s">
        <v>2826</v>
      </c>
    </row>
    <row r="232" spans="1:21" x14ac:dyDescent="0.3">
      <c r="A232">
        <v>231</v>
      </c>
      <c r="B232" t="s">
        <v>126</v>
      </c>
      <c r="C232" t="s">
        <v>76</v>
      </c>
      <c r="D232">
        <v>55</v>
      </c>
      <c r="E232" t="s">
        <v>38</v>
      </c>
      <c r="F232">
        <v>20</v>
      </c>
      <c r="G232" t="s">
        <v>106</v>
      </c>
      <c r="H232" t="s">
        <v>51</v>
      </c>
      <c r="I232">
        <v>0.4</v>
      </c>
      <c r="J232" t="s">
        <v>38</v>
      </c>
      <c r="K232">
        <v>0</v>
      </c>
      <c r="L232">
        <v>2.66502562764467E-2</v>
      </c>
      <c r="M232" t="s">
        <v>106</v>
      </c>
      <c r="N232" t="s">
        <v>53</v>
      </c>
      <c r="O232" t="s">
        <v>2846</v>
      </c>
      <c r="P232">
        <v>923.55679999999995</v>
      </c>
      <c r="Q232">
        <v>416.97160000000002</v>
      </c>
      <c r="R232">
        <v>0.45148452158004798</v>
      </c>
      <c r="S232">
        <v>0.40353066883208599</v>
      </c>
      <c r="T232">
        <v>20</v>
      </c>
      <c r="U232" t="s">
        <v>2826</v>
      </c>
    </row>
    <row r="233" spans="1:21" x14ac:dyDescent="0.3">
      <c r="A233">
        <v>232</v>
      </c>
      <c r="B233" t="s">
        <v>1180</v>
      </c>
      <c r="C233" t="s">
        <v>38</v>
      </c>
      <c r="D233">
        <v>33</v>
      </c>
      <c r="E233" t="s">
        <v>38</v>
      </c>
      <c r="F233">
        <v>16</v>
      </c>
      <c r="G233" t="s">
        <v>38</v>
      </c>
      <c r="H233" t="s">
        <v>38</v>
      </c>
      <c r="I233">
        <v>0.3</v>
      </c>
      <c r="J233" t="s">
        <v>38</v>
      </c>
      <c r="K233">
        <v>0</v>
      </c>
      <c r="L233">
        <v>3.5201204004182201E-3</v>
      </c>
      <c r="M233" t="s">
        <v>38</v>
      </c>
      <c r="O233" t="s">
        <v>2838</v>
      </c>
      <c r="P233">
        <v>329.49520000000001</v>
      </c>
      <c r="Q233">
        <v>221.12880000000001</v>
      </c>
      <c r="R233">
        <v>0.67111387358601904</v>
      </c>
      <c r="S233">
        <v>0.31324309214220503</v>
      </c>
      <c r="T233">
        <v>16</v>
      </c>
      <c r="U233" t="s">
        <v>2826</v>
      </c>
    </row>
    <row r="234" spans="1:21" x14ac:dyDescent="0.3">
      <c r="A234">
        <v>233</v>
      </c>
      <c r="B234" t="s">
        <v>2726</v>
      </c>
      <c r="C234" t="s">
        <v>38</v>
      </c>
      <c r="D234">
        <v>44</v>
      </c>
      <c r="E234" t="s">
        <v>38</v>
      </c>
      <c r="F234">
        <v>12</v>
      </c>
      <c r="G234" t="s">
        <v>38</v>
      </c>
      <c r="H234" t="s">
        <v>38</v>
      </c>
      <c r="I234">
        <v>0.2</v>
      </c>
      <c r="J234" t="s">
        <v>38</v>
      </c>
      <c r="K234">
        <v>0</v>
      </c>
      <c r="L234">
        <v>5.0086525588897597E-3</v>
      </c>
      <c r="M234" t="s">
        <v>38</v>
      </c>
      <c r="O234" t="s">
        <v>2838</v>
      </c>
      <c r="P234">
        <v>3766.2224000000001</v>
      </c>
      <c r="Q234">
        <v>2123.7647999999999</v>
      </c>
      <c r="R234">
        <v>0.56389787283937298</v>
      </c>
      <c r="S234">
        <v>0.247422640853663</v>
      </c>
      <c r="T234">
        <v>12</v>
      </c>
      <c r="U234" t="s">
        <v>2826</v>
      </c>
    </row>
    <row r="235" spans="1:21" x14ac:dyDescent="0.3">
      <c r="A235">
        <v>234</v>
      </c>
      <c r="B235" t="s">
        <v>1581</v>
      </c>
      <c r="C235" t="s">
        <v>76</v>
      </c>
      <c r="D235">
        <v>60</v>
      </c>
      <c r="E235" t="s">
        <v>38</v>
      </c>
      <c r="F235">
        <v>19</v>
      </c>
      <c r="G235" t="s">
        <v>76</v>
      </c>
      <c r="H235" t="s">
        <v>38</v>
      </c>
      <c r="I235">
        <v>0.4</v>
      </c>
      <c r="J235" t="s">
        <v>38</v>
      </c>
      <c r="K235">
        <v>0</v>
      </c>
      <c r="L235">
        <v>3.44975743195873E-3</v>
      </c>
      <c r="M235" t="s">
        <v>51</v>
      </c>
      <c r="N235" t="s">
        <v>53</v>
      </c>
      <c r="O235" t="s">
        <v>2868</v>
      </c>
      <c r="P235">
        <v>9187.4096000000009</v>
      </c>
      <c r="Q235">
        <v>3675.5048000000002</v>
      </c>
      <c r="R235">
        <v>0.40005888057935302</v>
      </c>
      <c r="S235">
        <v>0.38196779868439001</v>
      </c>
      <c r="T235">
        <v>19</v>
      </c>
      <c r="U235" t="s">
        <v>2860</v>
      </c>
    </row>
    <row r="236" spans="1:21" x14ac:dyDescent="0.3">
      <c r="A236">
        <v>235</v>
      </c>
      <c r="B236" t="s">
        <v>2126</v>
      </c>
      <c r="C236" t="s">
        <v>38</v>
      </c>
      <c r="D236">
        <v>36</v>
      </c>
      <c r="E236" t="s">
        <v>38</v>
      </c>
      <c r="F236">
        <v>13</v>
      </c>
      <c r="G236" t="s">
        <v>38</v>
      </c>
      <c r="H236" t="s">
        <v>38</v>
      </c>
      <c r="I236">
        <v>0.3</v>
      </c>
      <c r="J236" t="s">
        <v>38</v>
      </c>
      <c r="K236">
        <v>0</v>
      </c>
      <c r="L236">
        <v>3.0366189860875602E-3</v>
      </c>
      <c r="M236" t="s">
        <v>38</v>
      </c>
      <c r="O236" t="s">
        <v>2838</v>
      </c>
      <c r="P236">
        <v>8598.4796000000006</v>
      </c>
      <c r="Q236">
        <v>5468.9772000000003</v>
      </c>
      <c r="R236">
        <v>0.636040027355534</v>
      </c>
      <c r="S236">
        <v>0.25276585169789401</v>
      </c>
      <c r="T236">
        <v>13</v>
      </c>
      <c r="U236" t="s">
        <v>2826</v>
      </c>
    </row>
    <row r="237" spans="1:21" x14ac:dyDescent="0.3">
      <c r="A237">
        <v>236</v>
      </c>
      <c r="B237" t="s">
        <v>270</v>
      </c>
      <c r="C237" t="s">
        <v>38</v>
      </c>
      <c r="D237">
        <v>21</v>
      </c>
      <c r="E237" t="s">
        <v>38</v>
      </c>
      <c r="F237">
        <v>6</v>
      </c>
      <c r="G237" t="s">
        <v>38</v>
      </c>
      <c r="H237" t="s">
        <v>38</v>
      </c>
      <c r="I237">
        <v>0.1</v>
      </c>
      <c r="J237" t="s">
        <v>38</v>
      </c>
      <c r="K237">
        <v>0</v>
      </c>
      <c r="L237">
        <v>4.9356660364909301E-3</v>
      </c>
      <c r="M237" t="s">
        <v>38</v>
      </c>
      <c r="O237" t="s">
        <v>2838</v>
      </c>
      <c r="P237">
        <v>7163.2323999999999</v>
      </c>
      <c r="Q237">
        <v>5660.4315999999999</v>
      </c>
      <c r="R237">
        <v>0.790206331990569</v>
      </c>
      <c r="S237">
        <v>0.122440758485303</v>
      </c>
      <c r="T237">
        <v>6</v>
      </c>
      <c r="U237" t="s">
        <v>2826</v>
      </c>
    </row>
    <row r="238" spans="1:21" x14ac:dyDescent="0.3">
      <c r="A238">
        <v>237</v>
      </c>
      <c r="B238" t="s">
        <v>24</v>
      </c>
      <c r="C238" t="s">
        <v>38</v>
      </c>
      <c r="D238">
        <v>8</v>
      </c>
      <c r="E238" t="s">
        <v>38</v>
      </c>
      <c r="F238">
        <v>3</v>
      </c>
      <c r="G238" t="s">
        <v>38</v>
      </c>
      <c r="H238" t="s">
        <v>38</v>
      </c>
      <c r="I238">
        <v>0.1</v>
      </c>
      <c r="J238" t="s">
        <v>38</v>
      </c>
      <c r="K238">
        <v>0</v>
      </c>
      <c r="L238">
        <v>1.1366022168032199E-3</v>
      </c>
      <c r="M238" t="s">
        <v>38</v>
      </c>
      <c r="O238" t="s">
        <v>2838</v>
      </c>
      <c r="P238">
        <v>13392.436799999999</v>
      </c>
      <c r="Q238">
        <v>12357.1816</v>
      </c>
      <c r="R238">
        <v>0.92269851891330201</v>
      </c>
      <c r="S238">
        <v>5.5122337544690099E-2</v>
      </c>
      <c r="T238">
        <v>3</v>
      </c>
      <c r="U238" t="s">
        <v>2826</v>
      </c>
    </row>
    <row r="239" spans="1:21" x14ac:dyDescent="0.3">
      <c r="A239">
        <v>238</v>
      </c>
      <c r="B239" t="s">
        <v>1265</v>
      </c>
      <c r="C239" t="s">
        <v>38</v>
      </c>
      <c r="D239">
        <v>4</v>
      </c>
      <c r="E239" t="s">
        <v>38</v>
      </c>
      <c r="F239">
        <v>1</v>
      </c>
      <c r="G239" t="s">
        <v>38</v>
      </c>
      <c r="H239" t="s">
        <v>38</v>
      </c>
      <c r="I239">
        <v>0</v>
      </c>
      <c r="J239" t="s">
        <v>38</v>
      </c>
      <c r="K239">
        <v>0</v>
      </c>
      <c r="L239">
        <v>1.7126592644024199E-3</v>
      </c>
      <c r="M239" t="s">
        <v>38</v>
      </c>
      <c r="O239" t="s">
        <v>2838</v>
      </c>
      <c r="P239">
        <v>9677.7703999999994</v>
      </c>
      <c r="Q239">
        <v>9249.2420000000002</v>
      </c>
      <c r="R239">
        <v>0.95572033822997104</v>
      </c>
      <c r="S239">
        <v>2.9178484012046799E-2</v>
      </c>
      <c r="T239">
        <v>1</v>
      </c>
      <c r="U239" t="s">
        <v>2826</v>
      </c>
    </row>
    <row r="240" spans="1:21" x14ac:dyDescent="0.3">
      <c r="A240">
        <v>239</v>
      </c>
      <c r="B240" t="s">
        <v>581</v>
      </c>
      <c r="C240" t="s">
        <v>38</v>
      </c>
      <c r="D240">
        <v>48</v>
      </c>
      <c r="E240" t="s">
        <v>38</v>
      </c>
      <c r="F240">
        <v>14</v>
      </c>
      <c r="G240" t="s">
        <v>38</v>
      </c>
      <c r="H240" t="s">
        <v>38</v>
      </c>
      <c r="I240">
        <v>0.3</v>
      </c>
      <c r="J240" t="s">
        <v>38</v>
      </c>
      <c r="K240">
        <v>0</v>
      </c>
      <c r="L240">
        <v>1.05961852180888E-3</v>
      </c>
      <c r="M240" t="s">
        <v>38</v>
      </c>
      <c r="O240" t="s">
        <v>2838</v>
      </c>
      <c r="P240">
        <v>4949.5983999999999</v>
      </c>
      <c r="Q240">
        <v>2576.7764000000002</v>
      </c>
      <c r="R240">
        <v>0.52060312610412995</v>
      </c>
      <c r="S240">
        <v>0.27234472308673502</v>
      </c>
      <c r="T240">
        <v>14</v>
      </c>
      <c r="U240" t="s">
        <v>2826</v>
      </c>
    </row>
    <row r="241" spans="1:21" x14ac:dyDescent="0.3">
      <c r="A241">
        <v>240</v>
      </c>
      <c r="B241" t="s">
        <v>1501</v>
      </c>
      <c r="C241" t="s">
        <v>38</v>
      </c>
      <c r="D241">
        <v>35</v>
      </c>
      <c r="E241" t="s">
        <v>38</v>
      </c>
      <c r="F241">
        <v>11</v>
      </c>
      <c r="G241" t="s">
        <v>38</v>
      </c>
      <c r="H241" t="s">
        <v>38</v>
      </c>
      <c r="I241">
        <v>0.2</v>
      </c>
      <c r="J241" t="s">
        <v>38</v>
      </c>
      <c r="K241">
        <v>0</v>
      </c>
      <c r="L241">
        <v>3.7297956846482098E-3</v>
      </c>
      <c r="M241" t="s">
        <v>38</v>
      </c>
      <c r="O241" t="s">
        <v>2838</v>
      </c>
      <c r="P241">
        <v>16012.9004</v>
      </c>
      <c r="Q241">
        <v>10488.081200000001</v>
      </c>
      <c r="R241">
        <v>0.65497698343268296</v>
      </c>
      <c r="S241">
        <v>0.210468453852763</v>
      </c>
      <c r="T241">
        <v>11</v>
      </c>
      <c r="U241" t="s">
        <v>2826</v>
      </c>
    </row>
    <row r="242" spans="1:21" x14ac:dyDescent="0.3">
      <c r="A242">
        <v>241</v>
      </c>
      <c r="B242" t="s">
        <v>970</v>
      </c>
      <c r="C242" t="s">
        <v>38</v>
      </c>
      <c r="D242">
        <v>18</v>
      </c>
      <c r="E242" t="s">
        <v>38</v>
      </c>
      <c r="F242">
        <v>6</v>
      </c>
      <c r="G242" t="s">
        <v>38</v>
      </c>
      <c r="H242" t="s">
        <v>38</v>
      </c>
      <c r="I242">
        <v>0.1</v>
      </c>
      <c r="J242" t="s">
        <v>38</v>
      </c>
      <c r="K242">
        <v>0</v>
      </c>
      <c r="L242">
        <v>3.1868874525209099E-3</v>
      </c>
      <c r="M242" t="s">
        <v>38</v>
      </c>
      <c r="O242" t="s">
        <v>2838</v>
      </c>
      <c r="P242">
        <v>1571.9508000000001</v>
      </c>
      <c r="Q242">
        <v>1286.1451999999999</v>
      </c>
      <c r="R242">
        <v>0.81818413146263902</v>
      </c>
      <c r="S242">
        <v>0.116912066498799</v>
      </c>
      <c r="T242">
        <v>6</v>
      </c>
      <c r="U242" t="s">
        <v>2826</v>
      </c>
    </row>
    <row r="243" spans="1:21" x14ac:dyDescent="0.3">
      <c r="A243">
        <v>242</v>
      </c>
      <c r="B243" t="s">
        <v>1445</v>
      </c>
      <c r="C243" t="s">
        <v>38</v>
      </c>
      <c r="D243">
        <v>18</v>
      </c>
      <c r="E243" t="s">
        <v>38</v>
      </c>
      <c r="F243">
        <v>10</v>
      </c>
      <c r="G243" t="s">
        <v>38</v>
      </c>
      <c r="H243" t="s">
        <v>38</v>
      </c>
      <c r="I243">
        <v>0.2</v>
      </c>
      <c r="J243" t="s">
        <v>38</v>
      </c>
      <c r="K243">
        <v>0</v>
      </c>
      <c r="L243">
        <v>1.5678019924150299E-2</v>
      </c>
      <c r="M243" t="s">
        <v>38</v>
      </c>
      <c r="O243" t="s">
        <v>2838</v>
      </c>
      <c r="P243">
        <v>80.466800000000006</v>
      </c>
      <c r="Q243">
        <v>66.130799999999994</v>
      </c>
      <c r="R243">
        <v>0.82183956613162201</v>
      </c>
      <c r="S243">
        <v>0.20333450204430201</v>
      </c>
      <c r="T243">
        <v>10</v>
      </c>
      <c r="U243" t="s">
        <v>2826</v>
      </c>
    </row>
    <row r="244" spans="1:21" x14ac:dyDescent="0.3">
      <c r="A244">
        <v>243</v>
      </c>
      <c r="B244" t="s">
        <v>976</v>
      </c>
      <c r="C244" t="s">
        <v>38</v>
      </c>
      <c r="D244">
        <v>25</v>
      </c>
      <c r="E244" t="s">
        <v>38</v>
      </c>
      <c r="F244">
        <v>6</v>
      </c>
      <c r="G244" t="s">
        <v>38</v>
      </c>
      <c r="H244" t="s">
        <v>38</v>
      </c>
      <c r="I244">
        <v>0.1</v>
      </c>
      <c r="J244" t="s">
        <v>38</v>
      </c>
      <c r="K244">
        <v>0</v>
      </c>
      <c r="L244" s="18">
        <v>7.9366915814464695E-5</v>
      </c>
      <c r="M244" t="s">
        <v>38</v>
      </c>
      <c r="O244" t="s">
        <v>2838</v>
      </c>
      <c r="P244">
        <v>7074.3047999999999</v>
      </c>
      <c r="Q244">
        <v>5306.9971999999998</v>
      </c>
      <c r="R244">
        <v>0.75017932504123896</v>
      </c>
      <c r="S244">
        <v>0.127391698427888</v>
      </c>
      <c r="T244">
        <v>6</v>
      </c>
      <c r="U244" t="s">
        <v>2826</v>
      </c>
    </row>
    <row r="245" spans="1:21" x14ac:dyDescent="0.3">
      <c r="A245">
        <v>244</v>
      </c>
      <c r="B245" t="s">
        <v>486</v>
      </c>
      <c r="C245" t="s">
        <v>38</v>
      </c>
      <c r="D245">
        <v>34</v>
      </c>
      <c r="E245" t="s">
        <v>38</v>
      </c>
      <c r="F245">
        <v>8</v>
      </c>
      <c r="G245" t="s">
        <v>38</v>
      </c>
      <c r="H245" t="s">
        <v>38</v>
      </c>
      <c r="I245">
        <v>0.2</v>
      </c>
      <c r="J245" t="s">
        <v>38</v>
      </c>
      <c r="K245">
        <v>0</v>
      </c>
      <c r="L245">
        <v>5.9008823526066198E-3</v>
      </c>
      <c r="M245" t="s">
        <v>38</v>
      </c>
      <c r="O245" t="s">
        <v>2838</v>
      </c>
      <c r="P245">
        <v>4268.0983999999999</v>
      </c>
      <c r="Q245">
        <v>2813.2064</v>
      </c>
      <c r="R245">
        <v>0.65912407267836204</v>
      </c>
      <c r="S245">
        <v>0.150012947276632</v>
      </c>
      <c r="T245">
        <v>8</v>
      </c>
      <c r="U245" t="s">
        <v>2826</v>
      </c>
    </row>
    <row r="246" spans="1:21" x14ac:dyDescent="0.3">
      <c r="A246">
        <v>245</v>
      </c>
      <c r="B246" t="s">
        <v>864</v>
      </c>
      <c r="C246" t="s">
        <v>51</v>
      </c>
      <c r="D246">
        <v>83</v>
      </c>
      <c r="E246" t="s">
        <v>51</v>
      </c>
      <c r="F246">
        <v>67</v>
      </c>
      <c r="G246" t="s">
        <v>106</v>
      </c>
      <c r="H246" t="s">
        <v>51</v>
      </c>
      <c r="I246">
        <v>1.3</v>
      </c>
      <c r="J246" t="s">
        <v>38</v>
      </c>
      <c r="K246">
        <v>0</v>
      </c>
      <c r="L246">
        <v>6.0154021552533701E-2</v>
      </c>
      <c r="M246" t="s">
        <v>106</v>
      </c>
      <c r="N246" t="s">
        <v>53</v>
      </c>
      <c r="O246" t="s">
        <v>2846</v>
      </c>
      <c r="P246">
        <v>1093.2008000000001</v>
      </c>
      <c r="Q246">
        <v>183.14320000000001</v>
      </c>
      <c r="R246">
        <v>0.16752933221417299</v>
      </c>
      <c r="S246">
        <v>1.3395542270006899</v>
      </c>
      <c r="T246">
        <v>67</v>
      </c>
      <c r="U246" t="s">
        <v>2826</v>
      </c>
    </row>
    <row r="247" spans="1:21" x14ac:dyDescent="0.3">
      <c r="A247">
        <v>246</v>
      </c>
      <c r="B247" t="s">
        <v>254</v>
      </c>
      <c r="C247" t="s">
        <v>76</v>
      </c>
      <c r="D247">
        <v>60</v>
      </c>
      <c r="E247" t="s">
        <v>38</v>
      </c>
      <c r="F247">
        <v>25</v>
      </c>
      <c r="G247" t="s">
        <v>38</v>
      </c>
      <c r="H247" t="s">
        <v>38</v>
      </c>
      <c r="I247">
        <v>0.5</v>
      </c>
      <c r="J247" t="s">
        <v>38</v>
      </c>
      <c r="K247">
        <v>0</v>
      </c>
      <c r="L247">
        <v>2.6718125232695299E-2</v>
      </c>
      <c r="M247" t="s">
        <v>76</v>
      </c>
      <c r="N247" t="s">
        <v>262</v>
      </c>
      <c r="O247" t="s">
        <v>2838</v>
      </c>
      <c r="P247">
        <v>10508.8704</v>
      </c>
      <c r="Q247">
        <v>4209.3671999999997</v>
      </c>
      <c r="R247">
        <v>0.40055372649756898</v>
      </c>
      <c r="S247">
        <v>0.502288703849193</v>
      </c>
      <c r="T247">
        <v>25</v>
      </c>
      <c r="U247" t="s">
        <v>2826</v>
      </c>
    </row>
    <row r="248" spans="1:21" x14ac:dyDescent="0.3">
      <c r="A248">
        <v>247</v>
      </c>
      <c r="B248" t="s">
        <v>2732</v>
      </c>
      <c r="C248" t="s">
        <v>51</v>
      </c>
      <c r="D248">
        <v>71</v>
      </c>
      <c r="E248" t="s">
        <v>76</v>
      </c>
      <c r="F248">
        <v>35</v>
      </c>
      <c r="G248" t="s">
        <v>76</v>
      </c>
      <c r="H248" t="s">
        <v>38</v>
      </c>
      <c r="I248">
        <v>0.7</v>
      </c>
      <c r="J248" t="s">
        <v>38</v>
      </c>
      <c r="K248">
        <v>0</v>
      </c>
      <c r="L248">
        <v>2.6935444246774399E-2</v>
      </c>
      <c r="M248" t="s">
        <v>51</v>
      </c>
      <c r="N248" t="s">
        <v>262</v>
      </c>
      <c r="O248" t="s">
        <v>2868</v>
      </c>
      <c r="P248">
        <v>12772.3408</v>
      </c>
      <c r="Q248">
        <v>3707.4124000000002</v>
      </c>
      <c r="R248">
        <v>0.29026882840457902</v>
      </c>
      <c r="S248">
        <v>0.69961067666180998</v>
      </c>
      <c r="T248">
        <v>35</v>
      </c>
      <c r="U248" t="s">
        <v>2826</v>
      </c>
    </row>
    <row r="249" spans="1:21" x14ac:dyDescent="0.3">
      <c r="A249">
        <v>248</v>
      </c>
      <c r="B249" t="s">
        <v>1478</v>
      </c>
      <c r="C249" t="s">
        <v>38</v>
      </c>
      <c r="D249">
        <v>46</v>
      </c>
      <c r="E249" t="s">
        <v>38</v>
      </c>
      <c r="F249">
        <v>13</v>
      </c>
      <c r="G249" t="s">
        <v>38</v>
      </c>
      <c r="H249" t="s">
        <v>38</v>
      </c>
      <c r="I249">
        <v>0.3</v>
      </c>
      <c r="J249" t="s">
        <v>38</v>
      </c>
      <c r="K249">
        <v>0</v>
      </c>
      <c r="L249">
        <v>4.7984733378746399E-3</v>
      </c>
      <c r="M249" t="s">
        <v>38</v>
      </c>
      <c r="O249" t="s">
        <v>2838</v>
      </c>
      <c r="P249">
        <v>3927.0520000000001</v>
      </c>
      <c r="Q249">
        <v>2126.2595999999999</v>
      </c>
      <c r="R249">
        <v>0.54143912532861804</v>
      </c>
      <c r="S249">
        <v>0.256715961817921</v>
      </c>
      <c r="T249">
        <v>13</v>
      </c>
      <c r="U249" t="s">
        <v>2826</v>
      </c>
    </row>
    <row r="250" spans="1:21" x14ac:dyDescent="0.3">
      <c r="A250">
        <v>249</v>
      </c>
      <c r="B250" t="s">
        <v>392</v>
      </c>
      <c r="C250" t="s">
        <v>38</v>
      </c>
      <c r="D250">
        <v>21</v>
      </c>
      <c r="E250" t="s">
        <v>38</v>
      </c>
      <c r="F250">
        <v>10</v>
      </c>
      <c r="G250" t="s">
        <v>38</v>
      </c>
      <c r="H250" t="s">
        <v>38</v>
      </c>
      <c r="I250">
        <v>0.2</v>
      </c>
      <c r="J250" t="s">
        <v>38</v>
      </c>
      <c r="K250">
        <v>0</v>
      </c>
      <c r="L250">
        <v>2.3947833309673199E-2</v>
      </c>
      <c r="M250" t="s">
        <v>38</v>
      </c>
      <c r="O250" t="s">
        <v>2838</v>
      </c>
      <c r="P250">
        <v>3750.41</v>
      </c>
      <c r="Q250">
        <v>2950.1124</v>
      </c>
      <c r="R250">
        <v>0.78661063723699498</v>
      </c>
      <c r="S250">
        <v>0.19322279392150901</v>
      </c>
      <c r="T250">
        <v>10</v>
      </c>
      <c r="U250" t="s">
        <v>2826</v>
      </c>
    </row>
    <row r="251" spans="1:21" x14ac:dyDescent="0.3">
      <c r="A251">
        <v>250</v>
      </c>
      <c r="B251" t="s">
        <v>2133</v>
      </c>
      <c r="C251" t="s">
        <v>76</v>
      </c>
      <c r="D251">
        <v>53</v>
      </c>
      <c r="E251" t="s">
        <v>76</v>
      </c>
      <c r="F251">
        <v>39</v>
      </c>
      <c r="G251" t="s">
        <v>51</v>
      </c>
      <c r="H251" t="s">
        <v>38</v>
      </c>
      <c r="I251">
        <v>0.8</v>
      </c>
      <c r="J251" t="s">
        <v>38</v>
      </c>
      <c r="K251">
        <v>0</v>
      </c>
      <c r="L251">
        <v>4.9426111966527297E-2</v>
      </c>
      <c r="M251" t="s">
        <v>51</v>
      </c>
      <c r="N251" t="s">
        <v>53</v>
      </c>
      <c r="O251" t="s">
        <v>2868</v>
      </c>
      <c r="P251">
        <v>4216.8495999999996</v>
      </c>
      <c r="Q251">
        <v>1967.0735999999999</v>
      </c>
      <c r="R251">
        <v>0.46647943052083202</v>
      </c>
      <c r="S251">
        <v>0.78257216589364398</v>
      </c>
      <c r="T251">
        <v>39</v>
      </c>
      <c r="U251" t="s">
        <v>2826</v>
      </c>
    </row>
    <row r="252" spans="1:21" x14ac:dyDescent="0.3">
      <c r="A252">
        <v>251</v>
      </c>
      <c r="B252" t="s">
        <v>876</v>
      </c>
      <c r="C252" t="s">
        <v>38</v>
      </c>
      <c r="D252">
        <v>45</v>
      </c>
      <c r="E252" t="s">
        <v>38</v>
      </c>
      <c r="F252">
        <v>17</v>
      </c>
      <c r="G252" t="s">
        <v>38</v>
      </c>
      <c r="H252" t="s">
        <v>38</v>
      </c>
      <c r="I252">
        <v>0.3</v>
      </c>
      <c r="J252" t="s">
        <v>38</v>
      </c>
      <c r="K252">
        <v>0</v>
      </c>
      <c r="L252">
        <v>2.7035797195190701E-2</v>
      </c>
      <c r="M252" t="s">
        <v>51</v>
      </c>
      <c r="N252" t="s">
        <v>53</v>
      </c>
      <c r="O252" t="s">
        <v>2838</v>
      </c>
      <c r="P252">
        <v>9654.2360000000008</v>
      </c>
      <c r="Q252">
        <v>5328.8756000000003</v>
      </c>
      <c r="R252">
        <v>0.55197279204693195</v>
      </c>
      <c r="S252">
        <v>0.33826399411109598</v>
      </c>
      <c r="T252">
        <v>17</v>
      </c>
      <c r="U252" t="s">
        <v>2860</v>
      </c>
    </row>
    <row r="253" spans="1:21" x14ac:dyDescent="0.3">
      <c r="A253">
        <v>252</v>
      </c>
      <c r="B253" t="s">
        <v>237</v>
      </c>
      <c r="C253" t="s">
        <v>38</v>
      </c>
      <c r="D253">
        <v>38</v>
      </c>
      <c r="E253" t="s">
        <v>38</v>
      </c>
      <c r="F253">
        <v>11</v>
      </c>
      <c r="G253" t="s">
        <v>38</v>
      </c>
      <c r="H253" t="s">
        <v>38</v>
      </c>
      <c r="I253">
        <v>0.2</v>
      </c>
      <c r="J253" t="s">
        <v>38</v>
      </c>
      <c r="K253">
        <v>0</v>
      </c>
      <c r="L253">
        <v>1.8313444298614701E-2</v>
      </c>
      <c r="M253" t="s">
        <v>38</v>
      </c>
      <c r="O253" t="s">
        <v>2838</v>
      </c>
      <c r="P253">
        <v>1291.3936000000001</v>
      </c>
      <c r="Q253">
        <v>805.20079999999996</v>
      </c>
      <c r="R253">
        <v>0.623513079203738</v>
      </c>
      <c r="S253">
        <v>0.22188273875397199</v>
      </c>
      <c r="T253">
        <v>11</v>
      </c>
      <c r="U253" t="s">
        <v>2826</v>
      </c>
    </row>
    <row r="254" spans="1:21" x14ac:dyDescent="0.3">
      <c r="A254">
        <v>253</v>
      </c>
      <c r="B254" t="s">
        <v>341</v>
      </c>
      <c r="C254" t="s">
        <v>38</v>
      </c>
      <c r="D254">
        <v>39</v>
      </c>
      <c r="E254" t="s">
        <v>38</v>
      </c>
      <c r="F254">
        <v>8</v>
      </c>
      <c r="G254" t="s">
        <v>38</v>
      </c>
      <c r="H254" t="s">
        <v>38</v>
      </c>
      <c r="I254">
        <v>0.2</v>
      </c>
      <c r="J254" t="s">
        <v>38</v>
      </c>
      <c r="K254">
        <v>0</v>
      </c>
      <c r="L254">
        <v>3.4786608199450897E-2</v>
      </c>
      <c r="M254" t="s">
        <v>38</v>
      </c>
      <c r="O254" t="s">
        <v>2838</v>
      </c>
      <c r="P254">
        <v>1380.8520000000001</v>
      </c>
      <c r="Q254">
        <v>847.0616</v>
      </c>
      <c r="R254">
        <v>0.61343402479049203</v>
      </c>
      <c r="S254">
        <v>0.16088082820327201</v>
      </c>
      <c r="T254">
        <v>8</v>
      </c>
      <c r="U254" t="s">
        <v>2826</v>
      </c>
    </row>
    <row r="255" spans="1:21" x14ac:dyDescent="0.3">
      <c r="A255">
        <v>254</v>
      </c>
      <c r="B255" t="s">
        <v>429</v>
      </c>
      <c r="C255" t="s">
        <v>38</v>
      </c>
      <c r="D255">
        <v>25</v>
      </c>
      <c r="E255" t="s">
        <v>38</v>
      </c>
      <c r="F255">
        <v>1</v>
      </c>
      <c r="G255" t="s">
        <v>38</v>
      </c>
      <c r="H255" t="s">
        <v>38</v>
      </c>
      <c r="I255">
        <v>0</v>
      </c>
      <c r="J255" t="s">
        <v>38</v>
      </c>
      <c r="K255">
        <v>0</v>
      </c>
      <c r="L255">
        <v>1.5464872828453999E-3</v>
      </c>
      <c r="M255" t="s">
        <v>38</v>
      </c>
      <c r="O255" t="s">
        <v>2838</v>
      </c>
      <c r="P255">
        <v>3737.0288</v>
      </c>
      <c r="Q255">
        <v>2818.7752</v>
      </c>
      <c r="R255">
        <v>0.75428243956803298</v>
      </c>
      <c r="S255">
        <v>1.0209019474443999E-2</v>
      </c>
      <c r="T255">
        <v>1</v>
      </c>
      <c r="U255" t="s">
        <v>2826</v>
      </c>
    </row>
    <row r="256" spans="1:21" x14ac:dyDescent="0.3">
      <c r="A256">
        <v>255</v>
      </c>
      <c r="B256" t="s">
        <v>347</v>
      </c>
      <c r="C256" t="s">
        <v>38</v>
      </c>
      <c r="D256">
        <v>10</v>
      </c>
      <c r="E256" t="s">
        <v>38</v>
      </c>
      <c r="F256">
        <v>8</v>
      </c>
      <c r="G256" t="s">
        <v>38</v>
      </c>
      <c r="H256" t="s">
        <v>38</v>
      </c>
      <c r="I256">
        <v>0.2</v>
      </c>
      <c r="J256" t="s">
        <v>38</v>
      </c>
      <c r="K256">
        <v>0</v>
      </c>
      <c r="L256" t="s">
        <v>2840</v>
      </c>
      <c r="M256" t="s">
        <v>38</v>
      </c>
      <c r="O256" t="s">
        <v>2848</v>
      </c>
      <c r="P256">
        <v>20.3384</v>
      </c>
      <c r="Q256">
        <v>18.378399999999999</v>
      </c>
      <c r="R256">
        <v>0.90363057074302799</v>
      </c>
      <c r="S256">
        <v>0.16913278435409199</v>
      </c>
      <c r="T256">
        <v>8</v>
      </c>
      <c r="U256" t="s">
        <v>2826</v>
      </c>
    </row>
    <row r="257" spans="1:21" x14ac:dyDescent="0.3">
      <c r="A257">
        <v>256</v>
      </c>
      <c r="B257" t="s">
        <v>1625</v>
      </c>
      <c r="C257" t="s">
        <v>38</v>
      </c>
      <c r="D257">
        <v>23</v>
      </c>
      <c r="E257" t="s">
        <v>38</v>
      </c>
      <c r="F257">
        <v>7</v>
      </c>
      <c r="G257" t="s">
        <v>38</v>
      </c>
      <c r="H257" t="s">
        <v>38</v>
      </c>
      <c r="I257">
        <v>0.1</v>
      </c>
      <c r="J257" t="s">
        <v>38</v>
      </c>
      <c r="K257">
        <v>0</v>
      </c>
      <c r="L257">
        <v>1.18499950866774E-2</v>
      </c>
      <c r="M257" t="s">
        <v>38</v>
      </c>
      <c r="O257" t="s">
        <v>2838</v>
      </c>
      <c r="P257">
        <v>1551.0771999999999</v>
      </c>
      <c r="Q257">
        <v>1192.6756</v>
      </c>
      <c r="R257">
        <v>0.768933744883878</v>
      </c>
      <c r="S257">
        <v>0.140974388585238</v>
      </c>
      <c r="T257">
        <v>7</v>
      </c>
      <c r="U257" t="s">
        <v>2826</v>
      </c>
    </row>
    <row r="258" spans="1:21" x14ac:dyDescent="0.3">
      <c r="A258">
        <v>257</v>
      </c>
      <c r="B258" t="s">
        <v>1607</v>
      </c>
      <c r="C258" t="s">
        <v>76</v>
      </c>
      <c r="D258">
        <v>50</v>
      </c>
      <c r="E258" t="s">
        <v>38</v>
      </c>
      <c r="F258">
        <v>17</v>
      </c>
      <c r="G258" t="s">
        <v>38</v>
      </c>
      <c r="H258" t="s">
        <v>38</v>
      </c>
      <c r="I258">
        <v>0.3</v>
      </c>
      <c r="J258" t="s">
        <v>38</v>
      </c>
      <c r="K258">
        <v>0</v>
      </c>
      <c r="L258">
        <v>4.26054997926643E-2</v>
      </c>
      <c r="M258" t="s">
        <v>51</v>
      </c>
      <c r="N258" t="s">
        <v>53</v>
      </c>
      <c r="O258" t="s">
        <v>2869</v>
      </c>
      <c r="P258">
        <v>939.17439999999999</v>
      </c>
      <c r="Q258">
        <v>352.08600000000001</v>
      </c>
      <c r="R258">
        <v>0.37488883853733701</v>
      </c>
      <c r="S258">
        <v>0.34316602076460501</v>
      </c>
      <c r="T258">
        <v>17</v>
      </c>
      <c r="U258" t="s">
        <v>2860</v>
      </c>
    </row>
    <row r="259" spans="1:21" x14ac:dyDescent="0.3">
      <c r="A259">
        <v>258</v>
      </c>
      <c r="B259" t="s">
        <v>322</v>
      </c>
      <c r="C259" t="s">
        <v>38</v>
      </c>
      <c r="D259">
        <v>45</v>
      </c>
      <c r="E259" t="s">
        <v>38</v>
      </c>
      <c r="F259">
        <v>7</v>
      </c>
      <c r="G259" t="s">
        <v>38</v>
      </c>
      <c r="H259" t="s">
        <v>38</v>
      </c>
      <c r="I259">
        <v>0.1</v>
      </c>
      <c r="J259" t="s">
        <v>38</v>
      </c>
      <c r="K259">
        <v>0</v>
      </c>
      <c r="L259">
        <v>3.54583680579868E-2</v>
      </c>
      <c r="M259" t="s">
        <v>38</v>
      </c>
      <c r="O259" t="s">
        <v>2838</v>
      </c>
      <c r="P259">
        <v>1373.9431999999999</v>
      </c>
      <c r="Q259">
        <v>759.78679999999997</v>
      </c>
      <c r="R259">
        <v>0.55299724180737597</v>
      </c>
      <c r="S259">
        <v>0.13781396900708001</v>
      </c>
      <c r="T259">
        <v>7</v>
      </c>
      <c r="U259" t="s">
        <v>2826</v>
      </c>
    </row>
    <row r="260" spans="1:21" x14ac:dyDescent="0.3">
      <c r="A260">
        <v>259</v>
      </c>
      <c r="B260" t="s">
        <v>284</v>
      </c>
      <c r="C260" t="s">
        <v>38</v>
      </c>
      <c r="D260">
        <v>7</v>
      </c>
      <c r="E260" t="s">
        <v>38</v>
      </c>
      <c r="F260">
        <v>1</v>
      </c>
      <c r="G260" t="s">
        <v>38</v>
      </c>
      <c r="H260" t="s">
        <v>38</v>
      </c>
      <c r="I260">
        <v>0</v>
      </c>
      <c r="J260" t="s">
        <v>38</v>
      </c>
      <c r="K260">
        <v>0</v>
      </c>
      <c r="L260">
        <v>1.56008914795131E-2</v>
      </c>
      <c r="M260" t="s">
        <v>38</v>
      </c>
      <c r="O260" t="s">
        <v>2838</v>
      </c>
      <c r="P260">
        <v>10.001200000000001</v>
      </c>
      <c r="Q260">
        <v>9.3328000000000007</v>
      </c>
      <c r="R260">
        <v>0.93316801983761899</v>
      </c>
      <c r="S260">
        <v>2.3528223233655301E-2</v>
      </c>
      <c r="T260">
        <v>1</v>
      </c>
      <c r="U260" t="s">
        <v>2826</v>
      </c>
    </row>
    <row r="261" spans="1:21" x14ac:dyDescent="0.3">
      <c r="A261">
        <v>260</v>
      </c>
      <c r="B261" t="s">
        <v>455</v>
      </c>
      <c r="C261" t="s">
        <v>51</v>
      </c>
      <c r="D261">
        <v>76</v>
      </c>
      <c r="E261" t="s">
        <v>76</v>
      </c>
      <c r="F261">
        <v>32</v>
      </c>
      <c r="G261" t="s">
        <v>106</v>
      </c>
      <c r="H261" t="s">
        <v>51</v>
      </c>
      <c r="I261">
        <v>0.6</v>
      </c>
      <c r="J261" t="s">
        <v>38</v>
      </c>
      <c r="K261">
        <v>0</v>
      </c>
      <c r="L261">
        <v>0.201011319533036</v>
      </c>
      <c r="M261" t="s">
        <v>106</v>
      </c>
      <c r="N261" t="s">
        <v>53</v>
      </c>
      <c r="O261" t="s">
        <v>2846</v>
      </c>
      <c r="P261">
        <v>430.63440000000003</v>
      </c>
      <c r="Q261">
        <v>103.7852</v>
      </c>
      <c r="R261">
        <v>0.241005363250126</v>
      </c>
      <c r="S261">
        <v>0.63449311197456704</v>
      </c>
      <c r="T261">
        <v>32</v>
      </c>
      <c r="U261" t="s">
        <v>2826</v>
      </c>
    </row>
    <row r="262" spans="1:21" x14ac:dyDescent="0.3">
      <c r="A262">
        <v>261</v>
      </c>
      <c r="B262" t="s">
        <v>461</v>
      </c>
      <c r="C262" t="s">
        <v>38</v>
      </c>
      <c r="D262">
        <v>7</v>
      </c>
      <c r="E262" t="s">
        <v>38</v>
      </c>
      <c r="F262">
        <v>2</v>
      </c>
      <c r="G262" t="s">
        <v>38</v>
      </c>
      <c r="H262" t="s">
        <v>38</v>
      </c>
      <c r="I262">
        <v>0</v>
      </c>
      <c r="J262" t="s">
        <v>38</v>
      </c>
      <c r="K262">
        <v>0</v>
      </c>
      <c r="L262">
        <v>3.9682736275767801E-2</v>
      </c>
      <c r="M262" t="s">
        <v>38</v>
      </c>
      <c r="O262" t="s">
        <v>2838</v>
      </c>
      <c r="P262">
        <v>260.57960000000003</v>
      </c>
      <c r="Q262">
        <v>242.22120000000001</v>
      </c>
      <c r="R262">
        <v>0.92954782339062603</v>
      </c>
      <c r="S262">
        <v>4.01479621279551E-2</v>
      </c>
      <c r="T262">
        <v>2</v>
      </c>
      <c r="U262" t="s">
        <v>2826</v>
      </c>
    </row>
    <row r="263" spans="1:21" x14ac:dyDescent="0.3">
      <c r="A263">
        <v>262</v>
      </c>
      <c r="B263" t="s">
        <v>2738</v>
      </c>
      <c r="C263" t="s">
        <v>38</v>
      </c>
      <c r="D263">
        <v>3</v>
      </c>
      <c r="E263" t="s">
        <v>38</v>
      </c>
      <c r="F263">
        <v>1</v>
      </c>
      <c r="G263" t="s">
        <v>38</v>
      </c>
      <c r="H263" t="s">
        <v>38</v>
      </c>
      <c r="I263">
        <v>0</v>
      </c>
      <c r="J263" t="s">
        <v>38</v>
      </c>
      <c r="K263">
        <v>0</v>
      </c>
      <c r="L263">
        <v>1.53815519406917E-2</v>
      </c>
      <c r="M263" t="s">
        <v>38</v>
      </c>
      <c r="O263" t="s">
        <v>2838</v>
      </c>
      <c r="P263">
        <v>268.06639999999999</v>
      </c>
      <c r="Q263">
        <v>261.14400000000001</v>
      </c>
      <c r="R263">
        <v>0.97417654730320602</v>
      </c>
      <c r="S263">
        <v>1.54889713951274E-2</v>
      </c>
      <c r="T263">
        <v>1</v>
      </c>
      <c r="U263" t="s">
        <v>2826</v>
      </c>
    </row>
    <row r="264" spans="1:21" x14ac:dyDescent="0.3">
      <c r="A264">
        <v>263</v>
      </c>
      <c r="B264" t="s">
        <v>373</v>
      </c>
      <c r="C264" t="s">
        <v>38</v>
      </c>
      <c r="D264">
        <v>2</v>
      </c>
      <c r="E264" t="s">
        <v>38</v>
      </c>
      <c r="F264">
        <v>1</v>
      </c>
      <c r="G264" t="s">
        <v>38</v>
      </c>
      <c r="H264" t="s">
        <v>38</v>
      </c>
      <c r="I264">
        <v>0</v>
      </c>
      <c r="J264" t="s">
        <v>38</v>
      </c>
      <c r="K264">
        <v>0</v>
      </c>
      <c r="L264">
        <v>2.6484337454672501E-2</v>
      </c>
      <c r="M264" t="s">
        <v>38</v>
      </c>
      <c r="O264" t="s">
        <v>2838</v>
      </c>
      <c r="P264">
        <v>93.875600000000006</v>
      </c>
      <c r="Q264">
        <v>91.555999999999997</v>
      </c>
      <c r="R264">
        <v>0.97529070386767203</v>
      </c>
      <c r="S264">
        <v>1.4215912253844699E-2</v>
      </c>
      <c r="T264">
        <v>1</v>
      </c>
      <c r="U264" t="s">
        <v>2826</v>
      </c>
    </row>
    <row r="265" spans="1:21" x14ac:dyDescent="0.3">
      <c r="A265">
        <v>264</v>
      </c>
      <c r="B265" t="s">
        <v>435</v>
      </c>
      <c r="C265" t="s">
        <v>38</v>
      </c>
      <c r="D265">
        <v>4</v>
      </c>
      <c r="E265" t="s">
        <v>38</v>
      </c>
      <c r="F265">
        <v>1</v>
      </c>
      <c r="G265" t="s">
        <v>38</v>
      </c>
      <c r="H265" t="s">
        <v>38</v>
      </c>
      <c r="I265">
        <v>0</v>
      </c>
      <c r="J265" t="s">
        <v>38</v>
      </c>
      <c r="K265">
        <v>0</v>
      </c>
      <c r="L265">
        <v>2.89630895659674E-3</v>
      </c>
      <c r="M265" t="s">
        <v>38</v>
      </c>
      <c r="O265" t="s">
        <v>2838</v>
      </c>
      <c r="P265">
        <v>523.22199999999998</v>
      </c>
      <c r="Q265">
        <v>502.7088</v>
      </c>
      <c r="R265">
        <v>0.96079446200656704</v>
      </c>
      <c r="S265">
        <v>2.4544177447125299E-2</v>
      </c>
      <c r="T265">
        <v>1</v>
      </c>
      <c r="U265" t="s">
        <v>2826</v>
      </c>
    </row>
    <row r="266" spans="1:21" x14ac:dyDescent="0.3">
      <c r="A266">
        <v>265</v>
      </c>
      <c r="B266" t="s">
        <v>1790</v>
      </c>
      <c r="C266" t="s">
        <v>76</v>
      </c>
      <c r="D266">
        <v>60</v>
      </c>
      <c r="E266" t="s">
        <v>38</v>
      </c>
      <c r="F266">
        <v>21</v>
      </c>
      <c r="G266" t="s">
        <v>76</v>
      </c>
      <c r="H266" t="s">
        <v>38</v>
      </c>
      <c r="I266">
        <v>0.4</v>
      </c>
      <c r="J266" t="s">
        <v>38</v>
      </c>
      <c r="K266">
        <v>0</v>
      </c>
      <c r="L266">
        <v>1.82845495915448E-2</v>
      </c>
      <c r="M266" t="s">
        <v>76</v>
      </c>
      <c r="N266" t="s">
        <v>1796</v>
      </c>
      <c r="O266" t="s">
        <v>2868</v>
      </c>
      <c r="P266">
        <v>15063.9784</v>
      </c>
      <c r="Q266">
        <v>6008.3951999999999</v>
      </c>
      <c r="R266">
        <v>0.39885845826757199</v>
      </c>
      <c r="S266">
        <v>0.41892212369688098</v>
      </c>
      <c r="T266">
        <v>21</v>
      </c>
      <c r="U266" t="s">
        <v>2826</v>
      </c>
    </row>
    <row r="267" spans="1:21" x14ac:dyDescent="0.3">
      <c r="A267">
        <v>266</v>
      </c>
      <c r="B267" t="s">
        <v>2490</v>
      </c>
      <c r="C267" t="s">
        <v>38</v>
      </c>
      <c r="D267">
        <v>22</v>
      </c>
      <c r="E267" t="s">
        <v>38</v>
      </c>
      <c r="F267">
        <v>17</v>
      </c>
      <c r="G267" t="s">
        <v>38</v>
      </c>
      <c r="H267" t="s">
        <v>38</v>
      </c>
      <c r="I267">
        <v>0.3</v>
      </c>
      <c r="J267" t="s">
        <v>38</v>
      </c>
      <c r="K267">
        <v>0</v>
      </c>
      <c r="L267">
        <v>4.1134888004231401E-2</v>
      </c>
      <c r="M267" t="s">
        <v>38</v>
      </c>
      <c r="O267" t="s">
        <v>2869</v>
      </c>
      <c r="P267">
        <v>3858.6324</v>
      </c>
      <c r="Q267">
        <v>2611.3308000000002</v>
      </c>
      <c r="R267">
        <v>0.67675034294533998</v>
      </c>
      <c r="S267">
        <v>0.33149858093128198</v>
      </c>
      <c r="T267">
        <v>17</v>
      </c>
      <c r="U267" t="s">
        <v>2826</v>
      </c>
    </row>
    <row r="268" spans="1:21" x14ac:dyDescent="0.3">
      <c r="A268">
        <v>267</v>
      </c>
      <c r="B268" t="s">
        <v>2495</v>
      </c>
      <c r="C268" t="s">
        <v>38</v>
      </c>
      <c r="D268">
        <v>39</v>
      </c>
      <c r="E268" t="s">
        <v>38</v>
      </c>
      <c r="F268">
        <v>12</v>
      </c>
      <c r="G268" t="s">
        <v>38</v>
      </c>
      <c r="H268" t="s">
        <v>38</v>
      </c>
      <c r="I268">
        <v>0.2</v>
      </c>
      <c r="J268" t="s">
        <v>38</v>
      </c>
      <c r="K268">
        <v>0</v>
      </c>
      <c r="L268">
        <v>2.29169713011898E-2</v>
      </c>
      <c r="M268" t="s">
        <v>38</v>
      </c>
      <c r="O268" t="s">
        <v>2869</v>
      </c>
      <c r="P268">
        <v>1048.1812</v>
      </c>
      <c r="Q268">
        <v>536.16160000000002</v>
      </c>
      <c r="R268">
        <v>0.51151613862183398</v>
      </c>
      <c r="S268">
        <v>0.24283322255387199</v>
      </c>
      <c r="T268">
        <v>12</v>
      </c>
      <c r="U268" t="s">
        <v>2826</v>
      </c>
    </row>
    <row r="269" spans="1:21" x14ac:dyDescent="0.3">
      <c r="A269">
        <v>268</v>
      </c>
      <c r="B269" t="s">
        <v>1408</v>
      </c>
      <c r="C269" t="s">
        <v>38</v>
      </c>
      <c r="D269">
        <v>48</v>
      </c>
      <c r="E269" t="s">
        <v>38</v>
      </c>
      <c r="F269">
        <v>13</v>
      </c>
      <c r="G269" t="s">
        <v>38</v>
      </c>
      <c r="H269" t="s">
        <v>38</v>
      </c>
      <c r="I269">
        <v>0.3</v>
      </c>
      <c r="J269" t="s">
        <v>38</v>
      </c>
      <c r="K269">
        <v>0</v>
      </c>
      <c r="L269">
        <v>1.2200590931213499E-2</v>
      </c>
      <c r="M269" t="s">
        <v>38</v>
      </c>
      <c r="O269" t="s">
        <v>2838</v>
      </c>
      <c r="P269">
        <v>14254.748</v>
      </c>
      <c r="Q269">
        <v>7447.7704000000003</v>
      </c>
      <c r="R269">
        <v>0.52247646889303101</v>
      </c>
      <c r="S269">
        <v>0.26377637742260601</v>
      </c>
      <c r="T269">
        <v>13</v>
      </c>
      <c r="U269" t="s">
        <v>2826</v>
      </c>
    </row>
    <row r="270" spans="1:21" x14ac:dyDescent="0.3">
      <c r="A270">
        <v>269</v>
      </c>
      <c r="B270" t="s">
        <v>621</v>
      </c>
      <c r="C270" t="s">
        <v>38</v>
      </c>
      <c r="D270">
        <v>29</v>
      </c>
      <c r="E270" t="s">
        <v>38</v>
      </c>
      <c r="F270">
        <v>4</v>
      </c>
      <c r="G270" t="s">
        <v>38</v>
      </c>
      <c r="H270" t="s">
        <v>38</v>
      </c>
      <c r="I270">
        <v>0.1</v>
      </c>
      <c r="J270" t="s">
        <v>38</v>
      </c>
      <c r="K270">
        <v>0</v>
      </c>
      <c r="L270">
        <v>2.9866976133547302E-2</v>
      </c>
      <c r="M270" t="s">
        <v>38</v>
      </c>
      <c r="O270" t="s">
        <v>2838</v>
      </c>
      <c r="P270">
        <v>3469.5508</v>
      </c>
      <c r="Q270">
        <v>2462.3852000000002</v>
      </c>
      <c r="R270">
        <v>0.70971296918321503</v>
      </c>
      <c r="S270">
        <v>7.3928462786774299E-2</v>
      </c>
      <c r="T270">
        <v>4</v>
      </c>
      <c r="U270" t="s">
        <v>2826</v>
      </c>
    </row>
    <row r="271" spans="1:21" x14ac:dyDescent="0.3">
      <c r="A271">
        <v>270</v>
      </c>
      <c r="B271" t="s">
        <v>2139</v>
      </c>
      <c r="C271" t="s">
        <v>38</v>
      </c>
      <c r="D271">
        <v>45</v>
      </c>
      <c r="E271" t="s">
        <v>38</v>
      </c>
      <c r="F271">
        <v>15</v>
      </c>
      <c r="G271" t="s">
        <v>38</v>
      </c>
      <c r="H271" t="s">
        <v>38</v>
      </c>
      <c r="I271">
        <v>0.3</v>
      </c>
      <c r="J271" t="s">
        <v>38</v>
      </c>
      <c r="K271">
        <v>0</v>
      </c>
      <c r="L271">
        <v>1.07469775177885E-3</v>
      </c>
      <c r="M271" t="s">
        <v>38</v>
      </c>
      <c r="O271" t="s">
        <v>2838</v>
      </c>
      <c r="P271">
        <v>9891.6532000000007</v>
      </c>
      <c r="Q271">
        <v>5464.9784</v>
      </c>
      <c r="R271">
        <v>0.55248382545397001</v>
      </c>
      <c r="S271">
        <v>0.29211197941669398</v>
      </c>
      <c r="T271">
        <v>15</v>
      </c>
      <c r="U271" t="s">
        <v>2826</v>
      </c>
    </row>
    <row r="272" spans="1:21" x14ac:dyDescent="0.3">
      <c r="A272">
        <v>271</v>
      </c>
      <c r="B272" t="s">
        <v>2145</v>
      </c>
      <c r="C272" t="s">
        <v>38</v>
      </c>
      <c r="D272">
        <v>8</v>
      </c>
      <c r="E272" t="s">
        <v>38</v>
      </c>
      <c r="F272">
        <v>3</v>
      </c>
      <c r="G272" t="s">
        <v>38</v>
      </c>
      <c r="H272" t="s">
        <v>38</v>
      </c>
      <c r="I272">
        <v>0.1</v>
      </c>
      <c r="J272" t="s">
        <v>38</v>
      </c>
      <c r="K272">
        <v>0</v>
      </c>
      <c r="L272">
        <v>1.7378962765572301E-4</v>
      </c>
      <c r="M272" t="s">
        <v>38</v>
      </c>
      <c r="O272" t="s">
        <v>2838</v>
      </c>
      <c r="P272">
        <v>30.048400000000001</v>
      </c>
      <c r="Q272">
        <v>27.619599999999998</v>
      </c>
      <c r="R272">
        <v>0.91917040507980496</v>
      </c>
      <c r="S272">
        <v>6.7613282135570302E-2</v>
      </c>
      <c r="T272">
        <v>3</v>
      </c>
      <c r="U272" t="s">
        <v>2826</v>
      </c>
    </row>
    <row r="273" spans="1:21" x14ac:dyDescent="0.3">
      <c r="A273">
        <v>272</v>
      </c>
      <c r="B273" t="s">
        <v>2151</v>
      </c>
      <c r="C273" t="s">
        <v>76</v>
      </c>
      <c r="D273">
        <v>62</v>
      </c>
      <c r="E273" t="s">
        <v>38</v>
      </c>
      <c r="F273">
        <v>23</v>
      </c>
      <c r="G273" t="s">
        <v>76</v>
      </c>
      <c r="H273" t="s">
        <v>38</v>
      </c>
      <c r="I273">
        <v>0.5</v>
      </c>
      <c r="J273" t="s">
        <v>38</v>
      </c>
      <c r="K273">
        <v>0</v>
      </c>
      <c r="L273">
        <v>8.8008243664826399E-3</v>
      </c>
      <c r="M273" t="s">
        <v>76</v>
      </c>
      <c r="N273" t="s">
        <v>1796</v>
      </c>
      <c r="O273" t="s">
        <v>2868</v>
      </c>
      <c r="P273">
        <v>14492.9396</v>
      </c>
      <c r="Q273">
        <v>5504.348</v>
      </c>
      <c r="R273">
        <v>0.37979513831686701</v>
      </c>
      <c r="S273">
        <v>0.450422136765533</v>
      </c>
      <c r="T273">
        <v>23</v>
      </c>
      <c r="U273" t="s">
        <v>2826</v>
      </c>
    </row>
    <row r="274" spans="1:21" x14ac:dyDescent="0.3">
      <c r="A274">
        <v>273</v>
      </c>
      <c r="B274" t="s">
        <v>1717</v>
      </c>
      <c r="C274" t="s">
        <v>76</v>
      </c>
      <c r="D274">
        <v>67</v>
      </c>
      <c r="E274" t="s">
        <v>76</v>
      </c>
      <c r="F274">
        <v>33</v>
      </c>
      <c r="G274" t="s">
        <v>51</v>
      </c>
      <c r="H274" t="s">
        <v>76</v>
      </c>
      <c r="I274">
        <v>0.7</v>
      </c>
      <c r="J274" t="s">
        <v>38</v>
      </c>
      <c r="K274">
        <v>0</v>
      </c>
      <c r="L274">
        <v>5.3037422632726599E-3</v>
      </c>
      <c r="M274" t="s">
        <v>51</v>
      </c>
      <c r="N274" t="s">
        <v>53</v>
      </c>
      <c r="O274" t="s">
        <v>2846</v>
      </c>
      <c r="P274">
        <v>1313.2256</v>
      </c>
      <c r="Q274">
        <v>435.84320000000002</v>
      </c>
      <c r="R274">
        <v>0.33188752945419298</v>
      </c>
      <c r="S274">
        <v>0.65782657021212498</v>
      </c>
      <c r="T274">
        <v>33</v>
      </c>
      <c r="U274" t="s">
        <v>2826</v>
      </c>
    </row>
    <row r="275" spans="1:21" x14ac:dyDescent="0.3">
      <c r="A275">
        <v>274</v>
      </c>
      <c r="B275" t="s">
        <v>217</v>
      </c>
      <c r="C275" t="s">
        <v>38</v>
      </c>
      <c r="D275">
        <v>44</v>
      </c>
      <c r="E275" t="s">
        <v>38</v>
      </c>
      <c r="F275">
        <v>27</v>
      </c>
      <c r="G275" t="s">
        <v>51</v>
      </c>
      <c r="H275" t="s">
        <v>76</v>
      </c>
      <c r="I275">
        <v>0.5</v>
      </c>
      <c r="J275" t="s">
        <v>38</v>
      </c>
      <c r="K275">
        <v>0</v>
      </c>
      <c r="L275">
        <v>3.7385076951719901E-2</v>
      </c>
      <c r="M275" t="s">
        <v>51</v>
      </c>
      <c r="N275" t="s">
        <v>53</v>
      </c>
      <c r="O275" t="s">
        <v>2845</v>
      </c>
      <c r="P275">
        <v>539.21320000000003</v>
      </c>
      <c r="Q275">
        <v>281.44920000000002</v>
      </c>
      <c r="R275">
        <v>0.52196274126820297</v>
      </c>
      <c r="S275">
        <v>0.54834519424910599</v>
      </c>
      <c r="T275">
        <v>27</v>
      </c>
      <c r="U275" t="s">
        <v>2826</v>
      </c>
    </row>
    <row r="276" spans="1:21" x14ac:dyDescent="0.3">
      <c r="A276">
        <v>275</v>
      </c>
      <c r="B276" t="s">
        <v>1821</v>
      </c>
      <c r="C276" t="s">
        <v>38</v>
      </c>
      <c r="D276">
        <v>31</v>
      </c>
      <c r="E276" t="s">
        <v>38</v>
      </c>
      <c r="F276">
        <v>13</v>
      </c>
      <c r="G276" t="s">
        <v>38</v>
      </c>
      <c r="H276" t="s">
        <v>38</v>
      </c>
      <c r="I276">
        <v>0.3</v>
      </c>
      <c r="J276" t="s">
        <v>38</v>
      </c>
      <c r="K276">
        <v>0</v>
      </c>
      <c r="L276">
        <v>7.7322890693400703E-2</v>
      </c>
      <c r="M276" t="s">
        <v>38</v>
      </c>
      <c r="O276" t="s">
        <v>2838</v>
      </c>
      <c r="P276">
        <v>10944.612800000001</v>
      </c>
      <c r="Q276">
        <v>7576.2196000000004</v>
      </c>
      <c r="R276">
        <v>0.692232766790982</v>
      </c>
      <c r="S276">
        <v>0.26162270718761199</v>
      </c>
      <c r="T276">
        <v>13</v>
      </c>
      <c r="U276" t="s">
        <v>2826</v>
      </c>
    </row>
    <row r="277" spans="1:21" x14ac:dyDescent="0.3">
      <c r="A277">
        <v>276</v>
      </c>
      <c r="B277" t="s">
        <v>2157</v>
      </c>
      <c r="C277" t="s">
        <v>76</v>
      </c>
      <c r="D277">
        <v>56</v>
      </c>
      <c r="E277" t="s">
        <v>38</v>
      </c>
      <c r="F277">
        <v>25</v>
      </c>
      <c r="G277" t="s">
        <v>51</v>
      </c>
      <c r="H277" t="s">
        <v>76</v>
      </c>
      <c r="I277">
        <v>0.5</v>
      </c>
      <c r="J277" t="s">
        <v>38</v>
      </c>
      <c r="K277">
        <v>0</v>
      </c>
      <c r="L277">
        <v>8.2436259069038703E-2</v>
      </c>
      <c r="M277" t="s">
        <v>51</v>
      </c>
      <c r="N277" t="s">
        <v>53</v>
      </c>
      <c r="O277" t="s">
        <v>2846</v>
      </c>
      <c r="P277">
        <v>2342.1579999999999</v>
      </c>
      <c r="Q277">
        <v>1020.7256</v>
      </c>
      <c r="R277">
        <v>0.43580561174779803</v>
      </c>
      <c r="S277">
        <v>0.50037080732237704</v>
      </c>
      <c r="T277">
        <v>25</v>
      </c>
      <c r="U277" t="s">
        <v>2826</v>
      </c>
    </row>
    <row r="278" spans="1:21" x14ac:dyDescent="0.3">
      <c r="A278">
        <v>277</v>
      </c>
      <c r="B278" t="s">
        <v>2163</v>
      </c>
      <c r="C278" t="s">
        <v>38</v>
      </c>
      <c r="D278">
        <v>46</v>
      </c>
      <c r="E278" t="s">
        <v>38</v>
      </c>
      <c r="F278">
        <v>17</v>
      </c>
      <c r="G278" t="s">
        <v>38</v>
      </c>
      <c r="H278" t="s">
        <v>38</v>
      </c>
      <c r="I278">
        <v>0.3</v>
      </c>
      <c r="J278" t="s">
        <v>38</v>
      </c>
      <c r="K278">
        <v>0</v>
      </c>
      <c r="L278">
        <v>6.9955922456899397E-2</v>
      </c>
      <c r="M278" t="s">
        <v>51</v>
      </c>
      <c r="N278" t="s">
        <v>53</v>
      </c>
      <c r="O278" t="s">
        <v>2838</v>
      </c>
      <c r="P278">
        <v>8728.1252000000004</v>
      </c>
      <c r="Q278">
        <v>4698.0839999999998</v>
      </c>
      <c r="R278">
        <v>0.53826954727917997</v>
      </c>
      <c r="S278">
        <v>0.33489010684107801</v>
      </c>
      <c r="T278">
        <v>17</v>
      </c>
      <c r="U278" t="s">
        <v>2860</v>
      </c>
    </row>
    <row r="279" spans="1:21" x14ac:dyDescent="0.3">
      <c r="A279">
        <v>278</v>
      </c>
      <c r="B279" t="s">
        <v>1538</v>
      </c>
      <c r="C279" t="s">
        <v>51</v>
      </c>
      <c r="D279">
        <v>70</v>
      </c>
      <c r="E279" t="s">
        <v>76</v>
      </c>
      <c r="F279">
        <v>32</v>
      </c>
      <c r="G279" t="s">
        <v>106</v>
      </c>
      <c r="H279" t="s">
        <v>51</v>
      </c>
      <c r="I279">
        <v>0.6</v>
      </c>
      <c r="J279" t="s">
        <v>38</v>
      </c>
      <c r="K279">
        <v>0</v>
      </c>
      <c r="L279">
        <v>9.4451608725915001E-3</v>
      </c>
      <c r="M279" t="s">
        <v>106</v>
      </c>
      <c r="N279" t="s">
        <v>53</v>
      </c>
      <c r="O279" t="s">
        <v>2846</v>
      </c>
      <c r="P279">
        <v>492.96</v>
      </c>
      <c r="Q279">
        <v>148.2664</v>
      </c>
      <c r="R279">
        <v>0.30076760791950702</v>
      </c>
      <c r="S279">
        <v>0.64523863553650695</v>
      </c>
      <c r="T279">
        <v>32</v>
      </c>
      <c r="U279" t="s">
        <v>2826</v>
      </c>
    </row>
    <row r="280" spans="1:21" x14ac:dyDescent="0.3">
      <c r="A280">
        <v>279</v>
      </c>
      <c r="B280" t="s">
        <v>912</v>
      </c>
      <c r="C280" t="s">
        <v>76</v>
      </c>
      <c r="D280">
        <v>60</v>
      </c>
      <c r="E280" t="s">
        <v>38</v>
      </c>
      <c r="F280">
        <v>22</v>
      </c>
      <c r="G280" t="s">
        <v>51</v>
      </c>
      <c r="H280" t="s">
        <v>38</v>
      </c>
      <c r="I280">
        <v>0.4</v>
      </c>
      <c r="J280" t="s">
        <v>38</v>
      </c>
      <c r="K280">
        <v>0</v>
      </c>
      <c r="L280">
        <v>3.5631381625040003E-2</v>
      </c>
      <c r="M280" t="s">
        <v>51</v>
      </c>
      <c r="N280" t="s">
        <v>53</v>
      </c>
      <c r="O280" t="s">
        <v>2868</v>
      </c>
      <c r="P280">
        <v>5281.6719999999996</v>
      </c>
      <c r="Q280">
        <v>2135.8588</v>
      </c>
      <c r="R280">
        <v>0.40439065508043698</v>
      </c>
      <c r="S280">
        <v>0.43129258155188499</v>
      </c>
      <c r="T280">
        <v>22</v>
      </c>
      <c r="U280" t="s">
        <v>2826</v>
      </c>
    </row>
    <row r="281" spans="1:21" x14ac:dyDescent="0.3">
      <c r="A281">
        <v>280</v>
      </c>
      <c r="B281" t="s">
        <v>1149</v>
      </c>
      <c r="C281" t="s">
        <v>38</v>
      </c>
      <c r="D281">
        <v>40</v>
      </c>
      <c r="E281" t="s">
        <v>38</v>
      </c>
      <c r="F281">
        <v>10</v>
      </c>
      <c r="G281" t="s">
        <v>38</v>
      </c>
      <c r="H281" t="s">
        <v>38</v>
      </c>
      <c r="I281">
        <v>0.2</v>
      </c>
      <c r="J281" t="s">
        <v>38</v>
      </c>
      <c r="K281">
        <v>0</v>
      </c>
      <c r="L281">
        <v>2.9981224450608902E-2</v>
      </c>
      <c r="M281" t="s">
        <v>38</v>
      </c>
      <c r="O281" t="s">
        <v>2838</v>
      </c>
      <c r="P281">
        <v>6137.2615999999998</v>
      </c>
      <c r="Q281">
        <v>3708.0140000000001</v>
      </c>
      <c r="R281">
        <v>0.60418053550137096</v>
      </c>
      <c r="S281">
        <v>0.19752309988455299</v>
      </c>
      <c r="T281">
        <v>10</v>
      </c>
      <c r="U281" t="s">
        <v>2826</v>
      </c>
    </row>
    <row r="282" spans="1:21" x14ac:dyDescent="0.3">
      <c r="A282">
        <v>281</v>
      </c>
      <c r="B282" t="s">
        <v>2114</v>
      </c>
      <c r="C282" t="s">
        <v>38</v>
      </c>
      <c r="D282">
        <v>17</v>
      </c>
      <c r="E282" t="s">
        <v>38</v>
      </c>
      <c r="F282">
        <v>6</v>
      </c>
      <c r="G282" t="s">
        <v>38</v>
      </c>
      <c r="H282" t="s">
        <v>38</v>
      </c>
      <c r="I282">
        <v>0.1</v>
      </c>
      <c r="J282" t="s">
        <v>38</v>
      </c>
      <c r="K282">
        <v>0</v>
      </c>
      <c r="L282">
        <v>5.9633181442980696E-3</v>
      </c>
      <c r="M282" t="s">
        <v>38</v>
      </c>
      <c r="O282" t="s">
        <v>2838</v>
      </c>
      <c r="P282">
        <v>3606.2944000000002</v>
      </c>
      <c r="Q282">
        <v>2980.22</v>
      </c>
      <c r="R282">
        <v>0.82639398491703797</v>
      </c>
      <c r="S282">
        <v>0.12160242047106599</v>
      </c>
      <c r="T282">
        <v>6</v>
      </c>
      <c r="U282" t="s">
        <v>2826</v>
      </c>
    </row>
    <row r="283" spans="1:21" x14ac:dyDescent="0.3">
      <c r="A283">
        <v>282</v>
      </c>
      <c r="B283" t="s">
        <v>1458</v>
      </c>
      <c r="C283" t="s">
        <v>38</v>
      </c>
      <c r="D283">
        <v>2</v>
      </c>
      <c r="E283" t="s">
        <v>38</v>
      </c>
      <c r="F283">
        <v>1</v>
      </c>
      <c r="G283" t="s">
        <v>38</v>
      </c>
      <c r="H283" t="s">
        <v>38</v>
      </c>
      <c r="I283">
        <v>0</v>
      </c>
      <c r="J283" t="s">
        <v>38</v>
      </c>
      <c r="K283">
        <v>0</v>
      </c>
      <c r="L283">
        <v>1.0406351895948599E-2</v>
      </c>
      <c r="M283" t="s">
        <v>38</v>
      </c>
      <c r="O283" t="s">
        <v>2838</v>
      </c>
      <c r="P283">
        <v>4242.1876000000002</v>
      </c>
      <c r="Q283">
        <v>4170.7987999999996</v>
      </c>
      <c r="R283">
        <v>0.98317170131749898</v>
      </c>
      <c r="S283">
        <v>1.1201257374213401E-2</v>
      </c>
      <c r="T283">
        <v>1</v>
      </c>
      <c r="U283" t="s">
        <v>2826</v>
      </c>
    </row>
    <row r="284" spans="1:21" x14ac:dyDescent="0.3">
      <c r="A284">
        <v>283</v>
      </c>
      <c r="B284" t="s">
        <v>1827</v>
      </c>
      <c r="C284" t="s">
        <v>38</v>
      </c>
      <c r="D284">
        <v>2</v>
      </c>
      <c r="E284" t="s">
        <v>38</v>
      </c>
      <c r="F284">
        <v>1</v>
      </c>
      <c r="G284" t="s">
        <v>38</v>
      </c>
      <c r="H284" t="s">
        <v>38</v>
      </c>
      <c r="I284">
        <v>0</v>
      </c>
      <c r="J284" t="s">
        <v>38</v>
      </c>
      <c r="K284">
        <v>0</v>
      </c>
      <c r="L284">
        <v>1.05471710929638E-3</v>
      </c>
      <c r="M284" t="s">
        <v>38</v>
      </c>
      <c r="O284" t="s">
        <v>2825</v>
      </c>
      <c r="P284">
        <v>1433.932</v>
      </c>
      <c r="Q284">
        <v>1407.3915999999999</v>
      </c>
      <c r="R284">
        <v>0.98149117252422002</v>
      </c>
      <c r="S284">
        <v>1.6431293409784501E-2</v>
      </c>
      <c r="T284">
        <v>1</v>
      </c>
      <c r="U284" t="s">
        <v>2826</v>
      </c>
    </row>
    <row r="285" spans="1:21" x14ac:dyDescent="0.3">
      <c r="A285">
        <v>284</v>
      </c>
      <c r="B285" t="s">
        <v>2500</v>
      </c>
      <c r="C285" t="s">
        <v>76</v>
      </c>
      <c r="D285">
        <v>56</v>
      </c>
      <c r="E285" t="s">
        <v>38</v>
      </c>
      <c r="F285">
        <v>22</v>
      </c>
      <c r="G285" t="s">
        <v>76</v>
      </c>
      <c r="H285" t="s">
        <v>38</v>
      </c>
      <c r="I285">
        <v>0.4</v>
      </c>
      <c r="J285" t="s">
        <v>38</v>
      </c>
      <c r="K285">
        <v>0</v>
      </c>
      <c r="L285">
        <v>0.148237349031446</v>
      </c>
      <c r="M285" t="s">
        <v>76</v>
      </c>
      <c r="N285" t="s">
        <v>1796</v>
      </c>
      <c r="O285" t="s">
        <v>2868</v>
      </c>
      <c r="P285">
        <v>3024.2363999999998</v>
      </c>
      <c r="Q285">
        <v>1334.6487999999999</v>
      </c>
      <c r="R285">
        <v>0.44131761657256702</v>
      </c>
      <c r="S285">
        <v>0.43610348503704999</v>
      </c>
      <c r="T285">
        <v>22</v>
      </c>
      <c r="U285" t="s">
        <v>2826</v>
      </c>
    </row>
    <row r="286" spans="1:21" x14ac:dyDescent="0.3">
      <c r="A286">
        <v>285</v>
      </c>
      <c r="B286" t="s">
        <v>634</v>
      </c>
      <c r="C286" t="s">
        <v>38</v>
      </c>
      <c r="D286">
        <v>20</v>
      </c>
      <c r="E286" t="s">
        <v>38</v>
      </c>
      <c r="F286">
        <v>7</v>
      </c>
      <c r="G286" t="s">
        <v>38</v>
      </c>
      <c r="H286" t="s">
        <v>38</v>
      </c>
      <c r="I286">
        <v>0.1</v>
      </c>
      <c r="J286" t="s">
        <v>38</v>
      </c>
      <c r="K286">
        <v>0</v>
      </c>
      <c r="L286">
        <v>1.32913557749343E-2</v>
      </c>
      <c r="M286" t="s">
        <v>38</v>
      </c>
      <c r="O286" t="s">
        <v>2838</v>
      </c>
      <c r="P286">
        <v>1545.4911999999999</v>
      </c>
      <c r="Q286">
        <v>1242.8227999999999</v>
      </c>
      <c r="R286">
        <v>0.80416038603131501</v>
      </c>
      <c r="S286">
        <v>0.13797734188278499</v>
      </c>
      <c r="T286">
        <v>7</v>
      </c>
      <c r="U286" t="s">
        <v>2826</v>
      </c>
    </row>
    <row r="287" spans="1:21" x14ac:dyDescent="0.3">
      <c r="A287">
        <v>286</v>
      </c>
      <c r="B287" t="s">
        <v>2505</v>
      </c>
      <c r="C287" t="s">
        <v>76</v>
      </c>
      <c r="D287">
        <v>64</v>
      </c>
      <c r="E287" t="s">
        <v>38</v>
      </c>
      <c r="F287">
        <v>23</v>
      </c>
      <c r="G287" t="s">
        <v>76</v>
      </c>
      <c r="H287" t="s">
        <v>38</v>
      </c>
      <c r="I287">
        <v>0.5</v>
      </c>
      <c r="J287" t="s">
        <v>38</v>
      </c>
      <c r="K287">
        <v>0</v>
      </c>
      <c r="L287">
        <v>0.155142142579341</v>
      </c>
      <c r="M287" t="s">
        <v>76</v>
      </c>
      <c r="N287" t="s">
        <v>1796</v>
      </c>
      <c r="O287" t="s">
        <v>2868</v>
      </c>
      <c r="P287">
        <v>6280.5940000000001</v>
      </c>
      <c r="Q287">
        <v>2257.5219999999999</v>
      </c>
      <c r="R287">
        <v>0.35944402710953799</v>
      </c>
      <c r="S287">
        <v>0.456964999465997</v>
      </c>
      <c r="T287">
        <v>23</v>
      </c>
      <c r="U287" t="s">
        <v>2826</v>
      </c>
    </row>
    <row r="288" spans="1:21" x14ac:dyDescent="0.3">
      <c r="A288">
        <v>287</v>
      </c>
      <c r="B288" t="s">
        <v>2088</v>
      </c>
      <c r="C288" t="s">
        <v>38</v>
      </c>
      <c r="D288">
        <v>10</v>
      </c>
      <c r="E288" t="s">
        <v>38</v>
      </c>
      <c r="F288">
        <v>4</v>
      </c>
      <c r="G288" t="s">
        <v>38</v>
      </c>
      <c r="H288" t="s">
        <v>38</v>
      </c>
      <c r="I288">
        <v>0.1</v>
      </c>
      <c r="J288" t="s">
        <v>38</v>
      </c>
      <c r="K288">
        <v>0</v>
      </c>
      <c r="L288">
        <v>7.2149008831304901E-2</v>
      </c>
      <c r="M288" t="s">
        <v>38</v>
      </c>
      <c r="O288" t="s">
        <v>2838</v>
      </c>
      <c r="P288">
        <v>1742.278</v>
      </c>
      <c r="Q288">
        <v>1563.8912</v>
      </c>
      <c r="R288">
        <v>0.89761289530143895</v>
      </c>
      <c r="S288">
        <v>8.3332700581028402E-2</v>
      </c>
      <c r="T288">
        <v>4</v>
      </c>
      <c r="U288" t="s">
        <v>2826</v>
      </c>
    </row>
    <row r="289" spans="1:21" x14ac:dyDescent="0.3">
      <c r="A289">
        <v>288</v>
      </c>
      <c r="B289" t="s">
        <v>2169</v>
      </c>
      <c r="C289" t="s">
        <v>38</v>
      </c>
      <c r="D289">
        <v>40</v>
      </c>
      <c r="E289" t="s">
        <v>38</v>
      </c>
      <c r="F289">
        <v>18</v>
      </c>
      <c r="G289" t="s">
        <v>76</v>
      </c>
      <c r="H289" t="s">
        <v>38</v>
      </c>
      <c r="I289">
        <v>0.4</v>
      </c>
      <c r="J289" t="s">
        <v>38</v>
      </c>
      <c r="K289">
        <v>0</v>
      </c>
      <c r="L289">
        <v>3.6655990082325202E-2</v>
      </c>
      <c r="M289" t="s">
        <v>76</v>
      </c>
      <c r="N289" t="s">
        <v>53</v>
      </c>
      <c r="O289" t="s">
        <v>2844</v>
      </c>
      <c r="P289">
        <v>7440.4260000000004</v>
      </c>
      <c r="Q289">
        <v>4242.93</v>
      </c>
      <c r="R289">
        <v>0.57025363870294499</v>
      </c>
      <c r="S289">
        <v>0.36608373256934301</v>
      </c>
      <c r="T289">
        <v>18</v>
      </c>
      <c r="U289" t="s">
        <v>2826</v>
      </c>
    </row>
    <row r="290" spans="1:21" x14ac:dyDescent="0.3">
      <c r="A290">
        <v>289</v>
      </c>
      <c r="B290" t="s">
        <v>1108</v>
      </c>
      <c r="C290" t="s">
        <v>38</v>
      </c>
      <c r="D290">
        <v>37</v>
      </c>
      <c r="E290" t="s">
        <v>38</v>
      </c>
      <c r="F290">
        <v>14</v>
      </c>
      <c r="G290" t="s">
        <v>38</v>
      </c>
      <c r="H290" t="s">
        <v>38</v>
      </c>
      <c r="I290">
        <v>0.3</v>
      </c>
      <c r="J290" t="s">
        <v>38</v>
      </c>
      <c r="K290">
        <v>0</v>
      </c>
      <c r="L290">
        <v>2.23087914308591E-2</v>
      </c>
      <c r="M290" t="s">
        <v>38</v>
      </c>
      <c r="O290" t="s">
        <v>2843</v>
      </c>
      <c r="P290">
        <v>5227.4683999999997</v>
      </c>
      <c r="Q290">
        <v>3303.6124</v>
      </c>
      <c r="R290">
        <v>0.63197175902584102</v>
      </c>
      <c r="S290">
        <v>0.28758980323185501</v>
      </c>
      <c r="T290">
        <v>14</v>
      </c>
      <c r="U290" t="s">
        <v>2826</v>
      </c>
    </row>
    <row r="291" spans="1:21" x14ac:dyDescent="0.3">
      <c r="A291">
        <v>290</v>
      </c>
      <c r="B291" t="s">
        <v>1279</v>
      </c>
      <c r="C291" t="s">
        <v>76</v>
      </c>
      <c r="D291">
        <v>54</v>
      </c>
      <c r="E291" t="s">
        <v>38</v>
      </c>
      <c r="F291">
        <v>19</v>
      </c>
      <c r="G291" t="s">
        <v>51</v>
      </c>
      <c r="H291" t="s">
        <v>38</v>
      </c>
      <c r="I291">
        <v>0.4</v>
      </c>
      <c r="J291" t="s">
        <v>38</v>
      </c>
      <c r="K291">
        <v>0</v>
      </c>
      <c r="L291">
        <v>5.4106064314098801E-3</v>
      </c>
      <c r="M291" t="s">
        <v>51</v>
      </c>
      <c r="N291" t="s">
        <v>53</v>
      </c>
      <c r="O291" t="s">
        <v>2870</v>
      </c>
      <c r="P291">
        <v>4653.6067999999996</v>
      </c>
      <c r="Q291">
        <v>2366.6848</v>
      </c>
      <c r="R291">
        <v>0.50856999779181999</v>
      </c>
      <c r="S291">
        <v>0.37914016181953603</v>
      </c>
      <c r="T291">
        <v>19</v>
      </c>
      <c r="U291" t="s">
        <v>2826</v>
      </c>
    </row>
    <row r="292" spans="1:21" x14ac:dyDescent="0.3">
      <c r="A292">
        <v>291</v>
      </c>
      <c r="B292" t="s">
        <v>505</v>
      </c>
      <c r="C292" t="s">
        <v>38</v>
      </c>
      <c r="D292">
        <v>36</v>
      </c>
      <c r="E292" t="s">
        <v>38</v>
      </c>
      <c r="F292">
        <v>25</v>
      </c>
      <c r="G292" t="s">
        <v>51</v>
      </c>
      <c r="H292" t="s">
        <v>38</v>
      </c>
      <c r="I292">
        <v>0.5</v>
      </c>
      <c r="J292" t="s">
        <v>38</v>
      </c>
      <c r="K292">
        <v>0</v>
      </c>
      <c r="L292">
        <v>2.85563553771646E-2</v>
      </c>
      <c r="M292" t="s">
        <v>51</v>
      </c>
      <c r="N292" t="s">
        <v>53</v>
      </c>
      <c r="O292" t="s">
        <v>2844</v>
      </c>
      <c r="P292">
        <v>2862.4155999999998</v>
      </c>
      <c r="Q292">
        <v>1664.26</v>
      </c>
      <c r="R292">
        <v>0.58141801630762502</v>
      </c>
      <c r="S292">
        <v>0.496462617222034</v>
      </c>
      <c r="T292">
        <v>25</v>
      </c>
      <c r="U292" t="s">
        <v>2826</v>
      </c>
    </row>
    <row r="293" spans="1:21" x14ac:dyDescent="0.3">
      <c r="A293">
        <v>292</v>
      </c>
      <c r="B293" t="s">
        <v>1976</v>
      </c>
      <c r="C293" t="s">
        <v>51</v>
      </c>
      <c r="D293">
        <v>71</v>
      </c>
      <c r="E293" t="s">
        <v>76</v>
      </c>
      <c r="F293">
        <v>35</v>
      </c>
      <c r="G293" t="s">
        <v>76</v>
      </c>
      <c r="H293" t="s">
        <v>38</v>
      </c>
      <c r="I293">
        <v>0.7</v>
      </c>
      <c r="J293" t="s">
        <v>38</v>
      </c>
      <c r="K293">
        <v>0</v>
      </c>
      <c r="L293">
        <v>7.9505995162049203E-2</v>
      </c>
      <c r="M293" t="s">
        <v>51</v>
      </c>
      <c r="N293" t="s">
        <v>262</v>
      </c>
      <c r="O293" t="s">
        <v>2868</v>
      </c>
      <c r="P293">
        <v>6972.2335999999996</v>
      </c>
      <c r="Q293">
        <v>2020.0288</v>
      </c>
      <c r="R293">
        <v>0.28972477342124597</v>
      </c>
      <c r="S293">
        <v>0.69753489193406304</v>
      </c>
      <c r="T293">
        <v>35</v>
      </c>
      <c r="U293" t="s">
        <v>2826</v>
      </c>
    </row>
    <row r="294" spans="1:21" x14ac:dyDescent="0.3">
      <c r="A294">
        <v>293</v>
      </c>
      <c r="B294" t="s">
        <v>2175</v>
      </c>
      <c r="C294" t="s">
        <v>38</v>
      </c>
      <c r="D294">
        <v>1</v>
      </c>
      <c r="E294" t="s">
        <v>38</v>
      </c>
      <c r="F294">
        <v>1</v>
      </c>
      <c r="G294" t="s">
        <v>38</v>
      </c>
      <c r="H294" t="s">
        <v>38</v>
      </c>
      <c r="I294">
        <v>0</v>
      </c>
      <c r="J294" t="s">
        <v>38</v>
      </c>
      <c r="K294">
        <v>0</v>
      </c>
      <c r="L294">
        <v>2.9505977573973498E-3</v>
      </c>
      <c r="M294" t="s">
        <v>38</v>
      </c>
      <c r="O294" t="s">
        <v>2838</v>
      </c>
      <c r="P294">
        <v>4671.0663999999997</v>
      </c>
      <c r="Q294">
        <v>4637.4332000000004</v>
      </c>
      <c r="R294">
        <v>0.99279967418146797</v>
      </c>
      <c r="S294">
        <v>1.32339361819903E-2</v>
      </c>
      <c r="T294">
        <v>1</v>
      </c>
      <c r="U294" t="s">
        <v>2826</v>
      </c>
    </row>
    <row r="295" spans="1:21" x14ac:dyDescent="0.3">
      <c r="A295">
        <v>294</v>
      </c>
      <c r="B295" t="s">
        <v>302</v>
      </c>
      <c r="C295" t="s">
        <v>38</v>
      </c>
      <c r="D295">
        <v>1</v>
      </c>
      <c r="E295" t="s">
        <v>38</v>
      </c>
      <c r="F295">
        <v>1</v>
      </c>
      <c r="G295" t="s">
        <v>38</v>
      </c>
      <c r="H295" t="s">
        <v>38</v>
      </c>
      <c r="I295">
        <v>0</v>
      </c>
      <c r="J295" t="s">
        <v>38</v>
      </c>
      <c r="K295">
        <v>0</v>
      </c>
      <c r="L295">
        <v>0</v>
      </c>
      <c r="M295" t="s">
        <v>38</v>
      </c>
      <c r="O295" t="s">
        <v>2838</v>
      </c>
      <c r="P295">
        <v>607.48800000000006</v>
      </c>
      <c r="Q295">
        <v>601.39200000000005</v>
      </c>
      <c r="R295">
        <v>0.98996523388116298</v>
      </c>
      <c r="S295">
        <v>1.4373005117095701E-2</v>
      </c>
      <c r="T295">
        <v>1</v>
      </c>
      <c r="U295" t="s">
        <v>2826</v>
      </c>
    </row>
    <row r="296" spans="1:21" x14ac:dyDescent="0.3">
      <c r="A296">
        <v>295</v>
      </c>
      <c r="B296" t="s">
        <v>555</v>
      </c>
      <c r="C296" t="s">
        <v>38</v>
      </c>
      <c r="D296">
        <v>1</v>
      </c>
      <c r="E296" t="s">
        <v>38</v>
      </c>
      <c r="F296">
        <v>1</v>
      </c>
      <c r="G296" t="s">
        <v>38</v>
      </c>
      <c r="H296" t="s">
        <v>38</v>
      </c>
      <c r="I296">
        <v>0</v>
      </c>
      <c r="J296" t="s">
        <v>38</v>
      </c>
      <c r="K296">
        <v>0</v>
      </c>
      <c r="L296">
        <v>4.7494531011142097E-3</v>
      </c>
      <c r="M296" t="s">
        <v>38</v>
      </c>
      <c r="O296" t="s">
        <v>2838</v>
      </c>
      <c r="P296">
        <v>41251.817999999999</v>
      </c>
      <c r="Q296">
        <v>40919.995600000002</v>
      </c>
      <c r="R296">
        <v>0.99195617511936096</v>
      </c>
      <c r="S296">
        <v>1.7282223946704301E-2</v>
      </c>
      <c r="T296">
        <v>1</v>
      </c>
      <c r="U296" t="s">
        <v>2826</v>
      </c>
    </row>
    <row r="297" spans="1:21" x14ac:dyDescent="0.3">
      <c r="A297">
        <v>296</v>
      </c>
      <c r="B297" t="s">
        <v>830</v>
      </c>
      <c r="C297" t="s">
        <v>38</v>
      </c>
      <c r="D297">
        <v>0</v>
      </c>
      <c r="E297" t="s">
        <v>38</v>
      </c>
      <c r="F297">
        <v>0</v>
      </c>
      <c r="G297" t="s">
        <v>38</v>
      </c>
      <c r="H297" t="s">
        <v>38</v>
      </c>
      <c r="I297">
        <v>0</v>
      </c>
      <c r="J297" t="s">
        <v>38</v>
      </c>
      <c r="K297">
        <v>0</v>
      </c>
      <c r="L297">
        <v>1.59636346096751E-3</v>
      </c>
      <c r="M297" t="s">
        <v>38</v>
      </c>
      <c r="O297" t="s">
        <v>2838</v>
      </c>
      <c r="P297">
        <v>2677.2</v>
      </c>
      <c r="Q297">
        <v>2670.3191999999999</v>
      </c>
      <c r="R297">
        <v>0.99742985208426704</v>
      </c>
      <c r="S297">
        <v>4.6549515634505103E-3</v>
      </c>
      <c r="T297">
        <v>0</v>
      </c>
      <c r="U297" t="s">
        <v>2826</v>
      </c>
    </row>
    <row r="298" spans="1:21" x14ac:dyDescent="0.3">
      <c r="A298">
        <v>297</v>
      </c>
      <c r="B298" t="s">
        <v>166</v>
      </c>
      <c r="C298" t="s">
        <v>38</v>
      </c>
      <c r="D298">
        <v>1</v>
      </c>
      <c r="E298" t="s">
        <v>38</v>
      </c>
      <c r="F298">
        <v>1</v>
      </c>
      <c r="G298" t="s">
        <v>38</v>
      </c>
      <c r="H298" t="s">
        <v>38</v>
      </c>
      <c r="I298">
        <v>0</v>
      </c>
      <c r="J298" t="s">
        <v>38</v>
      </c>
      <c r="K298">
        <v>0</v>
      </c>
      <c r="L298">
        <v>1.5907705810303901E-3</v>
      </c>
      <c r="M298" t="s">
        <v>38</v>
      </c>
      <c r="O298" t="s">
        <v>2838</v>
      </c>
      <c r="P298">
        <v>8634.3688000000002</v>
      </c>
      <c r="Q298">
        <v>8543.5324000000001</v>
      </c>
      <c r="R298">
        <v>0.98947967105597801</v>
      </c>
      <c r="S298">
        <v>1.7743030122629601E-2</v>
      </c>
      <c r="T298">
        <v>1</v>
      </c>
      <c r="U298" t="s">
        <v>2826</v>
      </c>
    </row>
    <row r="299" spans="1:21" x14ac:dyDescent="0.3">
      <c r="A299">
        <v>298</v>
      </c>
      <c r="B299" t="s">
        <v>1321</v>
      </c>
      <c r="C299" t="s">
        <v>38</v>
      </c>
      <c r="D299">
        <v>1</v>
      </c>
      <c r="E299" t="s">
        <v>38</v>
      </c>
      <c r="F299">
        <v>1</v>
      </c>
      <c r="G299" t="s">
        <v>38</v>
      </c>
      <c r="H299" t="s">
        <v>38</v>
      </c>
      <c r="I299">
        <v>0</v>
      </c>
      <c r="J299" t="s">
        <v>38</v>
      </c>
      <c r="K299">
        <v>0</v>
      </c>
      <c r="L299">
        <v>3.1285673454592901E-3</v>
      </c>
      <c r="M299" t="s">
        <v>38</v>
      </c>
      <c r="O299" t="s">
        <v>2838</v>
      </c>
      <c r="P299">
        <v>41250.668400000002</v>
      </c>
      <c r="Q299">
        <v>40909.9712</v>
      </c>
      <c r="R299">
        <v>0.99174080776834195</v>
      </c>
      <c r="S299">
        <v>1.04837234445636E-2</v>
      </c>
      <c r="T299">
        <v>1</v>
      </c>
      <c r="U299" t="s">
        <v>2826</v>
      </c>
    </row>
    <row r="300" spans="1:21" x14ac:dyDescent="0.3">
      <c r="A300">
        <v>299</v>
      </c>
      <c r="B300" t="s">
        <v>2447</v>
      </c>
      <c r="C300" t="s">
        <v>38</v>
      </c>
      <c r="D300">
        <v>1</v>
      </c>
      <c r="E300" t="s">
        <v>38</v>
      </c>
      <c r="F300">
        <v>1</v>
      </c>
      <c r="G300" t="s">
        <v>38</v>
      </c>
      <c r="H300" t="s">
        <v>38</v>
      </c>
      <c r="I300">
        <v>0</v>
      </c>
      <c r="J300" t="s">
        <v>38</v>
      </c>
      <c r="K300">
        <v>0</v>
      </c>
      <c r="L300" s="18">
        <v>6.9440513301086205E-5</v>
      </c>
      <c r="M300" t="s">
        <v>38</v>
      </c>
      <c r="O300" t="s">
        <v>2838</v>
      </c>
      <c r="P300">
        <v>20205.945199999998</v>
      </c>
      <c r="Q300">
        <v>20074.736400000002</v>
      </c>
      <c r="R300">
        <v>0.99350642601960504</v>
      </c>
      <c r="S300">
        <v>1.02364808296635E-2</v>
      </c>
      <c r="T300">
        <v>1</v>
      </c>
      <c r="U300" t="s">
        <v>2826</v>
      </c>
    </row>
    <row r="301" spans="1:21" x14ac:dyDescent="0.3">
      <c r="A301">
        <v>300</v>
      </c>
      <c r="B301" t="s">
        <v>151</v>
      </c>
      <c r="C301" t="s">
        <v>38</v>
      </c>
      <c r="D301">
        <v>2</v>
      </c>
      <c r="E301" t="s">
        <v>38</v>
      </c>
      <c r="F301">
        <v>1</v>
      </c>
      <c r="G301" t="s">
        <v>38</v>
      </c>
      <c r="H301" t="s">
        <v>38</v>
      </c>
      <c r="I301">
        <v>0</v>
      </c>
      <c r="J301" t="s">
        <v>38</v>
      </c>
      <c r="K301">
        <v>0</v>
      </c>
      <c r="L301">
        <v>1.04361789758885E-3</v>
      </c>
      <c r="M301" t="s">
        <v>38</v>
      </c>
      <c r="O301" t="s">
        <v>2838</v>
      </c>
      <c r="P301">
        <v>8321.3631999999998</v>
      </c>
      <c r="Q301">
        <v>8164.2907999999998</v>
      </c>
      <c r="R301">
        <v>0.98112419849670796</v>
      </c>
      <c r="S301">
        <v>1.9007056272439898E-2</v>
      </c>
      <c r="T301">
        <v>1</v>
      </c>
      <c r="U301" t="s">
        <v>2826</v>
      </c>
    </row>
    <row r="302" spans="1:21" x14ac:dyDescent="0.3">
      <c r="A302">
        <v>301</v>
      </c>
      <c r="B302" t="s">
        <v>316</v>
      </c>
      <c r="C302" t="s">
        <v>38</v>
      </c>
      <c r="D302">
        <v>8</v>
      </c>
      <c r="E302" t="s">
        <v>38</v>
      </c>
      <c r="F302">
        <v>4</v>
      </c>
      <c r="G302" t="s">
        <v>38</v>
      </c>
      <c r="H302" t="s">
        <v>38</v>
      </c>
      <c r="I302">
        <v>0.1</v>
      </c>
      <c r="J302" t="s">
        <v>38</v>
      </c>
      <c r="K302">
        <v>0</v>
      </c>
      <c r="L302">
        <v>6.0420413669064795E-4</v>
      </c>
      <c r="M302" t="s">
        <v>38</v>
      </c>
      <c r="O302" t="s">
        <v>2825</v>
      </c>
      <c r="P302">
        <v>742.69320000000005</v>
      </c>
      <c r="Q302">
        <v>683.21280000000002</v>
      </c>
      <c r="R302">
        <v>0.91991255608641598</v>
      </c>
      <c r="S302">
        <v>8.4522965923370497E-2</v>
      </c>
      <c r="T302">
        <v>4</v>
      </c>
      <c r="U302" t="s">
        <v>2826</v>
      </c>
    </row>
    <row r="303" spans="1:21" x14ac:dyDescent="0.3">
      <c r="A303">
        <v>302</v>
      </c>
      <c r="B303" t="s">
        <v>1778</v>
      </c>
      <c r="C303" t="s">
        <v>38</v>
      </c>
      <c r="D303">
        <v>1</v>
      </c>
      <c r="E303" t="s">
        <v>38</v>
      </c>
      <c r="F303">
        <v>1</v>
      </c>
      <c r="G303" t="s">
        <v>38</v>
      </c>
      <c r="H303" t="s">
        <v>38</v>
      </c>
      <c r="I303">
        <v>0</v>
      </c>
      <c r="J303" t="s">
        <v>38</v>
      </c>
      <c r="K303">
        <v>0</v>
      </c>
      <c r="L303">
        <v>7.01702646895664E-4</v>
      </c>
      <c r="M303" t="s">
        <v>38</v>
      </c>
      <c r="O303" t="s">
        <v>2838</v>
      </c>
      <c r="P303">
        <v>17149.5756</v>
      </c>
      <c r="Q303">
        <v>16965.020799999998</v>
      </c>
      <c r="R303">
        <v>0.98923852086462105</v>
      </c>
      <c r="S303">
        <v>1.1228358731801899E-2</v>
      </c>
      <c r="T303">
        <v>1</v>
      </c>
      <c r="U303" t="s">
        <v>2826</v>
      </c>
    </row>
    <row r="304" spans="1:21" x14ac:dyDescent="0.3">
      <c r="A304">
        <v>303</v>
      </c>
      <c r="B304" t="s">
        <v>1490</v>
      </c>
      <c r="C304" t="s">
        <v>38</v>
      </c>
      <c r="D304">
        <v>0</v>
      </c>
      <c r="E304" t="s">
        <v>38</v>
      </c>
      <c r="F304">
        <v>0</v>
      </c>
      <c r="G304" t="s">
        <v>38</v>
      </c>
      <c r="H304" t="s">
        <v>38</v>
      </c>
      <c r="I304">
        <v>0</v>
      </c>
      <c r="J304" t="s">
        <v>38</v>
      </c>
      <c r="K304">
        <v>0</v>
      </c>
      <c r="L304">
        <v>1.2904095694709801E-3</v>
      </c>
      <c r="M304" t="s">
        <v>38</v>
      </c>
      <c r="O304" t="s">
        <v>2838</v>
      </c>
      <c r="P304">
        <v>11734.275600000001</v>
      </c>
      <c r="Q304">
        <v>11706.3608</v>
      </c>
      <c r="R304">
        <v>0.99762108877006395</v>
      </c>
      <c r="S304">
        <v>3.28876249482284E-3</v>
      </c>
      <c r="T304">
        <v>0</v>
      </c>
      <c r="U304" t="s">
        <v>2826</v>
      </c>
    </row>
    <row r="305" spans="1:21" x14ac:dyDescent="0.3">
      <c r="A305">
        <v>304</v>
      </c>
      <c r="B305" t="s">
        <v>673</v>
      </c>
      <c r="C305" t="s">
        <v>38</v>
      </c>
      <c r="D305">
        <v>5</v>
      </c>
      <c r="E305" t="s">
        <v>38</v>
      </c>
      <c r="F305">
        <v>2</v>
      </c>
      <c r="G305" t="s">
        <v>38</v>
      </c>
      <c r="H305" t="s">
        <v>38</v>
      </c>
      <c r="I305">
        <v>0</v>
      </c>
      <c r="J305" t="s">
        <v>38</v>
      </c>
      <c r="K305">
        <v>0</v>
      </c>
      <c r="L305">
        <v>6.5096200453713896E-3</v>
      </c>
      <c r="M305" t="s">
        <v>38</v>
      </c>
      <c r="O305" t="s">
        <v>2838</v>
      </c>
      <c r="P305">
        <v>42273.727200000001</v>
      </c>
      <c r="Q305">
        <v>40004.239600000001</v>
      </c>
      <c r="R305">
        <v>0.94631446644714101</v>
      </c>
      <c r="S305">
        <v>4.2023270495740499E-2</v>
      </c>
      <c r="T305">
        <v>2</v>
      </c>
      <c r="U305" t="s">
        <v>2826</v>
      </c>
    </row>
    <row r="306" spans="1:21" x14ac:dyDescent="0.3">
      <c r="A306">
        <v>305</v>
      </c>
      <c r="B306" t="s">
        <v>308</v>
      </c>
      <c r="C306" t="s">
        <v>38</v>
      </c>
      <c r="D306">
        <v>4</v>
      </c>
      <c r="E306" t="s">
        <v>38</v>
      </c>
      <c r="F306">
        <v>1</v>
      </c>
      <c r="G306" t="s">
        <v>38</v>
      </c>
      <c r="H306" t="s">
        <v>38</v>
      </c>
      <c r="I306">
        <v>0</v>
      </c>
      <c r="J306" t="s">
        <v>38</v>
      </c>
      <c r="K306">
        <v>0</v>
      </c>
      <c r="L306">
        <v>1.1716436384864E-3</v>
      </c>
      <c r="M306" t="s">
        <v>38</v>
      </c>
      <c r="O306" t="s">
        <v>2838</v>
      </c>
      <c r="P306">
        <v>49834.434399999998</v>
      </c>
      <c r="Q306">
        <v>48084.245199999998</v>
      </c>
      <c r="R306">
        <v>0.96487992246581999</v>
      </c>
      <c r="S306">
        <v>2.1665814166706401E-2</v>
      </c>
      <c r="T306">
        <v>1</v>
      </c>
      <c r="U306" t="s">
        <v>2826</v>
      </c>
    </row>
    <row r="307" spans="1:21" x14ac:dyDescent="0.3">
      <c r="A307">
        <v>306</v>
      </c>
      <c r="B307" t="s">
        <v>2453</v>
      </c>
      <c r="C307" t="s">
        <v>38</v>
      </c>
      <c r="D307">
        <v>0</v>
      </c>
      <c r="E307" t="s">
        <v>38</v>
      </c>
      <c r="F307">
        <v>0</v>
      </c>
      <c r="G307" t="s">
        <v>38</v>
      </c>
      <c r="H307" t="s">
        <v>38</v>
      </c>
      <c r="I307">
        <v>0</v>
      </c>
      <c r="J307" t="s">
        <v>38</v>
      </c>
      <c r="K307">
        <v>0</v>
      </c>
      <c r="L307">
        <v>2.8081711011788699E-3</v>
      </c>
      <c r="M307" t="s">
        <v>38</v>
      </c>
      <c r="O307" t="s">
        <v>2838</v>
      </c>
      <c r="P307">
        <v>1673.7739999999999</v>
      </c>
      <c r="Q307">
        <v>1666.85</v>
      </c>
      <c r="R307">
        <v>0.99586324079595001</v>
      </c>
      <c r="S307">
        <v>8.0848871715066203E-3</v>
      </c>
      <c r="T307">
        <v>0</v>
      </c>
      <c r="U307" t="s">
        <v>2826</v>
      </c>
    </row>
    <row r="308" spans="1:21" x14ac:dyDescent="0.3">
      <c r="A308">
        <v>307</v>
      </c>
      <c r="B308" t="s">
        <v>1684</v>
      </c>
      <c r="C308" t="s">
        <v>38</v>
      </c>
      <c r="D308">
        <v>1</v>
      </c>
      <c r="E308" t="s">
        <v>38</v>
      </c>
      <c r="F308">
        <v>0</v>
      </c>
      <c r="G308" t="s">
        <v>38</v>
      </c>
      <c r="H308" t="s">
        <v>38</v>
      </c>
      <c r="I308">
        <v>0</v>
      </c>
      <c r="J308" t="s">
        <v>38</v>
      </c>
      <c r="K308">
        <v>0</v>
      </c>
      <c r="L308" t="s">
        <v>2840</v>
      </c>
      <c r="M308" t="s">
        <v>38</v>
      </c>
      <c r="O308" t="s">
        <v>2859</v>
      </c>
      <c r="P308">
        <v>129.90559999999999</v>
      </c>
      <c r="Q308">
        <v>129.15479999999999</v>
      </c>
      <c r="R308">
        <v>0.99422041851929399</v>
      </c>
      <c r="S308">
        <v>6.2493431911331198E-3</v>
      </c>
      <c r="T308">
        <v>0</v>
      </c>
      <c r="U308" t="s">
        <v>2826</v>
      </c>
    </row>
    <row r="309" spans="1:21" x14ac:dyDescent="0.3">
      <c r="A309">
        <v>308</v>
      </c>
      <c r="B309" t="s">
        <v>939</v>
      </c>
      <c r="C309" t="s">
        <v>38</v>
      </c>
      <c r="D309">
        <v>3</v>
      </c>
      <c r="E309" t="s">
        <v>38</v>
      </c>
      <c r="F309">
        <v>1</v>
      </c>
      <c r="G309" t="s">
        <v>38</v>
      </c>
      <c r="H309" t="s">
        <v>38</v>
      </c>
      <c r="I309">
        <v>0</v>
      </c>
      <c r="J309" t="s">
        <v>38</v>
      </c>
      <c r="K309">
        <v>0</v>
      </c>
      <c r="L309">
        <v>1.8416580589170401E-4</v>
      </c>
      <c r="M309" t="s">
        <v>38</v>
      </c>
      <c r="O309" t="s">
        <v>2836</v>
      </c>
      <c r="P309">
        <v>1320.886</v>
      </c>
      <c r="Q309">
        <v>1298.8296</v>
      </c>
      <c r="R309">
        <v>0.98330181408539397</v>
      </c>
      <c r="S309">
        <v>1.4947451175107301E-2</v>
      </c>
      <c r="T309">
        <v>1</v>
      </c>
      <c r="U309" t="s">
        <v>2826</v>
      </c>
    </row>
    <row r="310" spans="1:21" x14ac:dyDescent="0.3">
      <c r="A310">
        <v>309</v>
      </c>
      <c r="B310" t="s">
        <v>517</v>
      </c>
      <c r="C310" t="s">
        <v>38</v>
      </c>
      <c r="D310">
        <v>0</v>
      </c>
      <c r="E310" t="s">
        <v>38</v>
      </c>
      <c r="F310">
        <v>0</v>
      </c>
      <c r="G310" t="s">
        <v>38</v>
      </c>
      <c r="H310" t="s">
        <v>38</v>
      </c>
      <c r="I310">
        <v>0</v>
      </c>
      <c r="J310" t="s">
        <v>38</v>
      </c>
      <c r="K310">
        <v>0</v>
      </c>
      <c r="L310">
        <v>1.58346304225032E-3</v>
      </c>
      <c r="M310" t="s">
        <v>38</v>
      </c>
      <c r="O310" t="s">
        <v>2838</v>
      </c>
      <c r="P310">
        <v>983.548</v>
      </c>
      <c r="Q310">
        <v>979.37239999999997</v>
      </c>
      <c r="R310">
        <v>0.99575455392111001</v>
      </c>
      <c r="S310">
        <v>7.3267703942449603E-3</v>
      </c>
      <c r="T310">
        <v>0</v>
      </c>
      <c r="U310" t="s">
        <v>2826</v>
      </c>
    </row>
    <row r="311" spans="1:21" x14ac:dyDescent="0.3">
      <c r="A311">
        <v>310</v>
      </c>
      <c r="B311" t="s">
        <v>2181</v>
      </c>
      <c r="C311" t="s">
        <v>38</v>
      </c>
      <c r="D311">
        <v>15</v>
      </c>
      <c r="E311" t="s">
        <v>38</v>
      </c>
      <c r="F311">
        <v>5</v>
      </c>
      <c r="G311" t="s">
        <v>38</v>
      </c>
      <c r="H311" t="s">
        <v>38</v>
      </c>
      <c r="I311">
        <v>0.1</v>
      </c>
      <c r="J311" t="s">
        <v>38</v>
      </c>
      <c r="K311">
        <v>0</v>
      </c>
      <c r="L311">
        <v>6.8096454218207697E-3</v>
      </c>
      <c r="M311" t="s">
        <v>38</v>
      </c>
      <c r="O311" t="s">
        <v>2836</v>
      </c>
      <c r="P311">
        <v>988.53</v>
      </c>
      <c r="Q311">
        <v>829.17679999999996</v>
      </c>
      <c r="R311">
        <v>0.83879781089091898</v>
      </c>
      <c r="S311">
        <v>0.106452992408834</v>
      </c>
      <c r="T311">
        <v>5</v>
      </c>
      <c r="U311" t="s">
        <v>2826</v>
      </c>
    </row>
    <row r="312" spans="1:21" x14ac:dyDescent="0.3">
      <c r="A312">
        <v>311</v>
      </c>
      <c r="B312" t="s">
        <v>2187</v>
      </c>
      <c r="C312" t="s">
        <v>38</v>
      </c>
      <c r="D312">
        <v>6</v>
      </c>
      <c r="E312" t="s">
        <v>38</v>
      </c>
      <c r="F312">
        <v>3</v>
      </c>
      <c r="G312" t="s">
        <v>38</v>
      </c>
      <c r="H312" t="s">
        <v>38</v>
      </c>
      <c r="I312">
        <v>0.1</v>
      </c>
      <c r="J312" t="s">
        <v>38</v>
      </c>
      <c r="K312">
        <v>0</v>
      </c>
      <c r="L312">
        <v>2.78440173937439E-3</v>
      </c>
      <c r="M312" t="s">
        <v>38</v>
      </c>
      <c r="O312" t="s">
        <v>2836</v>
      </c>
      <c r="P312">
        <v>59.8264</v>
      </c>
      <c r="Q312">
        <v>57.031999999999996</v>
      </c>
      <c r="R312">
        <v>0.95329152347458601</v>
      </c>
      <c r="S312">
        <v>6.3787778854147395E-2</v>
      </c>
      <c r="T312">
        <v>3</v>
      </c>
      <c r="U312" t="s">
        <v>2826</v>
      </c>
    </row>
    <row r="313" spans="1:21" x14ac:dyDescent="0.3">
      <c r="A313">
        <v>312</v>
      </c>
      <c r="B313" t="s">
        <v>1893</v>
      </c>
      <c r="C313" t="s">
        <v>38</v>
      </c>
      <c r="D313">
        <v>28</v>
      </c>
      <c r="E313" t="s">
        <v>38</v>
      </c>
      <c r="F313">
        <v>14</v>
      </c>
      <c r="G313" t="s">
        <v>38</v>
      </c>
      <c r="H313" t="s">
        <v>38</v>
      </c>
      <c r="I313">
        <v>0.3</v>
      </c>
      <c r="J313" t="s">
        <v>38</v>
      </c>
      <c r="K313">
        <v>0</v>
      </c>
      <c r="L313">
        <v>2.2625499384080199E-2</v>
      </c>
      <c r="M313" t="s">
        <v>38</v>
      </c>
      <c r="O313" t="s">
        <v>2836</v>
      </c>
      <c r="P313">
        <v>185.21360000000001</v>
      </c>
      <c r="Q313">
        <v>130.8612</v>
      </c>
      <c r="R313">
        <v>0.70654206818505805</v>
      </c>
      <c r="S313">
        <v>0.28966674154685801</v>
      </c>
      <c r="T313">
        <v>14</v>
      </c>
      <c r="U313" t="s">
        <v>2826</v>
      </c>
    </row>
    <row r="314" spans="1:21" x14ac:dyDescent="0.3">
      <c r="A314">
        <v>313</v>
      </c>
      <c r="B314" t="s">
        <v>700</v>
      </c>
      <c r="C314" t="s">
        <v>51</v>
      </c>
      <c r="D314">
        <v>76</v>
      </c>
      <c r="E314" t="s">
        <v>76</v>
      </c>
      <c r="F314">
        <v>43</v>
      </c>
      <c r="G314" t="s">
        <v>106</v>
      </c>
      <c r="H314" t="s">
        <v>106</v>
      </c>
      <c r="I314">
        <v>0.9</v>
      </c>
      <c r="J314" t="s">
        <v>38</v>
      </c>
      <c r="K314">
        <v>0</v>
      </c>
      <c r="L314">
        <v>6.3331222292590302E-4</v>
      </c>
      <c r="M314" t="s">
        <v>106</v>
      </c>
      <c r="N314" t="s">
        <v>706</v>
      </c>
      <c r="O314" t="s">
        <v>2842</v>
      </c>
      <c r="P314">
        <v>2.86</v>
      </c>
      <c r="Q314">
        <v>0.61439999999999995</v>
      </c>
      <c r="R314">
        <v>0.220839160839161</v>
      </c>
      <c r="S314">
        <v>0.869360902255639</v>
      </c>
      <c r="T314">
        <v>43</v>
      </c>
      <c r="U314" t="s">
        <v>2826</v>
      </c>
    </row>
    <row r="315" spans="1:21" x14ac:dyDescent="0.3">
      <c r="A315">
        <v>314</v>
      </c>
      <c r="B315" t="s">
        <v>1016</v>
      </c>
      <c r="C315" t="s">
        <v>38</v>
      </c>
      <c r="D315">
        <v>2</v>
      </c>
      <c r="E315" t="s">
        <v>38</v>
      </c>
      <c r="F315">
        <v>2</v>
      </c>
      <c r="G315" t="s">
        <v>38</v>
      </c>
      <c r="H315" t="s">
        <v>38</v>
      </c>
      <c r="I315">
        <v>0</v>
      </c>
      <c r="J315" t="s">
        <v>38</v>
      </c>
      <c r="K315">
        <v>0</v>
      </c>
      <c r="L315">
        <v>3.5371269971218002E-4</v>
      </c>
      <c r="M315" t="s">
        <v>38</v>
      </c>
      <c r="O315" t="s">
        <v>2838</v>
      </c>
      <c r="P315">
        <v>142.76560000000001</v>
      </c>
      <c r="Q315">
        <v>140.2268</v>
      </c>
      <c r="R315">
        <v>0.98221700465658401</v>
      </c>
      <c r="S315">
        <v>4.2140483285916401E-2</v>
      </c>
      <c r="T315">
        <v>2</v>
      </c>
      <c r="U315" t="s">
        <v>2826</v>
      </c>
    </row>
    <row r="316" spans="1:21" x14ac:dyDescent="0.3">
      <c r="A316">
        <v>315</v>
      </c>
      <c r="B316" t="s">
        <v>1365</v>
      </c>
      <c r="C316" t="s">
        <v>38</v>
      </c>
      <c r="D316">
        <v>3</v>
      </c>
      <c r="E316" t="s">
        <v>38</v>
      </c>
      <c r="F316">
        <v>1</v>
      </c>
      <c r="G316" t="s">
        <v>38</v>
      </c>
      <c r="H316" t="s">
        <v>38</v>
      </c>
      <c r="I316">
        <v>0</v>
      </c>
      <c r="J316" t="s">
        <v>38</v>
      </c>
      <c r="K316">
        <v>0</v>
      </c>
      <c r="L316" s="18">
        <v>4.9196372086272703E-5</v>
      </c>
      <c r="M316" t="s">
        <v>38</v>
      </c>
      <c r="O316" t="s">
        <v>2838</v>
      </c>
      <c r="P316">
        <v>7582.1624000000002</v>
      </c>
      <c r="Q316">
        <v>7342.0047999999997</v>
      </c>
      <c r="R316">
        <v>0.96832597518618202</v>
      </c>
      <c r="S316">
        <v>1.2980613483179399E-2</v>
      </c>
      <c r="T316">
        <v>1</v>
      </c>
      <c r="U316" t="s">
        <v>2826</v>
      </c>
    </row>
    <row r="317" spans="1:21" x14ac:dyDescent="0.3">
      <c r="A317">
        <v>316</v>
      </c>
      <c r="B317" t="s">
        <v>1532</v>
      </c>
      <c r="C317" t="s">
        <v>38</v>
      </c>
      <c r="D317">
        <v>1</v>
      </c>
      <c r="E317" t="s">
        <v>38</v>
      </c>
      <c r="F317">
        <v>0</v>
      </c>
      <c r="G317" t="s">
        <v>38</v>
      </c>
      <c r="H317" t="s">
        <v>38</v>
      </c>
      <c r="I317">
        <v>0</v>
      </c>
      <c r="J317" t="s">
        <v>38</v>
      </c>
      <c r="K317">
        <v>0</v>
      </c>
      <c r="L317">
        <v>0</v>
      </c>
      <c r="M317" t="s">
        <v>38</v>
      </c>
      <c r="O317" t="s">
        <v>2838</v>
      </c>
      <c r="P317">
        <v>539.33240000000001</v>
      </c>
      <c r="Q317">
        <v>534.20360000000005</v>
      </c>
      <c r="R317">
        <v>0.99049046562008902</v>
      </c>
      <c r="S317">
        <v>7.0949080645594798E-3</v>
      </c>
      <c r="T317">
        <v>0</v>
      </c>
      <c r="U317" t="s">
        <v>2826</v>
      </c>
    </row>
    <row r="318" spans="1:21" x14ac:dyDescent="0.3">
      <c r="A318">
        <v>317</v>
      </c>
      <c r="B318" t="s">
        <v>957</v>
      </c>
      <c r="C318" t="s">
        <v>38</v>
      </c>
      <c r="D318">
        <v>7</v>
      </c>
      <c r="E318" t="s">
        <v>38</v>
      </c>
      <c r="F318">
        <v>1</v>
      </c>
      <c r="G318" t="s">
        <v>38</v>
      </c>
      <c r="H318" t="s">
        <v>38</v>
      </c>
      <c r="I318">
        <v>0</v>
      </c>
      <c r="J318" t="s">
        <v>38</v>
      </c>
      <c r="K318">
        <v>0</v>
      </c>
      <c r="L318" s="18">
        <v>7.6512682011633206E-5</v>
      </c>
      <c r="M318" t="s">
        <v>38</v>
      </c>
      <c r="O318" t="s">
        <v>2838</v>
      </c>
      <c r="P318">
        <v>3107.9960000000001</v>
      </c>
      <c r="Q318">
        <v>2891.0239999999999</v>
      </c>
      <c r="R318">
        <v>0.93018909934246996</v>
      </c>
      <c r="S318">
        <v>2.9535900181497401E-2</v>
      </c>
      <c r="T318">
        <v>1</v>
      </c>
      <c r="U318" t="s">
        <v>2826</v>
      </c>
    </row>
    <row r="319" spans="1:21" x14ac:dyDescent="0.3">
      <c r="A319">
        <v>318</v>
      </c>
      <c r="B319" t="s">
        <v>1700</v>
      </c>
      <c r="C319" t="s">
        <v>38</v>
      </c>
      <c r="D319">
        <v>9</v>
      </c>
      <c r="E319" t="s">
        <v>38</v>
      </c>
      <c r="F319">
        <v>2</v>
      </c>
      <c r="G319" t="s">
        <v>38</v>
      </c>
      <c r="H319" t="s">
        <v>38</v>
      </c>
      <c r="I319">
        <v>0</v>
      </c>
      <c r="J319" t="s">
        <v>38</v>
      </c>
      <c r="K319">
        <v>0</v>
      </c>
      <c r="L319" s="18">
        <v>3.80680798713718E-5</v>
      </c>
      <c r="M319" t="s">
        <v>38</v>
      </c>
      <c r="O319" t="s">
        <v>2838</v>
      </c>
      <c r="P319">
        <v>5040.6135999999997</v>
      </c>
      <c r="Q319">
        <v>4581.2659999999996</v>
      </c>
      <c r="R319">
        <v>0.90887069780552099</v>
      </c>
      <c r="S319">
        <v>3.45540500821074E-2</v>
      </c>
      <c r="T319">
        <v>2</v>
      </c>
      <c r="U319" t="s">
        <v>2826</v>
      </c>
    </row>
    <row r="320" spans="1:21" x14ac:dyDescent="0.3">
      <c r="A320">
        <v>319</v>
      </c>
      <c r="B320" t="s">
        <v>1168</v>
      </c>
      <c r="C320" t="s">
        <v>38</v>
      </c>
      <c r="D320">
        <v>0</v>
      </c>
      <c r="E320" t="s">
        <v>38</v>
      </c>
      <c r="F320">
        <v>1</v>
      </c>
      <c r="G320" t="s">
        <v>38</v>
      </c>
      <c r="H320" t="s">
        <v>38</v>
      </c>
      <c r="I320">
        <v>0</v>
      </c>
      <c r="J320" t="s">
        <v>38</v>
      </c>
      <c r="K320">
        <v>0</v>
      </c>
      <c r="L320">
        <v>0</v>
      </c>
      <c r="M320" t="s">
        <v>38</v>
      </c>
      <c r="O320" t="s">
        <v>2838</v>
      </c>
      <c r="P320">
        <v>653.34360000000004</v>
      </c>
      <c r="Q320">
        <v>650.53840000000002</v>
      </c>
      <c r="R320">
        <v>0.99570639400156402</v>
      </c>
      <c r="S320">
        <v>1.0608890572013E-2</v>
      </c>
      <c r="T320">
        <v>1</v>
      </c>
      <c r="U320" t="s">
        <v>2826</v>
      </c>
    </row>
    <row r="321" spans="1:21" x14ac:dyDescent="0.3">
      <c r="A321">
        <v>320</v>
      </c>
      <c r="B321" t="s">
        <v>1036</v>
      </c>
      <c r="C321" t="s">
        <v>38</v>
      </c>
      <c r="D321">
        <v>1</v>
      </c>
      <c r="E321" t="s">
        <v>38</v>
      </c>
      <c r="F321">
        <v>0</v>
      </c>
      <c r="G321" t="s">
        <v>38</v>
      </c>
      <c r="H321" t="s">
        <v>38</v>
      </c>
      <c r="I321">
        <v>0</v>
      </c>
      <c r="J321" t="s">
        <v>38</v>
      </c>
      <c r="K321">
        <v>0</v>
      </c>
      <c r="L321">
        <v>4.2298202326401102E-4</v>
      </c>
      <c r="M321" t="s">
        <v>38</v>
      </c>
      <c r="O321" t="s">
        <v>2838</v>
      </c>
      <c r="P321">
        <v>396.7944</v>
      </c>
      <c r="Q321">
        <v>391.50599999999997</v>
      </c>
      <c r="R321">
        <v>0.98667219093817804</v>
      </c>
      <c r="S321">
        <v>8.9397324498538804E-3</v>
      </c>
      <c r="T321">
        <v>0</v>
      </c>
      <c r="U321" t="s">
        <v>2826</v>
      </c>
    </row>
    <row r="322" spans="1:21" x14ac:dyDescent="0.3">
      <c r="A322">
        <v>321</v>
      </c>
      <c r="B322" t="s">
        <v>2701</v>
      </c>
      <c r="C322" t="s">
        <v>38</v>
      </c>
      <c r="D322">
        <v>8</v>
      </c>
      <c r="E322" t="s">
        <v>38</v>
      </c>
      <c r="F322">
        <v>2</v>
      </c>
      <c r="G322" t="s">
        <v>38</v>
      </c>
      <c r="H322" t="s">
        <v>38</v>
      </c>
      <c r="I322">
        <v>0</v>
      </c>
      <c r="J322" t="s">
        <v>38</v>
      </c>
      <c r="K322">
        <v>0</v>
      </c>
      <c r="L322" t="s">
        <v>2840</v>
      </c>
      <c r="M322" t="s">
        <v>38</v>
      </c>
      <c r="O322" t="s">
        <v>2859</v>
      </c>
      <c r="P322">
        <v>997.14880000000005</v>
      </c>
      <c r="Q322">
        <v>907.93119999999999</v>
      </c>
      <c r="R322">
        <v>0.910527295424715</v>
      </c>
      <c r="S322">
        <v>4.0885950766092097E-2</v>
      </c>
      <c r="T322">
        <v>2</v>
      </c>
      <c r="U322" t="s">
        <v>2826</v>
      </c>
    </row>
    <row r="323" spans="1:21" x14ac:dyDescent="0.3">
      <c r="A323">
        <v>322</v>
      </c>
      <c r="B323" t="s">
        <v>2082</v>
      </c>
      <c r="C323" t="s">
        <v>38</v>
      </c>
      <c r="D323">
        <v>0</v>
      </c>
      <c r="E323" t="s">
        <v>38</v>
      </c>
      <c r="F323">
        <v>0</v>
      </c>
      <c r="G323" t="s">
        <v>38</v>
      </c>
      <c r="H323" t="s">
        <v>38</v>
      </c>
      <c r="I323">
        <v>0</v>
      </c>
      <c r="J323" t="s">
        <v>38</v>
      </c>
      <c r="K323">
        <v>0</v>
      </c>
      <c r="L323" t="s">
        <v>2840</v>
      </c>
      <c r="M323" t="s">
        <v>38</v>
      </c>
      <c r="O323" t="s">
        <v>2848</v>
      </c>
      <c r="P323">
        <v>1200.4012</v>
      </c>
      <c r="Q323">
        <v>1199.7416000000001</v>
      </c>
      <c r="R323">
        <v>0.99945051704380194</v>
      </c>
      <c r="S323">
        <v>1.17168792049548E-3</v>
      </c>
      <c r="T323">
        <v>0</v>
      </c>
      <c r="U323" t="s">
        <v>2826</v>
      </c>
    </row>
    <row r="324" spans="1:21" x14ac:dyDescent="0.3">
      <c r="A324">
        <v>323</v>
      </c>
      <c r="B324" t="s">
        <v>2192</v>
      </c>
      <c r="C324" t="s">
        <v>38</v>
      </c>
      <c r="D324">
        <v>0</v>
      </c>
      <c r="E324" t="s">
        <v>38</v>
      </c>
      <c r="F324">
        <v>0</v>
      </c>
      <c r="G324" t="s">
        <v>38</v>
      </c>
      <c r="H324" t="s">
        <v>38</v>
      </c>
      <c r="I324">
        <v>0</v>
      </c>
      <c r="J324" t="s">
        <v>38</v>
      </c>
      <c r="K324">
        <v>0</v>
      </c>
      <c r="L324" t="s">
        <v>2840</v>
      </c>
      <c r="M324" t="s">
        <v>38</v>
      </c>
      <c r="O324" t="s">
        <v>2848</v>
      </c>
      <c r="P324">
        <v>127.56959999999999</v>
      </c>
      <c r="Q324">
        <v>127.14239999999999</v>
      </c>
      <c r="R324">
        <v>0.99665123979380699</v>
      </c>
      <c r="S324">
        <v>9.56616650775329E-3</v>
      </c>
      <c r="T324">
        <v>0</v>
      </c>
      <c r="U324" t="s">
        <v>2826</v>
      </c>
    </row>
    <row r="325" spans="1:21" x14ac:dyDescent="0.3">
      <c r="A325">
        <v>324</v>
      </c>
      <c r="B325" t="s">
        <v>1784</v>
      </c>
      <c r="C325" t="s">
        <v>38</v>
      </c>
      <c r="D325">
        <v>1</v>
      </c>
      <c r="E325" t="s">
        <v>38</v>
      </c>
      <c r="F325">
        <v>1</v>
      </c>
      <c r="G325" t="s">
        <v>38</v>
      </c>
      <c r="H325" t="s">
        <v>38</v>
      </c>
      <c r="I325">
        <v>0</v>
      </c>
      <c r="J325" t="s">
        <v>38</v>
      </c>
      <c r="K325">
        <v>0</v>
      </c>
      <c r="L325" t="s">
        <v>2840</v>
      </c>
      <c r="M325" t="s">
        <v>38</v>
      </c>
      <c r="O325" t="s">
        <v>2848</v>
      </c>
      <c r="P325">
        <v>129.27520000000001</v>
      </c>
      <c r="Q325">
        <v>128.12039999999999</v>
      </c>
      <c r="R325">
        <v>0.99106711882866905</v>
      </c>
      <c r="S325">
        <v>2.1029022764838302E-2</v>
      </c>
      <c r="T325">
        <v>1</v>
      </c>
      <c r="U325" t="s">
        <v>2826</v>
      </c>
    </row>
    <row r="326" spans="1:21" x14ac:dyDescent="0.3">
      <c r="A326">
        <v>325</v>
      </c>
      <c r="B326" t="s">
        <v>1004</v>
      </c>
      <c r="C326" t="s">
        <v>38</v>
      </c>
      <c r="D326">
        <v>0</v>
      </c>
      <c r="E326" t="s">
        <v>38</v>
      </c>
      <c r="F326">
        <v>0</v>
      </c>
      <c r="G326" t="s">
        <v>38</v>
      </c>
      <c r="H326" t="s">
        <v>38</v>
      </c>
      <c r="I326">
        <v>0</v>
      </c>
      <c r="J326" t="s">
        <v>38</v>
      </c>
      <c r="K326">
        <v>0</v>
      </c>
      <c r="L326" t="s">
        <v>2840</v>
      </c>
      <c r="M326" t="s">
        <v>38</v>
      </c>
      <c r="O326" t="s">
        <v>2848</v>
      </c>
      <c r="P326">
        <v>612.14639999999997</v>
      </c>
      <c r="Q326">
        <v>611.89679999999998</v>
      </c>
      <c r="R326">
        <v>0.99959225440188804</v>
      </c>
      <c r="S326">
        <v>8.9450260753645998E-4</v>
      </c>
      <c r="T326">
        <v>0</v>
      </c>
      <c r="U326" t="s">
        <v>2826</v>
      </c>
    </row>
    <row r="327" spans="1:21" x14ac:dyDescent="0.3">
      <c r="A327">
        <v>326</v>
      </c>
      <c r="B327" t="s">
        <v>2198</v>
      </c>
      <c r="C327" t="s">
        <v>38</v>
      </c>
      <c r="D327">
        <v>0</v>
      </c>
      <c r="E327" t="s">
        <v>38</v>
      </c>
      <c r="F327">
        <v>0</v>
      </c>
      <c r="G327" t="s">
        <v>38</v>
      </c>
      <c r="H327" t="s">
        <v>38</v>
      </c>
      <c r="I327">
        <v>0</v>
      </c>
      <c r="J327" t="s">
        <v>38</v>
      </c>
      <c r="K327">
        <v>0</v>
      </c>
      <c r="L327">
        <v>0</v>
      </c>
      <c r="M327" t="s">
        <v>106</v>
      </c>
      <c r="N327" t="s">
        <v>2204</v>
      </c>
      <c r="O327" t="s">
        <v>2838</v>
      </c>
      <c r="P327">
        <v>722.67600000000004</v>
      </c>
      <c r="Q327">
        <v>721.83159999999998</v>
      </c>
      <c r="R327">
        <v>0.99883156490598801</v>
      </c>
      <c r="S327">
        <v>2.6559093169092598E-3</v>
      </c>
      <c r="T327">
        <v>0</v>
      </c>
      <c r="U327" t="s">
        <v>2860</v>
      </c>
    </row>
    <row r="328" spans="1:21" x14ac:dyDescent="0.3">
      <c r="A328">
        <v>327</v>
      </c>
      <c r="B328" t="s">
        <v>1880</v>
      </c>
      <c r="C328" t="s">
        <v>38</v>
      </c>
      <c r="D328">
        <v>0</v>
      </c>
      <c r="E328" t="s">
        <v>38</v>
      </c>
      <c r="F328">
        <v>0</v>
      </c>
      <c r="G328" t="s">
        <v>38</v>
      </c>
      <c r="H328" t="s">
        <v>38</v>
      </c>
      <c r="I328">
        <v>0</v>
      </c>
      <c r="J328" t="s">
        <v>38</v>
      </c>
      <c r="K328">
        <v>0</v>
      </c>
      <c r="L328" t="s">
        <v>2840</v>
      </c>
      <c r="M328" t="s">
        <v>38</v>
      </c>
      <c r="O328" t="s">
        <v>2848</v>
      </c>
      <c r="P328">
        <v>365.56319999999999</v>
      </c>
      <c r="Q328">
        <v>365.21559999999999</v>
      </c>
      <c r="R328">
        <v>0.99904913842531196</v>
      </c>
      <c r="S328">
        <v>1.72747563335755E-3</v>
      </c>
      <c r="T328">
        <v>0</v>
      </c>
      <c r="U328" t="s">
        <v>2826</v>
      </c>
    </row>
    <row r="329" spans="1:21" x14ac:dyDescent="0.3">
      <c r="A329">
        <v>328</v>
      </c>
      <c r="B329" t="s">
        <v>511</v>
      </c>
      <c r="C329" t="s">
        <v>38</v>
      </c>
      <c r="D329">
        <v>17</v>
      </c>
      <c r="E329" t="s">
        <v>38</v>
      </c>
      <c r="F329">
        <v>2</v>
      </c>
      <c r="G329" t="s">
        <v>38</v>
      </c>
      <c r="H329" t="s">
        <v>38</v>
      </c>
      <c r="I329">
        <v>0</v>
      </c>
      <c r="J329" t="s">
        <v>38</v>
      </c>
      <c r="K329">
        <v>0</v>
      </c>
      <c r="L329">
        <v>0</v>
      </c>
      <c r="M329" t="s">
        <v>38</v>
      </c>
      <c r="O329" t="s">
        <v>2838</v>
      </c>
      <c r="P329">
        <v>241.7792</v>
      </c>
      <c r="Q329">
        <v>200.304</v>
      </c>
      <c r="R329">
        <v>0.82845836200963496</v>
      </c>
      <c r="S329">
        <v>3.32659617345126E-2</v>
      </c>
      <c r="T329">
        <v>2</v>
      </c>
      <c r="U329" t="s">
        <v>2826</v>
      </c>
    </row>
    <row r="330" spans="1:21" x14ac:dyDescent="0.3">
      <c r="A330">
        <v>329</v>
      </c>
      <c r="B330" t="s">
        <v>263</v>
      </c>
      <c r="C330" t="s">
        <v>38</v>
      </c>
      <c r="D330">
        <v>0</v>
      </c>
      <c r="E330" t="s">
        <v>38</v>
      </c>
      <c r="F330">
        <v>0</v>
      </c>
      <c r="G330" t="s">
        <v>38</v>
      </c>
      <c r="H330" t="s">
        <v>38</v>
      </c>
      <c r="I330">
        <v>0</v>
      </c>
      <c r="J330" t="s">
        <v>38</v>
      </c>
      <c r="K330">
        <v>0</v>
      </c>
      <c r="L330" t="s">
        <v>2840</v>
      </c>
      <c r="M330" t="s">
        <v>38</v>
      </c>
      <c r="O330" t="s">
        <v>2848</v>
      </c>
      <c r="P330">
        <v>432.84480000000002</v>
      </c>
      <c r="Q330">
        <v>432.33519999999999</v>
      </c>
      <c r="R330">
        <v>0.99882267269931402</v>
      </c>
      <c r="S330">
        <v>1.9908194617425001E-3</v>
      </c>
      <c r="T330">
        <v>0</v>
      </c>
      <c r="U330" t="s">
        <v>2826</v>
      </c>
    </row>
    <row r="331" spans="1:21" x14ac:dyDescent="0.3">
      <c r="A331">
        <v>330</v>
      </c>
      <c r="B331" t="s">
        <v>549</v>
      </c>
      <c r="C331" t="s">
        <v>38</v>
      </c>
      <c r="D331">
        <v>0</v>
      </c>
      <c r="E331" t="s">
        <v>38</v>
      </c>
      <c r="F331">
        <v>0</v>
      </c>
      <c r="G331" t="s">
        <v>38</v>
      </c>
      <c r="H331" t="s">
        <v>38</v>
      </c>
      <c r="I331">
        <v>0</v>
      </c>
      <c r="J331" t="s">
        <v>38</v>
      </c>
      <c r="K331">
        <v>0</v>
      </c>
      <c r="L331" t="s">
        <v>2840</v>
      </c>
      <c r="M331" t="s">
        <v>38</v>
      </c>
      <c r="O331" t="s">
        <v>2848</v>
      </c>
      <c r="P331">
        <v>260.74560000000002</v>
      </c>
      <c r="Q331">
        <v>259.666</v>
      </c>
      <c r="R331">
        <v>0.99585956579900103</v>
      </c>
      <c r="S331">
        <v>9.7369217161091606E-3</v>
      </c>
      <c r="T331">
        <v>0</v>
      </c>
      <c r="U331" t="s">
        <v>2826</v>
      </c>
    </row>
    <row r="332" spans="1:21" x14ac:dyDescent="0.3">
      <c r="A332">
        <v>331</v>
      </c>
      <c r="B332" t="s">
        <v>964</v>
      </c>
      <c r="C332" t="s">
        <v>38</v>
      </c>
      <c r="D332">
        <v>1</v>
      </c>
      <c r="E332" t="s">
        <v>38</v>
      </c>
      <c r="F332">
        <v>1</v>
      </c>
      <c r="G332" t="s">
        <v>38</v>
      </c>
      <c r="H332" t="s">
        <v>38</v>
      </c>
      <c r="I332">
        <v>0</v>
      </c>
      <c r="J332" t="s">
        <v>38</v>
      </c>
      <c r="K332">
        <v>0</v>
      </c>
      <c r="L332">
        <v>0</v>
      </c>
      <c r="M332" t="s">
        <v>38</v>
      </c>
      <c r="O332" t="s">
        <v>2838</v>
      </c>
      <c r="P332">
        <v>817.7808</v>
      </c>
      <c r="Q332">
        <v>812.36199999999997</v>
      </c>
      <c r="R332">
        <v>0.99337377448822495</v>
      </c>
      <c r="S332">
        <v>1.3413693948991799E-2</v>
      </c>
      <c r="T332">
        <v>1</v>
      </c>
      <c r="U332" t="s">
        <v>2826</v>
      </c>
    </row>
    <row r="333" spans="1:21" x14ac:dyDescent="0.3">
      <c r="A333">
        <v>332</v>
      </c>
      <c r="B333" t="s">
        <v>1222</v>
      </c>
      <c r="C333" t="s">
        <v>38</v>
      </c>
      <c r="D333">
        <v>1</v>
      </c>
      <c r="E333" t="s">
        <v>38</v>
      </c>
      <c r="F333">
        <v>1</v>
      </c>
      <c r="G333" t="s">
        <v>38</v>
      </c>
      <c r="H333" t="s">
        <v>38</v>
      </c>
      <c r="I333">
        <v>0</v>
      </c>
      <c r="J333" t="s">
        <v>38</v>
      </c>
      <c r="K333">
        <v>0</v>
      </c>
      <c r="L333">
        <v>0</v>
      </c>
      <c r="M333" t="s">
        <v>38</v>
      </c>
      <c r="O333" t="s">
        <v>2838</v>
      </c>
      <c r="P333">
        <v>371.96319999999997</v>
      </c>
      <c r="Q333">
        <v>367.71440000000001</v>
      </c>
      <c r="R333">
        <v>0.98857736464252399</v>
      </c>
      <c r="S333">
        <v>2.6940352428608101E-2</v>
      </c>
      <c r="T333">
        <v>1</v>
      </c>
      <c r="U333" t="s">
        <v>2826</v>
      </c>
    </row>
    <row r="334" spans="1:21" x14ac:dyDescent="0.3">
      <c r="A334">
        <v>333</v>
      </c>
      <c r="B334" t="s">
        <v>2205</v>
      </c>
      <c r="C334" t="s">
        <v>38</v>
      </c>
      <c r="D334">
        <v>0</v>
      </c>
      <c r="E334" t="s">
        <v>38</v>
      </c>
      <c r="F334">
        <v>0</v>
      </c>
      <c r="G334" t="s">
        <v>38</v>
      </c>
      <c r="H334" t="s">
        <v>38</v>
      </c>
      <c r="I334">
        <v>0</v>
      </c>
      <c r="J334" t="s">
        <v>38</v>
      </c>
      <c r="K334">
        <v>0</v>
      </c>
      <c r="L334">
        <v>0</v>
      </c>
      <c r="M334" t="s">
        <v>106</v>
      </c>
      <c r="N334" t="s">
        <v>2204</v>
      </c>
      <c r="O334" t="s">
        <v>2838</v>
      </c>
      <c r="P334">
        <v>192.11359999999999</v>
      </c>
      <c r="Q334">
        <v>191.3312</v>
      </c>
      <c r="R334">
        <v>0.99592740961597703</v>
      </c>
      <c r="S334">
        <v>6.8057792278229598E-3</v>
      </c>
      <c r="T334">
        <v>0</v>
      </c>
      <c r="U334" t="s">
        <v>2860</v>
      </c>
    </row>
    <row r="335" spans="1:21" x14ac:dyDescent="0.3">
      <c r="A335">
        <v>334</v>
      </c>
      <c r="B335" t="s">
        <v>1143</v>
      </c>
      <c r="C335" t="s">
        <v>38</v>
      </c>
      <c r="D335">
        <v>0</v>
      </c>
      <c r="E335" t="s">
        <v>38</v>
      </c>
      <c r="F335">
        <v>0</v>
      </c>
      <c r="G335" t="s">
        <v>38</v>
      </c>
      <c r="H335" t="s">
        <v>38</v>
      </c>
      <c r="I335">
        <v>0</v>
      </c>
      <c r="J335" t="s">
        <v>38</v>
      </c>
      <c r="K335">
        <v>0</v>
      </c>
      <c r="L335" t="s">
        <v>2840</v>
      </c>
      <c r="M335" t="s">
        <v>38</v>
      </c>
      <c r="O335" t="s">
        <v>2848</v>
      </c>
      <c r="P335">
        <v>170.77440000000001</v>
      </c>
      <c r="Q335">
        <v>170.73759999999999</v>
      </c>
      <c r="R335">
        <v>0.99978451102741395</v>
      </c>
      <c r="S335">
        <v>6.7340303933193305E-4</v>
      </c>
      <c r="T335">
        <v>0</v>
      </c>
      <c r="U335" t="s">
        <v>2826</v>
      </c>
    </row>
    <row r="336" spans="1:21" x14ac:dyDescent="0.3">
      <c r="A336">
        <v>335</v>
      </c>
      <c r="B336" t="s">
        <v>1114</v>
      </c>
      <c r="C336" t="s">
        <v>38</v>
      </c>
      <c r="D336">
        <v>1</v>
      </c>
      <c r="E336" t="s">
        <v>38</v>
      </c>
      <c r="F336">
        <v>0</v>
      </c>
      <c r="G336" t="s">
        <v>38</v>
      </c>
      <c r="H336" t="s">
        <v>38</v>
      </c>
      <c r="I336">
        <v>0</v>
      </c>
      <c r="J336" t="s">
        <v>38</v>
      </c>
      <c r="K336">
        <v>0</v>
      </c>
      <c r="L336">
        <v>0</v>
      </c>
      <c r="M336" t="s">
        <v>38</v>
      </c>
      <c r="O336" t="s">
        <v>2838</v>
      </c>
      <c r="P336">
        <v>836.22479999999996</v>
      </c>
      <c r="Q336">
        <v>827.16120000000001</v>
      </c>
      <c r="R336">
        <v>0.989161287730285</v>
      </c>
      <c r="S336">
        <v>5.3630703591384396E-3</v>
      </c>
      <c r="T336">
        <v>0</v>
      </c>
      <c r="U336" t="s">
        <v>2826</v>
      </c>
    </row>
    <row r="337" spans="1:21" x14ac:dyDescent="0.3">
      <c r="A337">
        <v>336</v>
      </c>
      <c r="B337" t="s">
        <v>2211</v>
      </c>
      <c r="C337" t="s">
        <v>38</v>
      </c>
      <c r="D337">
        <v>0</v>
      </c>
      <c r="E337" t="s">
        <v>38</v>
      </c>
      <c r="F337">
        <v>0</v>
      </c>
      <c r="G337" t="s">
        <v>38</v>
      </c>
      <c r="H337" t="s">
        <v>38</v>
      </c>
      <c r="I337">
        <v>0</v>
      </c>
      <c r="J337" t="s">
        <v>38</v>
      </c>
      <c r="K337">
        <v>0</v>
      </c>
      <c r="L337" t="s">
        <v>2840</v>
      </c>
      <c r="M337" t="s">
        <v>38</v>
      </c>
      <c r="O337" t="s">
        <v>2848</v>
      </c>
      <c r="P337">
        <v>18.365200000000002</v>
      </c>
      <c r="Q337">
        <v>18.365200000000002</v>
      </c>
      <c r="R337">
        <v>1</v>
      </c>
      <c r="S337">
        <v>0</v>
      </c>
      <c r="T337">
        <v>0</v>
      </c>
      <c r="U337" t="s">
        <v>2826</v>
      </c>
    </row>
    <row r="338" spans="1:21" x14ac:dyDescent="0.3">
      <c r="A338">
        <v>337</v>
      </c>
      <c r="B338" t="s">
        <v>2217</v>
      </c>
      <c r="C338" t="s">
        <v>38</v>
      </c>
      <c r="D338">
        <v>0</v>
      </c>
      <c r="E338" t="s">
        <v>38</v>
      </c>
      <c r="F338">
        <v>0</v>
      </c>
      <c r="G338" t="s">
        <v>38</v>
      </c>
      <c r="H338" t="s">
        <v>38</v>
      </c>
      <c r="I338">
        <v>0</v>
      </c>
      <c r="J338" t="s">
        <v>38</v>
      </c>
      <c r="K338">
        <v>0</v>
      </c>
      <c r="L338" t="s">
        <v>2840</v>
      </c>
      <c r="M338" t="s">
        <v>38</v>
      </c>
      <c r="O338" t="s">
        <v>2848</v>
      </c>
      <c r="P338">
        <v>65.872799999999998</v>
      </c>
      <c r="Q338">
        <v>65.8232</v>
      </c>
      <c r="R338">
        <v>0.99924703367702605</v>
      </c>
      <c r="S338">
        <v>2.1444273733684399E-3</v>
      </c>
      <c r="T338">
        <v>0</v>
      </c>
      <c r="U338" t="s">
        <v>2826</v>
      </c>
    </row>
    <row r="339" spans="1:21" x14ac:dyDescent="0.3">
      <c r="A339">
        <v>338</v>
      </c>
      <c r="B339" t="s">
        <v>2223</v>
      </c>
      <c r="C339" t="s">
        <v>38</v>
      </c>
      <c r="D339">
        <v>0</v>
      </c>
      <c r="E339" t="s">
        <v>38</v>
      </c>
      <c r="F339">
        <v>0</v>
      </c>
      <c r="G339" t="s">
        <v>38</v>
      </c>
      <c r="H339" t="s">
        <v>38</v>
      </c>
      <c r="I339">
        <v>0</v>
      </c>
      <c r="J339" t="s">
        <v>38</v>
      </c>
      <c r="K339">
        <v>0</v>
      </c>
      <c r="L339" t="s">
        <v>2840</v>
      </c>
      <c r="M339" t="s">
        <v>51</v>
      </c>
      <c r="N339" t="s">
        <v>2204</v>
      </c>
      <c r="O339" t="s">
        <v>2848</v>
      </c>
      <c r="P339">
        <v>327.14960000000002</v>
      </c>
      <c r="Q339">
        <v>326.55439999999999</v>
      </c>
      <c r="R339">
        <v>0.99818064885300195</v>
      </c>
      <c r="S339">
        <v>5.5405362444308102E-3</v>
      </c>
      <c r="T339">
        <v>0</v>
      </c>
      <c r="U339" t="s">
        <v>2860</v>
      </c>
    </row>
    <row r="340" spans="1:21" x14ac:dyDescent="0.3">
      <c r="A340">
        <v>339</v>
      </c>
      <c r="B340" t="s">
        <v>1999</v>
      </c>
      <c r="C340" t="s">
        <v>38</v>
      </c>
      <c r="D340">
        <v>0</v>
      </c>
      <c r="E340" t="s">
        <v>38</v>
      </c>
      <c r="F340">
        <v>0</v>
      </c>
      <c r="G340" t="s">
        <v>38</v>
      </c>
      <c r="H340" t="s">
        <v>38</v>
      </c>
      <c r="I340">
        <v>0</v>
      </c>
      <c r="J340" t="s">
        <v>38</v>
      </c>
      <c r="K340">
        <v>0</v>
      </c>
      <c r="L340" t="s">
        <v>2840</v>
      </c>
      <c r="M340" t="s">
        <v>38</v>
      </c>
      <c r="O340" t="s">
        <v>2848</v>
      </c>
      <c r="P340">
        <v>50.557600000000001</v>
      </c>
      <c r="Q340">
        <v>50.510399999999997</v>
      </c>
      <c r="R340">
        <v>0.99906641138028696</v>
      </c>
      <c r="S340">
        <v>2.91746443660323E-3</v>
      </c>
      <c r="T340">
        <v>0</v>
      </c>
      <c r="U340" t="s">
        <v>2826</v>
      </c>
    </row>
    <row r="341" spans="1:21" x14ac:dyDescent="0.3">
      <c r="A341">
        <v>340</v>
      </c>
      <c r="B341" t="s">
        <v>1235</v>
      </c>
      <c r="C341" t="s">
        <v>38</v>
      </c>
      <c r="D341">
        <v>0</v>
      </c>
      <c r="E341" t="s">
        <v>38</v>
      </c>
      <c r="F341">
        <v>0</v>
      </c>
      <c r="G341" t="s">
        <v>38</v>
      </c>
      <c r="H341" t="s">
        <v>38</v>
      </c>
      <c r="I341">
        <v>0</v>
      </c>
      <c r="J341" t="s">
        <v>38</v>
      </c>
      <c r="K341">
        <v>0</v>
      </c>
      <c r="L341" t="s">
        <v>2840</v>
      </c>
      <c r="M341" t="s">
        <v>38</v>
      </c>
      <c r="O341" t="s">
        <v>2848</v>
      </c>
      <c r="P341">
        <v>3.2652000000000001</v>
      </c>
      <c r="Q341">
        <v>3.2652000000000001</v>
      </c>
      <c r="R341">
        <v>1</v>
      </c>
      <c r="S341">
        <v>0</v>
      </c>
      <c r="T341">
        <v>0</v>
      </c>
      <c r="U341" t="s">
        <v>2826</v>
      </c>
    </row>
    <row r="342" spans="1:21" x14ac:dyDescent="0.3">
      <c r="A342">
        <v>341</v>
      </c>
      <c r="B342" t="s">
        <v>2064</v>
      </c>
      <c r="C342" t="s">
        <v>38</v>
      </c>
      <c r="D342">
        <v>39</v>
      </c>
      <c r="E342" t="s">
        <v>38</v>
      </c>
      <c r="F342">
        <v>18</v>
      </c>
      <c r="G342" t="s">
        <v>106</v>
      </c>
      <c r="H342" t="s">
        <v>51</v>
      </c>
      <c r="I342">
        <v>0.4</v>
      </c>
      <c r="J342" t="s">
        <v>38</v>
      </c>
      <c r="K342">
        <v>0</v>
      </c>
      <c r="L342" t="s">
        <v>2840</v>
      </c>
      <c r="M342" t="s">
        <v>106</v>
      </c>
      <c r="N342" t="s">
        <v>53</v>
      </c>
      <c r="O342" t="s">
        <v>2841</v>
      </c>
      <c r="P342">
        <v>508.02120000000002</v>
      </c>
      <c r="Q342">
        <v>311.00760000000002</v>
      </c>
      <c r="R342">
        <v>0.61219413678011902</v>
      </c>
      <c r="S342">
        <v>0.36643179495912798</v>
      </c>
      <c r="T342">
        <v>18</v>
      </c>
      <c r="U342" t="s">
        <v>2826</v>
      </c>
    </row>
    <row r="343" spans="1:21" x14ac:dyDescent="0.3">
      <c r="A343">
        <v>342</v>
      </c>
      <c r="B343" t="s">
        <v>2229</v>
      </c>
      <c r="C343" t="s">
        <v>38</v>
      </c>
      <c r="D343">
        <v>2</v>
      </c>
      <c r="E343" t="s">
        <v>38</v>
      </c>
      <c r="F343">
        <v>0</v>
      </c>
      <c r="G343" t="s">
        <v>38</v>
      </c>
      <c r="H343" t="s">
        <v>38</v>
      </c>
      <c r="I343">
        <v>0</v>
      </c>
      <c r="J343" t="s">
        <v>38</v>
      </c>
      <c r="K343">
        <v>0</v>
      </c>
      <c r="L343" t="s">
        <v>2840</v>
      </c>
      <c r="M343" t="s">
        <v>38</v>
      </c>
      <c r="O343" t="s">
        <v>2848</v>
      </c>
      <c r="P343">
        <v>136.4288</v>
      </c>
      <c r="Q343">
        <v>133.9984</v>
      </c>
      <c r="R343">
        <v>0.98218557958436903</v>
      </c>
      <c r="S343">
        <v>9.2728866375190993E-3</v>
      </c>
      <c r="T343">
        <v>0</v>
      </c>
      <c r="U343" t="s">
        <v>2826</v>
      </c>
    </row>
    <row r="344" spans="1:21" x14ac:dyDescent="0.3">
      <c r="A344">
        <v>343</v>
      </c>
      <c r="B344" t="s">
        <v>858</v>
      </c>
      <c r="C344" t="s">
        <v>38</v>
      </c>
      <c r="D344">
        <v>0</v>
      </c>
      <c r="E344" t="s">
        <v>38</v>
      </c>
      <c r="F344">
        <v>0</v>
      </c>
      <c r="G344" t="s">
        <v>38</v>
      </c>
      <c r="H344" t="s">
        <v>38</v>
      </c>
      <c r="I344">
        <v>0</v>
      </c>
      <c r="J344" t="s">
        <v>38</v>
      </c>
      <c r="K344">
        <v>0</v>
      </c>
      <c r="L344" t="s">
        <v>2840</v>
      </c>
      <c r="M344" t="s">
        <v>38</v>
      </c>
      <c r="O344" t="s">
        <v>2848</v>
      </c>
      <c r="P344">
        <v>286.97919999999999</v>
      </c>
      <c r="Q344">
        <v>286.68520000000001</v>
      </c>
      <c r="R344">
        <v>0.99897553550919405</v>
      </c>
      <c r="S344">
        <v>2.92294642757559E-3</v>
      </c>
      <c r="T344">
        <v>0</v>
      </c>
      <c r="U344" t="s">
        <v>2826</v>
      </c>
    </row>
    <row r="345" spans="1:21" x14ac:dyDescent="0.3">
      <c r="A345">
        <v>344</v>
      </c>
      <c r="B345" t="s">
        <v>530</v>
      </c>
      <c r="C345" t="s">
        <v>38</v>
      </c>
      <c r="D345">
        <v>5</v>
      </c>
      <c r="E345" t="s">
        <v>38</v>
      </c>
      <c r="F345">
        <v>2</v>
      </c>
      <c r="G345" t="s">
        <v>38</v>
      </c>
      <c r="H345" t="s">
        <v>38</v>
      </c>
      <c r="I345">
        <v>0</v>
      </c>
      <c r="J345" t="s">
        <v>38</v>
      </c>
      <c r="K345">
        <v>0</v>
      </c>
      <c r="L345">
        <v>2.11558258799974E-4</v>
      </c>
      <c r="M345" t="s">
        <v>38</v>
      </c>
      <c r="O345" t="s">
        <v>2836</v>
      </c>
      <c r="P345">
        <v>469.92880000000002</v>
      </c>
      <c r="Q345">
        <v>423.524</v>
      </c>
      <c r="R345">
        <v>0.90125142361991895</v>
      </c>
      <c r="S345">
        <v>3.2368921349070601E-2</v>
      </c>
      <c r="T345">
        <v>2</v>
      </c>
      <c r="U345" t="s">
        <v>2826</v>
      </c>
    </row>
    <row r="346" spans="1:21" x14ac:dyDescent="0.3">
      <c r="A346">
        <v>345</v>
      </c>
      <c r="B346" t="s">
        <v>2235</v>
      </c>
      <c r="C346" t="s">
        <v>38</v>
      </c>
      <c r="D346">
        <v>44</v>
      </c>
      <c r="E346" t="s">
        <v>38</v>
      </c>
      <c r="F346">
        <v>27</v>
      </c>
      <c r="G346" t="s">
        <v>106</v>
      </c>
      <c r="H346" t="s">
        <v>51</v>
      </c>
      <c r="I346">
        <v>0.5</v>
      </c>
      <c r="J346" t="s">
        <v>38</v>
      </c>
      <c r="K346">
        <v>0</v>
      </c>
      <c r="L346">
        <v>1.6876435495622798E-2</v>
      </c>
      <c r="M346" t="s">
        <v>106</v>
      </c>
      <c r="N346" t="s">
        <v>53</v>
      </c>
      <c r="O346" t="s">
        <v>2842</v>
      </c>
      <c r="P346">
        <v>201.12960000000001</v>
      </c>
      <c r="Q346">
        <v>108.1508</v>
      </c>
      <c r="R346">
        <v>0.53771697452786704</v>
      </c>
      <c r="S346">
        <v>0.54427090492029595</v>
      </c>
      <c r="T346">
        <v>27</v>
      </c>
      <c r="U346" t="s">
        <v>2826</v>
      </c>
    </row>
    <row r="347" spans="1:21" x14ac:dyDescent="0.3">
      <c r="A347">
        <v>346</v>
      </c>
      <c r="B347" t="s">
        <v>2705</v>
      </c>
      <c r="C347" t="s">
        <v>38</v>
      </c>
      <c r="D347">
        <v>23</v>
      </c>
      <c r="E347" t="s">
        <v>38</v>
      </c>
      <c r="F347">
        <v>5</v>
      </c>
      <c r="G347" t="s">
        <v>38</v>
      </c>
      <c r="H347" t="s">
        <v>38</v>
      </c>
      <c r="I347">
        <v>0.1</v>
      </c>
      <c r="J347" t="s">
        <v>38</v>
      </c>
      <c r="K347">
        <v>0</v>
      </c>
      <c r="L347">
        <v>3.9812774372746998E-4</v>
      </c>
      <c r="M347" t="s">
        <v>38</v>
      </c>
      <c r="O347" t="s">
        <v>2838</v>
      </c>
      <c r="P347">
        <v>838.94560000000001</v>
      </c>
      <c r="Q347">
        <v>644.01440000000002</v>
      </c>
      <c r="R347">
        <v>0.76764738977115998</v>
      </c>
      <c r="S347">
        <v>9.6191672852069504E-2</v>
      </c>
      <c r="T347">
        <v>5</v>
      </c>
      <c r="U347" t="s">
        <v>2826</v>
      </c>
    </row>
    <row r="348" spans="1:21" x14ac:dyDescent="0.3">
      <c r="A348">
        <v>347</v>
      </c>
      <c r="B348" t="s">
        <v>1010</v>
      </c>
      <c r="C348" t="s">
        <v>38</v>
      </c>
      <c r="D348">
        <v>2</v>
      </c>
      <c r="E348" t="s">
        <v>38</v>
      </c>
      <c r="F348">
        <v>1</v>
      </c>
      <c r="G348" t="s">
        <v>38</v>
      </c>
      <c r="H348" t="s">
        <v>38</v>
      </c>
      <c r="I348">
        <v>0</v>
      </c>
      <c r="J348" t="s">
        <v>38</v>
      </c>
      <c r="K348">
        <v>0</v>
      </c>
      <c r="L348">
        <v>0</v>
      </c>
      <c r="M348" t="s">
        <v>38</v>
      </c>
      <c r="O348" t="s">
        <v>2838</v>
      </c>
      <c r="P348">
        <v>536.10040000000004</v>
      </c>
      <c r="Q348">
        <v>524.90279999999996</v>
      </c>
      <c r="R348">
        <v>0.97911286766434003</v>
      </c>
      <c r="S348">
        <v>2.3943408482678199E-2</v>
      </c>
      <c r="T348">
        <v>1</v>
      </c>
      <c r="U348" t="s">
        <v>2826</v>
      </c>
    </row>
    <row r="349" spans="1:21" x14ac:dyDescent="0.3">
      <c r="A349">
        <v>348</v>
      </c>
      <c r="B349" t="s">
        <v>1619</v>
      </c>
      <c r="C349" t="s">
        <v>38</v>
      </c>
      <c r="D349">
        <v>9</v>
      </c>
      <c r="E349" t="s">
        <v>38</v>
      </c>
      <c r="F349">
        <v>3</v>
      </c>
      <c r="G349" t="s">
        <v>38</v>
      </c>
      <c r="H349" t="s">
        <v>38</v>
      </c>
      <c r="I349">
        <v>0.1</v>
      </c>
      <c r="J349" t="s">
        <v>38</v>
      </c>
      <c r="K349">
        <v>0</v>
      </c>
      <c r="L349" t="s">
        <v>2840</v>
      </c>
      <c r="M349" t="s">
        <v>38</v>
      </c>
      <c r="O349" t="s">
        <v>2848</v>
      </c>
      <c r="P349">
        <v>331.4</v>
      </c>
      <c r="Q349">
        <v>302.72000000000003</v>
      </c>
      <c r="R349">
        <v>0.91345805672902802</v>
      </c>
      <c r="S349">
        <v>6.52976385307735E-2</v>
      </c>
      <c r="T349">
        <v>3</v>
      </c>
      <c r="U349" t="s">
        <v>2826</v>
      </c>
    </row>
    <row r="350" spans="1:21" x14ac:dyDescent="0.3">
      <c r="A350">
        <v>349</v>
      </c>
      <c r="B350" t="s">
        <v>78</v>
      </c>
      <c r="C350" t="s">
        <v>38</v>
      </c>
      <c r="D350">
        <v>2</v>
      </c>
      <c r="E350" t="s">
        <v>38</v>
      </c>
      <c r="F350">
        <v>1</v>
      </c>
      <c r="G350" t="s">
        <v>38</v>
      </c>
      <c r="H350" t="s">
        <v>38</v>
      </c>
      <c r="I350">
        <v>0</v>
      </c>
      <c r="J350" t="s">
        <v>38</v>
      </c>
      <c r="K350">
        <v>0</v>
      </c>
      <c r="L350">
        <v>0</v>
      </c>
      <c r="M350" t="s">
        <v>38</v>
      </c>
      <c r="O350" t="s">
        <v>2838</v>
      </c>
      <c r="P350">
        <v>449.04399999999998</v>
      </c>
      <c r="Q350">
        <v>441.44080000000002</v>
      </c>
      <c r="R350">
        <v>0.983068028968208</v>
      </c>
      <c r="S350">
        <v>1.63096092273964E-2</v>
      </c>
      <c r="T350">
        <v>1</v>
      </c>
      <c r="U350" t="s">
        <v>2826</v>
      </c>
    </row>
    <row r="351" spans="1:21" x14ac:dyDescent="0.3">
      <c r="A351">
        <v>350</v>
      </c>
      <c r="B351" t="s">
        <v>1987</v>
      </c>
      <c r="C351" t="s">
        <v>38</v>
      </c>
      <c r="D351">
        <v>0</v>
      </c>
      <c r="E351" t="s">
        <v>38</v>
      </c>
      <c r="F351">
        <v>0</v>
      </c>
      <c r="G351" t="s">
        <v>38</v>
      </c>
      <c r="H351" t="s">
        <v>38</v>
      </c>
      <c r="I351">
        <v>0</v>
      </c>
      <c r="J351" t="s">
        <v>38</v>
      </c>
      <c r="K351">
        <v>0</v>
      </c>
      <c r="L351">
        <v>0</v>
      </c>
      <c r="M351" t="s">
        <v>38</v>
      </c>
      <c r="O351" t="s">
        <v>2838</v>
      </c>
      <c r="P351">
        <v>566.1096</v>
      </c>
      <c r="Q351">
        <v>565.69079999999997</v>
      </c>
      <c r="R351">
        <v>0.99926021392324005</v>
      </c>
      <c r="S351">
        <v>1.9080045028905699E-3</v>
      </c>
      <c r="T351">
        <v>0</v>
      </c>
      <c r="U351" t="s">
        <v>2826</v>
      </c>
    </row>
    <row r="352" spans="1:21" x14ac:dyDescent="0.3">
      <c r="A352">
        <v>351</v>
      </c>
      <c r="B352" t="s">
        <v>1673</v>
      </c>
      <c r="C352" t="s">
        <v>38</v>
      </c>
      <c r="D352">
        <v>0</v>
      </c>
      <c r="E352" t="s">
        <v>38</v>
      </c>
      <c r="F352">
        <v>0</v>
      </c>
      <c r="G352" t="s">
        <v>38</v>
      </c>
      <c r="H352" t="s">
        <v>38</v>
      </c>
      <c r="I352">
        <v>0</v>
      </c>
      <c r="J352" t="s">
        <v>38</v>
      </c>
      <c r="K352">
        <v>0</v>
      </c>
      <c r="L352" t="s">
        <v>2840</v>
      </c>
      <c r="M352" t="s">
        <v>38</v>
      </c>
      <c r="O352" t="s">
        <v>2848</v>
      </c>
      <c r="P352">
        <v>123.30200000000001</v>
      </c>
      <c r="Q352">
        <v>122.7916</v>
      </c>
      <c r="R352">
        <v>0.99586056998264405</v>
      </c>
      <c r="S352">
        <v>9.8939289634166292E-3</v>
      </c>
      <c r="T352">
        <v>0</v>
      </c>
      <c r="U352" t="s">
        <v>2826</v>
      </c>
    </row>
    <row r="353" spans="1:21" x14ac:dyDescent="0.3">
      <c r="A353">
        <v>352</v>
      </c>
      <c r="B353" t="s">
        <v>1303</v>
      </c>
      <c r="C353" t="s">
        <v>38</v>
      </c>
      <c r="D353">
        <v>19</v>
      </c>
      <c r="E353" t="s">
        <v>38</v>
      </c>
      <c r="F353">
        <v>4</v>
      </c>
      <c r="G353" t="s">
        <v>38</v>
      </c>
      <c r="H353" t="s">
        <v>38</v>
      </c>
      <c r="I353">
        <v>0.1</v>
      </c>
      <c r="J353" t="s">
        <v>38</v>
      </c>
      <c r="K353">
        <v>0</v>
      </c>
      <c r="L353">
        <v>3.0582542313199301E-4</v>
      </c>
      <c r="M353" t="s">
        <v>38</v>
      </c>
      <c r="O353" t="s">
        <v>2838</v>
      </c>
      <c r="P353">
        <v>3151.7932000000001</v>
      </c>
      <c r="Q353">
        <v>2540.0111999999999</v>
      </c>
      <c r="R353">
        <v>0.80589399076056101</v>
      </c>
      <c r="S353">
        <v>8.7911603535809693E-2</v>
      </c>
      <c r="T353">
        <v>4</v>
      </c>
      <c r="U353" t="s">
        <v>2826</v>
      </c>
    </row>
    <row r="354" spans="1:21" x14ac:dyDescent="0.3">
      <c r="A354">
        <v>353</v>
      </c>
      <c r="B354" t="s">
        <v>1911</v>
      </c>
      <c r="C354" t="s">
        <v>38</v>
      </c>
      <c r="D354">
        <v>16</v>
      </c>
      <c r="E354" t="s">
        <v>38</v>
      </c>
      <c r="F354">
        <v>6</v>
      </c>
      <c r="G354" t="s">
        <v>38</v>
      </c>
      <c r="H354" t="s">
        <v>38</v>
      </c>
      <c r="I354">
        <v>0.1</v>
      </c>
      <c r="J354" t="s">
        <v>38</v>
      </c>
      <c r="K354">
        <v>0</v>
      </c>
      <c r="L354">
        <v>0</v>
      </c>
      <c r="M354" t="s">
        <v>38</v>
      </c>
      <c r="O354" t="s">
        <v>2838</v>
      </c>
      <c r="P354">
        <v>868.03120000000001</v>
      </c>
      <c r="Q354">
        <v>727.28800000000001</v>
      </c>
      <c r="R354">
        <v>0.83785928432065604</v>
      </c>
      <c r="S354">
        <v>0.12545743263360801</v>
      </c>
      <c r="T354">
        <v>6</v>
      </c>
      <c r="U354" t="s">
        <v>2826</v>
      </c>
    </row>
    <row r="355" spans="1:21" x14ac:dyDescent="0.3">
      <c r="A355">
        <v>354</v>
      </c>
      <c r="B355" t="s">
        <v>2241</v>
      </c>
      <c r="C355" t="s">
        <v>38</v>
      </c>
      <c r="D355">
        <v>4</v>
      </c>
      <c r="E355" t="s">
        <v>38</v>
      </c>
      <c r="F355">
        <v>4</v>
      </c>
      <c r="G355" t="s">
        <v>38</v>
      </c>
      <c r="H355" t="s">
        <v>38</v>
      </c>
      <c r="I355">
        <v>0.1</v>
      </c>
      <c r="J355" t="s">
        <v>38</v>
      </c>
      <c r="K355">
        <v>0</v>
      </c>
      <c r="L355">
        <v>1.87625064538501E-4</v>
      </c>
      <c r="M355" t="s">
        <v>38</v>
      </c>
      <c r="O355" t="s">
        <v>2838</v>
      </c>
      <c r="P355">
        <v>917.39239999999995</v>
      </c>
      <c r="Q355">
        <v>884.7432</v>
      </c>
      <c r="R355">
        <v>0.96441086714910695</v>
      </c>
      <c r="S355">
        <v>7.1620967955683901E-2</v>
      </c>
      <c r="T355">
        <v>4</v>
      </c>
      <c r="U355" t="s">
        <v>2826</v>
      </c>
    </row>
    <row r="356" spans="1:21" x14ac:dyDescent="0.3">
      <c r="A356">
        <v>355</v>
      </c>
      <c r="B356" t="s">
        <v>366</v>
      </c>
      <c r="C356" t="s">
        <v>38</v>
      </c>
      <c r="D356">
        <v>0</v>
      </c>
      <c r="E356" t="s">
        <v>38</v>
      </c>
      <c r="F356">
        <v>1</v>
      </c>
      <c r="G356" t="s">
        <v>38</v>
      </c>
      <c r="H356" t="s">
        <v>38</v>
      </c>
      <c r="I356">
        <v>0</v>
      </c>
      <c r="J356" t="s">
        <v>38</v>
      </c>
      <c r="K356">
        <v>0</v>
      </c>
      <c r="L356">
        <v>6.5529506041741496E-4</v>
      </c>
      <c r="M356" t="s">
        <v>38</v>
      </c>
      <c r="O356" t="s">
        <v>2838</v>
      </c>
      <c r="P356">
        <v>101.7792</v>
      </c>
      <c r="Q356">
        <v>101.3284</v>
      </c>
      <c r="R356">
        <v>0.99557080425077005</v>
      </c>
      <c r="S356">
        <v>1.34621507210604E-2</v>
      </c>
      <c r="T356">
        <v>1</v>
      </c>
      <c r="U356" t="s">
        <v>2826</v>
      </c>
    </row>
    <row r="357" spans="1:21" x14ac:dyDescent="0.3">
      <c r="A357">
        <v>356</v>
      </c>
      <c r="B357" t="s">
        <v>1706</v>
      </c>
      <c r="C357" t="s">
        <v>38</v>
      </c>
      <c r="D357">
        <v>4</v>
      </c>
      <c r="E357" t="s">
        <v>38</v>
      </c>
      <c r="F357">
        <v>1</v>
      </c>
      <c r="G357" t="s">
        <v>38</v>
      </c>
      <c r="H357" t="s">
        <v>38</v>
      </c>
      <c r="I357">
        <v>0</v>
      </c>
      <c r="J357" t="s">
        <v>38</v>
      </c>
      <c r="K357">
        <v>0</v>
      </c>
      <c r="L357">
        <v>2.4724953759676302E-3</v>
      </c>
      <c r="M357" t="s">
        <v>38</v>
      </c>
      <c r="O357" t="s">
        <v>2838</v>
      </c>
      <c r="P357">
        <v>7632.5540000000001</v>
      </c>
      <c r="Q357">
        <v>7313.0976000000001</v>
      </c>
      <c r="R357">
        <v>0.958145543418363</v>
      </c>
      <c r="S357">
        <v>1.94902638061384E-2</v>
      </c>
      <c r="T357">
        <v>1</v>
      </c>
      <c r="U357" t="s">
        <v>2826</v>
      </c>
    </row>
    <row r="358" spans="1:21" x14ac:dyDescent="0.3">
      <c r="A358">
        <v>357</v>
      </c>
      <c r="B358" t="s">
        <v>1414</v>
      </c>
      <c r="C358" t="s">
        <v>38</v>
      </c>
      <c r="D358">
        <v>3</v>
      </c>
      <c r="E358" t="s">
        <v>38</v>
      </c>
      <c r="F358">
        <v>1</v>
      </c>
      <c r="G358" t="s">
        <v>38</v>
      </c>
      <c r="H358" t="s">
        <v>38</v>
      </c>
      <c r="I358">
        <v>0</v>
      </c>
      <c r="J358" t="s">
        <v>38</v>
      </c>
      <c r="K358">
        <v>0</v>
      </c>
      <c r="L358">
        <v>1.3220704349069499E-3</v>
      </c>
      <c r="M358" t="s">
        <v>38</v>
      </c>
      <c r="O358" t="s">
        <v>2838</v>
      </c>
      <c r="P358">
        <v>5357.9960000000001</v>
      </c>
      <c r="Q358">
        <v>5222.7172</v>
      </c>
      <c r="R358">
        <v>0.97475197816497094</v>
      </c>
      <c r="S358">
        <v>1.81048458605307E-2</v>
      </c>
      <c r="T358">
        <v>1</v>
      </c>
      <c r="U358" t="s">
        <v>2826</v>
      </c>
    </row>
    <row r="359" spans="1:21" x14ac:dyDescent="0.3">
      <c r="A359">
        <v>358</v>
      </c>
      <c r="B359" t="s">
        <v>1631</v>
      </c>
      <c r="C359" t="s">
        <v>38</v>
      </c>
      <c r="D359">
        <v>17</v>
      </c>
      <c r="E359" t="s">
        <v>38</v>
      </c>
      <c r="F359">
        <v>7</v>
      </c>
      <c r="G359" t="s">
        <v>38</v>
      </c>
      <c r="H359" t="s">
        <v>38</v>
      </c>
      <c r="I359">
        <v>0.1</v>
      </c>
      <c r="J359" t="s">
        <v>38</v>
      </c>
      <c r="K359">
        <v>0</v>
      </c>
      <c r="L359">
        <v>5.44217808556765E-3</v>
      </c>
      <c r="M359" t="s">
        <v>38</v>
      </c>
      <c r="O359" t="s">
        <v>2838</v>
      </c>
      <c r="P359">
        <v>540.74</v>
      </c>
      <c r="Q359">
        <v>447.98239999999998</v>
      </c>
      <c r="R359">
        <v>0.82846173761881903</v>
      </c>
      <c r="S359">
        <v>0.14921491454059699</v>
      </c>
      <c r="T359">
        <v>7</v>
      </c>
      <c r="U359" t="s">
        <v>2826</v>
      </c>
    </row>
    <row r="360" spans="1:21" x14ac:dyDescent="0.3">
      <c r="A360">
        <v>359</v>
      </c>
      <c r="B360" t="s">
        <v>1432</v>
      </c>
      <c r="C360" t="s">
        <v>38</v>
      </c>
      <c r="D360">
        <v>6</v>
      </c>
      <c r="E360" t="s">
        <v>38</v>
      </c>
      <c r="F360">
        <v>3</v>
      </c>
      <c r="G360" t="s">
        <v>38</v>
      </c>
      <c r="H360" t="s">
        <v>38</v>
      </c>
      <c r="I360">
        <v>0.1</v>
      </c>
      <c r="J360" t="s">
        <v>38</v>
      </c>
      <c r="K360">
        <v>19</v>
      </c>
      <c r="L360">
        <v>2.36889743734797E-4</v>
      </c>
      <c r="M360" t="s">
        <v>38</v>
      </c>
      <c r="O360" t="s">
        <v>2829</v>
      </c>
      <c r="P360">
        <v>240.126</v>
      </c>
      <c r="Q360">
        <v>226.26560000000001</v>
      </c>
      <c r="R360">
        <v>0.94227863704888304</v>
      </c>
      <c r="S360">
        <v>6.1857007695546702E-2</v>
      </c>
      <c r="T360">
        <v>3</v>
      </c>
      <c r="U360" t="s">
        <v>2826</v>
      </c>
    </row>
    <row r="361" spans="1:21" x14ac:dyDescent="0.3">
      <c r="A361">
        <v>360</v>
      </c>
      <c r="B361" t="s">
        <v>2458</v>
      </c>
      <c r="C361" t="s">
        <v>38</v>
      </c>
      <c r="D361">
        <v>12</v>
      </c>
      <c r="E361" t="s">
        <v>38</v>
      </c>
      <c r="F361">
        <v>5</v>
      </c>
      <c r="G361" t="s">
        <v>38</v>
      </c>
      <c r="H361" t="s">
        <v>38</v>
      </c>
      <c r="I361">
        <v>0.1</v>
      </c>
      <c r="J361" t="s">
        <v>38</v>
      </c>
      <c r="K361">
        <v>24</v>
      </c>
      <c r="L361">
        <v>1.1373346986413601E-3</v>
      </c>
      <c r="M361" t="s">
        <v>51</v>
      </c>
      <c r="N361" t="s">
        <v>2464</v>
      </c>
      <c r="O361" t="s">
        <v>2829</v>
      </c>
      <c r="P361">
        <v>1578.5704000000001</v>
      </c>
      <c r="Q361">
        <v>1369.1659999999999</v>
      </c>
      <c r="R361">
        <v>0.86734554252379203</v>
      </c>
      <c r="S361">
        <v>9.9349519377231202E-2</v>
      </c>
      <c r="T361">
        <v>5</v>
      </c>
      <c r="U361" t="s">
        <v>2860</v>
      </c>
    </row>
    <row r="362" spans="1:21" x14ac:dyDescent="0.3">
      <c r="A362">
        <v>361</v>
      </c>
      <c r="B362" t="s">
        <v>203</v>
      </c>
      <c r="C362" t="s">
        <v>38</v>
      </c>
      <c r="D362">
        <v>2</v>
      </c>
      <c r="E362" t="s">
        <v>38</v>
      </c>
      <c r="F362">
        <v>1</v>
      </c>
      <c r="G362" t="s">
        <v>38</v>
      </c>
      <c r="H362" t="s">
        <v>38</v>
      </c>
      <c r="I362">
        <v>0</v>
      </c>
      <c r="J362" t="s">
        <v>38</v>
      </c>
      <c r="K362">
        <v>0</v>
      </c>
      <c r="L362">
        <v>6.8035869987207495E-4</v>
      </c>
      <c r="M362" t="s">
        <v>38</v>
      </c>
      <c r="O362" t="s">
        <v>2825</v>
      </c>
      <c r="P362">
        <v>2555.2608</v>
      </c>
      <c r="Q362">
        <v>2513.9679999999998</v>
      </c>
      <c r="R362">
        <v>0.983840083955422</v>
      </c>
      <c r="S362">
        <v>1.57438705763604E-2</v>
      </c>
      <c r="T362">
        <v>1</v>
      </c>
      <c r="U362" t="s">
        <v>2826</v>
      </c>
    </row>
    <row r="363" spans="1:21" x14ac:dyDescent="0.3">
      <c r="A363">
        <v>362</v>
      </c>
      <c r="B363" t="s">
        <v>687</v>
      </c>
      <c r="C363" t="s">
        <v>38</v>
      </c>
      <c r="D363">
        <v>3</v>
      </c>
      <c r="E363" t="s">
        <v>38</v>
      </c>
      <c r="F363">
        <v>1</v>
      </c>
      <c r="G363" t="s">
        <v>38</v>
      </c>
      <c r="H363" t="s">
        <v>38</v>
      </c>
      <c r="I363">
        <v>0</v>
      </c>
      <c r="J363" t="s">
        <v>38</v>
      </c>
      <c r="K363">
        <v>0</v>
      </c>
      <c r="L363">
        <v>6.2086867535536105E-4</v>
      </c>
      <c r="M363" t="s">
        <v>38</v>
      </c>
      <c r="O363" t="s">
        <v>2825</v>
      </c>
      <c r="P363">
        <v>793.30560000000003</v>
      </c>
      <c r="Q363">
        <v>769.24480000000005</v>
      </c>
      <c r="R363">
        <v>0.96967020023557104</v>
      </c>
      <c r="S363">
        <v>2.8019359333700901E-2</v>
      </c>
      <c r="T363">
        <v>1</v>
      </c>
      <c r="U363" t="s">
        <v>2826</v>
      </c>
    </row>
    <row r="364" spans="1:21" x14ac:dyDescent="0.3">
      <c r="A364">
        <v>363</v>
      </c>
      <c r="B364" t="s">
        <v>290</v>
      </c>
      <c r="C364" t="s">
        <v>38</v>
      </c>
      <c r="D364">
        <v>0</v>
      </c>
      <c r="E364" t="s">
        <v>38</v>
      </c>
      <c r="F364">
        <v>1</v>
      </c>
      <c r="G364" t="s">
        <v>38</v>
      </c>
      <c r="H364" t="s">
        <v>38</v>
      </c>
      <c r="I364">
        <v>0</v>
      </c>
      <c r="J364" t="s">
        <v>38</v>
      </c>
      <c r="K364">
        <v>0</v>
      </c>
      <c r="L364">
        <v>5.3917257471058097E-4</v>
      </c>
      <c r="M364" t="s">
        <v>38</v>
      </c>
      <c r="O364" t="s">
        <v>2838</v>
      </c>
      <c r="P364">
        <v>559.38639999999998</v>
      </c>
      <c r="Q364">
        <v>557.15</v>
      </c>
      <c r="R364">
        <v>0.99600204795826297</v>
      </c>
      <c r="S364">
        <v>1.00590536671313E-2</v>
      </c>
      <c r="T364">
        <v>1</v>
      </c>
      <c r="U364" t="s">
        <v>2826</v>
      </c>
    </row>
    <row r="365" spans="1:21" x14ac:dyDescent="0.3">
      <c r="A365">
        <v>364</v>
      </c>
      <c r="B365" t="s">
        <v>2058</v>
      </c>
      <c r="C365" t="s">
        <v>38</v>
      </c>
      <c r="D365">
        <v>3</v>
      </c>
      <c r="E365" t="s">
        <v>38</v>
      </c>
      <c r="F365">
        <v>1</v>
      </c>
      <c r="G365" t="s">
        <v>38</v>
      </c>
      <c r="H365" t="s">
        <v>38</v>
      </c>
      <c r="I365">
        <v>0</v>
      </c>
      <c r="J365" t="s">
        <v>38</v>
      </c>
      <c r="K365">
        <v>0</v>
      </c>
      <c r="L365">
        <v>7.8450446427780402E-4</v>
      </c>
      <c r="M365" t="s">
        <v>38</v>
      </c>
      <c r="O365" t="s">
        <v>2838</v>
      </c>
      <c r="P365">
        <v>928.57240000000002</v>
      </c>
      <c r="Q365">
        <v>902.99040000000002</v>
      </c>
      <c r="R365">
        <v>0.97245018266750105</v>
      </c>
      <c r="S365">
        <v>1.4979231590906E-2</v>
      </c>
      <c r="T365">
        <v>1</v>
      </c>
      <c r="U365" t="s">
        <v>2826</v>
      </c>
    </row>
    <row r="366" spans="1:21" x14ac:dyDescent="0.3">
      <c r="A366">
        <v>365</v>
      </c>
      <c r="B366" t="s">
        <v>1353</v>
      </c>
      <c r="C366" t="s">
        <v>38</v>
      </c>
      <c r="D366">
        <v>0</v>
      </c>
      <c r="E366" t="s">
        <v>38</v>
      </c>
      <c r="F366">
        <v>0</v>
      </c>
      <c r="G366" t="s">
        <v>38</v>
      </c>
      <c r="H366" t="s">
        <v>38</v>
      </c>
      <c r="I366">
        <v>0</v>
      </c>
      <c r="J366" t="s">
        <v>38</v>
      </c>
      <c r="K366">
        <v>0</v>
      </c>
      <c r="L366">
        <v>0</v>
      </c>
      <c r="M366" t="s">
        <v>38</v>
      </c>
      <c r="O366" t="s">
        <v>2838</v>
      </c>
      <c r="P366">
        <v>1318.3684000000001</v>
      </c>
      <c r="Q366">
        <v>1313.5804000000001</v>
      </c>
      <c r="R366">
        <v>0.99636823819502995</v>
      </c>
      <c r="S366">
        <v>3.2330352818926E-3</v>
      </c>
      <c r="T366">
        <v>0</v>
      </c>
      <c r="U366" t="s">
        <v>2826</v>
      </c>
    </row>
    <row r="367" spans="1:21" x14ac:dyDescent="0.3">
      <c r="A367">
        <v>366</v>
      </c>
      <c r="B367" t="s">
        <v>1359</v>
      </c>
      <c r="C367" t="s">
        <v>38</v>
      </c>
      <c r="D367">
        <v>1</v>
      </c>
      <c r="E367" t="s">
        <v>38</v>
      </c>
      <c r="F367">
        <v>0</v>
      </c>
      <c r="G367" t="s">
        <v>38</v>
      </c>
      <c r="H367" t="s">
        <v>38</v>
      </c>
      <c r="I367">
        <v>0</v>
      </c>
      <c r="J367" t="s">
        <v>38</v>
      </c>
      <c r="K367">
        <v>0</v>
      </c>
      <c r="L367">
        <v>1.8466103659638101E-3</v>
      </c>
      <c r="M367" t="s">
        <v>38</v>
      </c>
      <c r="O367" t="s">
        <v>2838</v>
      </c>
      <c r="P367">
        <v>6988.3064000000004</v>
      </c>
      <c r="Q367">
        <v>6923.8212000000003</v>
      </c>
      <c r="R367">
        <v>0.99077241375678704</v>
      </c>
      <c r="S367">
        <v>9.6612191980605198E-3</v>
      </c>
      <c r="T367">
        <v>0</v>
      </c>
      <c r="U367" t="s">
        <v>2826</v>
      </c>
    </row>
    <row r="368" spans="1:21" x14ac:dyDescent="0.3">
      <c r="A368">
        <v>367</v>
      </c>
      <c r="B368" t="s">
        <v>2465</v>
      </c>
      <c r="C368" t="s">
        <v>38</v>
      </c>
      <c r="D368">
        <v>1</v>
      </c>
      <c r="E368" t="s">
        <v>38</v>
      </c>
      <c r="F368">
        <v>1</v>
      </c>
      <c r="G368" t="s">
        <v>38</v>
      </c>
      <c r="H368" t="s">
        <v>38</v>
      </c>
      <c r="I368">
        <v>0</v>
      </c>
      <c r="J368" t="s">
        <v>38</v>
      </c>
      <c r="K368">
        <v>0</v>
      </c>
      <c r="L368" s="18">
        <v>7.7777643727566705E-5</v>
      </c>
      <c r="M368" t="s">
        <v>38</v>
      </c>
      <c r="O368" t="s">
        <v>2838</v>
      </c>
      <c r="P368">
        <v>4714.4892</v>
      </c>
      <c r="Q368">
        <v>4674.8652000000002</v>
      </c>
      <c r="R368">
        <v>0.991595271869538</v>
      </c>
      <c r="S368">
        <v>1.0226612261188799E-2</v>
      </c>
      <c r="T368">
        <v>1</v>
      </c>
      <c r="U368" t="s">
        <v>2826</v>
      </c>
    </row>
    <row r="369" spans="1:21" x14ac:dyDescent="0.3">
      <c r="A369">
        <v>368</v>
      </c>
      <c r="B369" t="s">
        <v>1090</v>
      </c>
      <c r="C369" t="s">
        <v>38</v>
      </c>
      <c r="D369">
        <v>21</v>
      </c>
      <c r="E369" t="s">
        <v>38</v>
      </c>
      <c r="F369">
        <v>10</v>
      </c>
      <c r="G369" t="s">
        <v>38</v>
      </c>
      <c r="H369" t="s">
        <v>38</v>
      </c>
      <c r="I369">
        <v>0.2</v>
      </c>
      <c r="J369" t="s">
        <v>38</v>
      </c>
      <c r="K369">
        <v>0</v>
      </c>
      <c r="L369">
        <v>2.8018023101166298E-3</v>
      </c>
      <c r="M369" t="s">
        <v>38</v>
      </c>
      <c r="O369" t="s">
        <v>2836</v>
      </c>
      <c r="P369">
        <v>653.35519999999997</v>
      </c>
      <c r="Q369">
        <v>496.25200000000001</v>
      </c>
      <c r="R369">
        <v>0.75954396628357701</v>
      </c>
      <c r="S369">
        <v>0.201955221337419</v>
      </c>
      <c r="T369">
        <v>10</v>
      </c>
      <c r="U369" t="s">
        <v>2826</v>
      </c>
    </row>
    <row r="370" spans="1:21" x14ac:dyDescent="0.3">
      <c r="A370">
        <v>369</v>
      </c>
      <c r="B370" t="s">
        <v>473</v>
      </c>
      <c r="C370" t="s">
        <v>38</v>
      </c>
      <c r="D370">
        <v>4</v>
      </c>
      <c r="E370" t="s">
        <v>38</v>
      </c>
      <c r="F370">
        <v>2</v>
      </c>
      <c r="G370" t="s">
        <v>38</v>
      </c>
      <c r="H370" t="s">
        <v>38</v>
      </c>
      <c r="I370">
        <v>0</v>
      </c>
      <c r="J370" t="s">
        <v>38</v>
      </c>
      <c r="K370">
        <v>0</v>
      </c>
      <c r="L370">
        <v>1.16598209346128E-3</v>
      </c>
      <c r="M370" t="s">
        <v>38</v>
      </c>
      <c r="O370" t="s">
        <v>2836</v>
      </c>
      <c r="P370">
        <v>4109.0248000000001</v>
      </c>
      <c r="Q370">
        <v>3931.7928000000002</v>
      </c>
      <c r="R370">
        <v>0.95686762464904096</v>
      </c>
      <c r="S370">
        <v>3.3465190414863698E-2</v>
      </c>
      <c r="T370">
        <v>2</v>
      </c>
      <c r="U370" t="s">
        <v>2826</v>
      </c>
    </row>
    <row r="371" spans="1:21" x14ac:dyDescent="0.3">
      <c r="A371">
        <v>370</v>
      </c>
      <c r="B371" t="s">
        <v>1868</v>
      </c>
      <c r="C371" t="s">
        <v>38</v>
      </c>
      <c r="D371">
        <v>23</v>
      </c>
      <c r="E371" t="s">
        <v>38</v>
      </c>
      <c r="F371">
        <v>9</v>
      </c>
      <c r="G371" t="s">
        <v>38</v>
      </c>
      <c r="H371" t="s">
        <v>38</v>
      </c>
      <c r="I371">
        <v>0.2</v>
      </c>
      <c r="J371" t="s">
        <v>38</v>
      </c>
      <c r="K371">
        <v>0</v>
      </c>
      <c r="L371" s="18">
        <v>4.6977035589332401E-7</v>
      </c>
      <c r="M371" t="s">
        <v>38</v>
      </c>
      <c r="O371" t="s">
        <v>2838</v>
      </c>
      <c r="P371">
        <v>6645.4948000000004</v>
      </c>
      <c r="Q371">
        <v>5108.8792000000003</v>
      </c>
      <c r="R371">
        <v>0.76877333498176803</v>
      </c>
      <c r="S371">
        <v>0.18118212821032501</v>
      </c>
      <c r="T371">
        <v>9</v>
      </c>
      <c r="U371" t="s">
        <v>2826</v>
      </c>
    </row>
    <row r="372" spans="1:21" x14ac:dyDescent="0.3">
      <c r="A372">
        <v>371</v>
      </c>
      <c r="B372" t="s">
        <v>399</v>
      </c>
      <c r="C372" t="s">
        <v>38</v>
      </c>
      <c r="D372">
        <v>36</v>
      </c>
      <c r="E372" t="s">
        <v>38</v>
      </c>
      <c r="F372">
        <v>20</v>
      </c>
      <c r="G372" t="s">
        <v>51</v>
      </c>
      <c r="H372" t="s">
        <v>38</v>
      </c>
      <c r="I372">
        <v>0.4</v>
      </c>
      <c r="J372" t="s">
        <v>38</v>
      </c>
      <c r="K372">
        <v>0</v>
      </c>
      <c r="L372">
        <v>2.8162048889201999E-2</v>
      </c>
      <c r="M372" t="s">
        <v>51</v>
      </c>
      <c r="N372" t="s">
        <v>53</v>
      </c>
      <c r="O372" t="s">
        <v>2868</v>
      </c>
      <c r="P372">
        <v>1442.1487999999999</v>
      </c>
      <c r="Q372">
        <v>919.66319999999996</v>
      </c>
      <c r="R372">
        <v>0.63770340480815801</v>
      </c>
      <c r="S372">
        <v>0.39620372308041701</v>
      </c>
      <c r="T372">
        <v>20</v>
      </c>
      <c r="U372" t="s">
        <v>2826</v>
      </c>
    </row>
    <row r="373" spans="1:21" x14ac:dyDescent="0.3">
      <c r="A373">
        <v>372</v>
      </c>
      <c r="B373" t="s">
        <v>2247</v>
      </c>
      <c r="C373" t="s">
        <v>38</v>
      </c>
      <c r="D373">
        <v>24</v>
      </c>
      <c r="E373" t="s">
        <v>38</v>
      </c>
      <c r="F373">
        <v>9</v>
      </c>
      <c r="G373" t="s">
        <v>38</v>
      </c>
      <c r="H373" t="s">
        <v>38</v>
      </c>
      <c r="I373">
        <v>0.2</v>
      </c>
      <c r="J373" t="s">
        <v>38</v>
      </c>
      <c r="K373">
        <v>0</v>
      </c>
      <c r="L373">
        <v>8.1543485768668707E-3</v>
      </c>
      <c r="M373" t="s">
        <v>38</v>
      </c>
      <c r="O373" t="s">
        <v>2838</v>
      </c>
      <c r="P373">
        <v>3285.6363999999999</v>
      </c>
      <c r="Q373">
        <v>2493.6388000000002</v>
      </c>
      <c r="R373">
        <v>0.75895153827733397</v>
      </c>
      <c r="S373">
        <v>0.184642520729905</v>
      </c>
      <c r="T373">
        <v>9</v>
      </c>
      <c r="U373" t="s">
        <v>2826</v>
      </c>
    </row>
    <row r="374" spans="1:21" x14ac:dyDescent="0.3">
      <c r="A374">
        <v>373</v>
      </c>
      <c r="B374" t="s">
        <v>2070</v>
      </c>
      <c r="C374" t="s">
        <v>38</v>
      </c>
      <c r="D374">
        <v>38</v>
      </c>
      <c r="E374" t="s">
        <v>38</v>
      </c>
      <c r="F374">
        <v>16</v>
      </c>
      <c r="G374" t="s">
        <v>38</v>
      </c>
      <c r="H374" t="s">
        <v>38</v>
      </c>
      <c r="I374">
        <v>0.3</v>
      </c>
      <c r="J374" t="s">
        <v>38</v>
      </c>
      <c r="K374">
        <v>0</v>
      </c>
      <c r="L374">
        <v>4.9638379668722997E-3</v>
      </c>
      <c r="M374" t="s">
        <v>38</v>
      </c>
      <c r="O374" t="s">
        <v>2838</v>
      </c>
      <c r="P374">
        <v>17384.092000000001</v>
      </c>
      <c r="Q374">
        <v>10862.8848</v>
      </c>
      <c r="R374">
        <v>0.62487501791868105</v>
      </c>
      <c r="S374">
        <v>0.31205365269454699</v>
      </c>
      <c r="T374">
        <v>16</v>
      </c>
      <c r="U374" t="s">
        <v>2826</v>
      </c>
    </row>
    <row r="375" spans="1:21" x14ac:dyDescent="0.3">
      <c r="A375">
        <v>374</v>
      </c>
      <c r="B375" t="s">
        <v>1215</v>
      </c>
      <c r="C375" t="s">
        <v>38</v>
      </c>
      <c r="D375">
        <v>7</v>
      </c>
      <c r="E375" t="s">
        <v>38</v>
      </c>
      <c r="F375">
        <v>3</v>
      </c>
      <c r="G375" t="s">
        <v>38</v>
      </c>
      <c r="H375" t="s">
        <v>38</v>
      </c>
      <c r="I375">
        <v>0.1</v>
      </c>
      <c r="J375" t="s">
        <v>38</v>
      </c>
      <c r="K375">
        <v>0</v>
      </c>
      <c r="L375">
        <v>8.3462314487400702E-3</v>
      </c>
      <c r="M375" t="s">
        <v>38</v>
      </c>
      <c r="O375" t="s">
        <v>2838</v>
      </c>
      <c r="P375">
        <v>2066.3027999999999</v>
      </c>
      <c r="Q375">
        <v>1920.4356</v>
      </c>
      <c r="R375">
        <v>0.92940666779331704</v>
      </c>
      <c r="S375">
        <v>5.5794450375759398E-2</v>
      </c>
      <c r="T375">
        <v>3</v>
      </c>
      <c r="U375" t="s">
        <v>2826</v>
      </c>
    </row>
    <row r="376" spans="1:21" x14ac:dyDescent="0.3">
      <c r="A376">
        <v>375</v>
      </c>
      <c r="B376" t="s">
        <v>2252</v>
      </c>
      <c r="C376" t="s">
        <v>38</v>
      </c>
      <c r="D376">
        <v>42</v>
      </c>
      <c r="E376" t="s">
        <v>38</v>
      </c>
      <c r="F376">
        <v>7</v>
      </c>
      <c r="G376" t="s">
        <v>38</v>
      </c>
      <c r="H376" t="s">
        <v>38</v>
      </c>
      <c r="I376">
        <v>0.1</v>
      </c>
      <c r="J376" t="s">
        <v>38</v>
      </c>
      <c r="K376">
        <v>0</v>
      </c>
      <c r="L376">
        <v>1.6263729887912601E-3</v>
      </c>
      <c r="M376" t="s">
        <v>38</v>
      </c>
      <c r="O376" t="s">
        <v>2838</v>
      </c>
      <c r="P376">
        <v>759.89200000000005</v>
      </c>
      <c r="Q376">
        <v>441.22719999999998</v>
      </c>
      <c r="R376">
        <v>0.58064461791938804</v>
      </c>
      <c r="S376">
        <v>0.13971516671530901</v>
      </c>
      <c r="T376">
        <v>7</v>
      </c>
      <c r="U376" t="s">
        <v>2826</v>
      </c>
    </row>
    <row r="377" spans="1:21" x14ac:dyDescent="0.3">
      <c r="A377">
        <v>376</v>
      </c>
      <c r="B377" t="s">
        <v>1197</v>
      </c>
      <c r="C377" t="s">
        <v>76</v>
      </c>
      <c r="D377">
        <v>60</v>
      </c>
      <c r="E377" t="s">
        <v>38</v>
      </c>
      <c r="F377">
        <v>22</v>
      </c>
      <c r="G377" t="s">
        <v>51</v>
      </c>
      <c r="H377" t="s">
        <v>38</v>
      </c>
      <c r="I377">
        <v>0.4</v>
      </c>
      <c r="J377" t="s">
        <v>38</v>
      </c>
      <c r="K377">
        <v>0</v>
      </c>
      <c r="L377">
        <v>8.6950664425470897E-4</v>
      </c>
      <c r="M377" t="s">
        <v>51</v>
      </c>
      <c r="N377" t="s">
        <v>53</v>
      </c>
      <c r="O377" t="s">
        <v>2868</v>
      </c>
      <c r="P377">
        <v>7198.2151999999996</v>
      </c>
      <c r="Q377">
        <v>2856.3323999999998</v>
      </c>
      <c r="R377">
        <v>0.39681119842040802</v>
      </c>
      <c r="S377">
        <v>0.44248625029842298</v>
      </c>
      <c r="T377">
        <v>22</v>
      </c>
      <c r="U377" t="s">
        <v>2826</v>
      </c>
    </row>
    <row r="378" spans="1:21" x14ac:dyDescent="0.3">
      <c r="A378">
        <v>377</v>
      </c>
      <c r="B378" t="s">
        <v>448</v>
      </c>
      <c r="C378" t="s">
        <v>38</v>
      </c>
      <c r="D378">
        <v>18</v>
      </c>
      <c r="E378" t="s">
        <v>38</v>
      </c>
      <c r="F378">
        <v>5</v>
      </c>
      <c r="G378" t="s">
        <v>38</v>
      </c>
      <c r="H378" t="s">
        <v>38</v>
      </c>
      <c r="I378">
        <v>0.1</v>
      </c>
      <c r="J378" t="s">
        <v>38</v>
      </c>
      <c r="K378">
        <v>0</v>
      </c>
      <c r="L378">
        <v>2.6754899134151701E-4</v>
      </c>
      <c r="M378" t="s">
        <v>38</v>
      </c>
      <c r="O378" t="s">
        <v>2838</v>
      </c>
      <c r="P378">
        <v>12074.1312</v>
      </c>
      <c r="Q378">
        <v>9880.8071999999993</v>
      </c>
      <c r="R378">
        <v>0.81834519074962497</v>
      </c>
      <c r="S378">
        <v>0.102873232750816</v>
      </c>
      <c r="T378">
        <v>5</v>
      </c>
      <c r="U378" t="s">
        <v>2826</v>
      </c>
    </row>
    <row r="379" spans="1:21" x14ac:dyDescent="0.3">
      <c r="A379">
        <v>378</v>
      </c>
      <c r="B379" t="s">
        <v>1905</v>
      </c>
      <c r="C379" t="s">
        <v>38</v>
      </c>
      <c r="D379">
        <v>8</v>
      </c>
      <c r="E379" t="s">
        <v>38</v>
      </c>
      <c r="F379">
        <v>2</v>
      </c>
      <c r="G379" t="s">
        <v>38</v>
      </c>
      <c r="H379" t="s">
        <v>38</v>
      </c>
      <c r="I379">
        <v>0</v>
      </c>
      <c r="J379" t="s">
        <v>38</v>
      </c>
      <c r="K379">
        <v>0</v>
      </c>
      <c r="L379">
        <v>3.6646740468183302E-3</v>
      </c>
      <c r="M379" t="s">
        <v>38</v>
      </c>
      <c r="O379" t="s">
        <v>2838</v>
      </c>
      <c r="P379">
        <v>8901.2312000000002</v>
      </c>
      <c r="Q379">
        <v>8214.6460000000006</v>
      </c>
      <c r="R379">
        <v>0.92286626596105004</v>
      </c>
      <c r="S379">
        <v>4.6383095644521997E-2</v>
      </c>
      <c r="T379">
        <v>2</v>
      </c>
      <c r="U379" t="s">
        <v>2826</v>
      </c>
    </row>
    <row r="380" spans="1:21" x14ac:dyDescent="0.3">
      <c r="A380">
        <v>379</v>
      </c>
      <c r="B380" t="s">
        <v>2258</v>
      </c>
      <c r="C380" t="s">
        <v>38</v>
      </c>
      <c r="D380">
        <v>21</v>
      </c>
      <c r="E380" t="s">
        <v>38</v>
      </c>
      <c r="F380">
        <v>8</v>
      </c>
      <c r="G380" t="s">
        <v>38</v>
      </c>
      <c r="H380" t="s">
        <v>38</v>
      </c>
      <c r="I380">
        <v>0.2</v>
      </c>
      <c r="J380" t="s">
        <v>38</v>
      </c>
      <c r="K380">
        <v>0</v>
      </c>
      <c r="L380">
        <v>7.3079768515658299E-4</v>
      </c>
      <c r="M380" t="s">
        <v>38</v>
      </c>
      <c r="O380" t="s">
        <v>2838</v>
      </c>
      <c r="P380">
        <v>6496.36</v>
      </c>
      <c r="Q380">
        <v>5101.8224</v>
      </c>
      <c r="R380">
        <v>0.78533554174953402</v>
      </c>
      <c r="S380">
        <v>0.16625764776271901</v>
      </c>
      <c r="T380">
        <v>8</v>
      </c>
      <c r="U380" t="s">
        <v>2826</v>
      </c>
    </row>
    <row r="381" spans="1:21" x14ac:dyDescent="0.3">
      <c r="A381">
        <v>380</v>
      </c>
      <c r="B381" t="s">
        <v>210</v>
      </c>
      <c r="C381" t="s">
        <v>38</v>
      </c>
      <c r="D381">
        <v>11</v>
      </c>
      <c r="E381" t="s">
        <v>38</v>
      </c>
      <c r="F381">
        <v>7</v>
      </c>
      <c r="G381" t="s">
        <v>38</v>
      </c>
      <c r="H381" t="s">
        <v>38</v>
      </c>
      <c r="I381">
        <v>0.1</v>
      </c>
      <c r="J381" t="s">
        <v>38</v>
      </c>
      <c r="K381">
        <v>0</v>
      </c>
      <c r="L381">
        <v>0</v>
      </c>
      <c r="M381" t="s">
        <v>38</v>
      </c>
      <c r="O381" t="s">
        <v>2838</v>
      </c>
      <c r="P381">
        <v>12012.496800000001</v>
      </c>
      <c r="Q381">
        <v>10665.7168</v>
      </c>
      <c r="R381">
        <v>0.88788508980081504</v>
      </c>
      <c r="S381">
        <v>0.14139945428189299</v>
      </c>
      <c r="T381">
        <v>7</v>
      </c>
      <c r="U381" t="s">
        <v>2826</v>
      </c>
    </row>
    <row r="382" spans="1:21" x14ac:dyDescent="0.3">
      <c r="A382">
        <v>381</v>
      </c>
      <c r="B382" t="s">
        <v>1389</v>
      </c>
      <c r="C382" t="s">
        <v>38</v>
      </c>
      <c r="D382">
        <v>3</v>
      </c>
      <c r="E382" t="s">
        <v>38</v>
      </c>
      <c r="F382">
        <v>1</v>
      </c>
      <c r="G382" t="s">
        <v>38</v>
      </c>
      <c r="H382" t="s">
        <v>38</v>
      </c>
      <c r="I382">
        <v>0</v>
      </c>
      <c r="J382" t="s">
        <v>38</v>
      </c>
      <c r="K382">
        <v>0</v>
      </c>
      <c r="L382" s="18">
        <v>4.53592133671371E-5</v>
      </c>
      <c r="M382" t="s">
        <v>38</v>
      </c>
      <c r="O382" t="s">
        <v>2838</v>
      </c>
      <c r="P382">
        <v>1107.4924000000001</v>
      </c>
      <c r="Q382">
        <v>1075.8563999999999</v>
      </c>
      <c r="R382">
        <v>0.97143456695504204</v>
      </c>
      <c r="S382">
        <v>2.6643661276112798E-2</v>
      </c>
      <c r="T382">
        <v>1</v>
      </c>
      <c r="U382" t="s">
        <v>2826</v>
      </c>
    </row>
    <row r="383" spans="1:21" x14ac:dyDescent="0.3">
      <c r="A383">
        <v>382</v>
      </c>
      <c r="B383" t="s">
        <v>882</v>
      </c>
      <c r="C383" t="s">
        <v>38</v>
      </c>
      <c r="D383">
        <v>38</v>
      </c>
      <c r="E383" t="s">
        <v>38</v>
      </c>
      <c r="F383">
        <v>18</v>
      </c>
      <c r="G383" t="s">
        <v>51</v>
      </c>
      <c r="H383" t="s">
        <v>38</v>
      </c>
      <c r="I383">
        <v>0.4</v>
      </c>
      <c r="J383" t="s">
        <v>38</v>
      </c>
      <c r="K383">
        <v>0</v>
      </c>
      <c r="L383">
        <v>6.1160517933762301E-3</v>
      </c>
      <c r="M383" t="s">
        <v>51</v>
      </c>
      <c r="N383" t="s">
        <v>53</v>
      </c>
      <c r="O383" t="s">
        <v>2868</v>
      </c>
      <c r="P383">
        <v>10110.8896</v>
      </c>
      <c r="Q383">
        <v>6219.6988000000001</v>
      </c>
      <c r="R383">
        <v>0.61514852263840403</v>
      </c>
      <c r="S383">
        <v>0.36084855872048799</v>
      </c>
      <c r="T383">
        <v>18</v>
      </c>
      <c r="U383" t="s">
        <v>2826</v>
      </c>
    </row>
    <row r="384" spans="1:21" x14ac:dyDescent="0.3">
      <c r="A384">
        <v>383</v>
      </c>
      <c r="B384" t="s">
        <v>442</v>
      </c>
      <c r="C384" t="s">
        <v>38</v>
      </c>
      <c r="D384">
        <v>27</v>
      </c>
      <c r="E384" t="s">
        <v>38</v>
      </c>
      <c r="F384">
        <v>10</v>
      </c>
      <c r="G384" t="s">
        <v>38</v>
      </c>
      <c r="H384" t="s">
        <v>38</v>
      </c>
      <c r="I384">
        <v>0.2</v>
      </c>
      <c r="J384" t="s">
        <v>38</v>
      </c>
      <c r="K384">
        <v>0</v>
      </c>
      <c r="L384">
        <v>4.26379552294378E-2</v>
      </c>
      <c r="M384" t="s">
        <v>38</v>
      </c>
      <c r="O384" t="s">
        <v>2838</v>
      </c>
      <c r="P384">
        <v>4147.7392</v>
      </c>
      <c r="Q384">
        <v>3045.6619999999998</v>
      </c>
      <c r="R384">
        <v>0.73429448023154398</v>
      </c>
      <c r="S384">
        <v>0.20711789322010499</v>
      </c>
      <c r="T384">
        <v>10</v>
      </c>
      <c r="U384" t="s">
        <v>2826</v>
      </c>
    </row>
    <row r="385" spans="1:21" x14ac:dyDescent="0.3">
      <c r="A385">
        <v>384</v>
      </c>
      <c r="B385" t="s">
        <v>1936</v>
      </c>
      <c r="C385" t="s">
        <v>38</v>
      </c>
      <c r="D385">
        <v>12</v>
      </c>
      <c r="E385" t="s">
        <v>38</v>
      </c>
      <c r="F385">
        <v>13</v>
      </c>
      <c r="G385" t="s">
        <v>38</v>
      </c>
      <c r="H385" t="s">
        <v>38</v>
      </c>
      <c r="I385">
        <v>0.3</v>
      </c>
      <c r="J385" t="s">
        <v>38</v>
      </c>
      <c r="K385">
        <v>0</v>
      </c>
      <c r="L385">
        <v>0.112866817155756</v>
      </c>
      <c r="M385" t="s">
        <v>38</v>
      </c>
      <c r="O385" t="s">
        <v>2838</v>
      </c>
      <c r="P385">
        <v>0.60199999999999998</v>
      </c>
      <c r="Q385">
        <v>0.53159999999999996</v>
      </c>
      <c r="R385">
        <v>0.88305647840531598</v>
      </c>
      <c r="S385">
        <v>0.25483759502418801</v>
      </c>
      <c r="T385">
        <v>13</v>
      </c>
      <c r="U385" t="s">
        <v>2826</v>
      </c>
    </row>
    <row r="386" spans="1:21" x14ac:dyDescent="0.3">
      <c r="A386">
        <v>385</v>
      </c>
      <c r="B386" t="s">
        <v>41</v>
      </c>
      <c r="C386" t="s">
        <v>38</v>
      </c>
      <c r="D386">
        <v>43</v>
      </c>
      <c r="E386" t="s">
        <v>38</v>
      </c>
      <c r="F386">
        <v>20</v>
      </c>
      <c r="G386" t="s">
        <v>51</v>
      </c>
      <c r="H386" t="s">
        <v>38</v>
      </c>
      <c r="I386">
        <v>0.4</v>
      </c>
      <c r="J386" t="s">
        <v>38</v>
      </c>
      <c r="K386">
        <v>0</v>
      </c>
      <c r="L386">
        <v>5.95989495951101E-3</v>
      </c>
      <c r="M386" t="s">
        <v>51</v>
      </c>
      <c r="N386" t="s">
        <v>53</v>
      </c>
      <c r="O386" t="s">
        <v>2868</v>
      </c>
      <c r="P386">
        <v>4445.3284000000003</v>
      </c>
      <c r="Q386">
        <v>2519.1048000000001</v>
      </c>
      <c r="R386">
        <v>0.56668587184694796</v>
      </c>
      <c r="S386">
        <v>0.40232294546236302</v>
      </c>
      <c r="T386">
        <v>20</v>
      </c>
      <c r="U386" t="s">
        <v>2826</v>
      </c>
    </row>
    <row r="387" spans="1:21" x14ac:dyDescent="0.3">
      <c r="A387">
        <v>386</v>
      </c>
      <c r="B387" t="s">
        <v>2264</v>
      </c>
      <c r="C387" t="s">
        <v>38</v>
      </c>
      <c r="D387">
        <v>11</v>
      </c>
      <c r="E387" t="s">
        <v>38</v>
      </c>
      <c r="F387">
        <v>3</v>
      </c>
      <c r="G387" t="s">
        <v>38</v>
      </c>
      <c r="H387" t="s">
        <v>38</v>
      </c>
      <c r="I387">
        <v>0.1</v>
      </c>
      <c r="J387" t="s">
        <v>38</v>
      </c>
      <c r="K387">
        <v>0</v>
      </c>
      <c r="L387">
        <v>1.78288930360265E-2</v>
      </c>
      <c r="M387" t="s">
        <v>38</v>
      </c>
      <c r="O387" t="s">
        <v>2838</v>
      </c>
      <c r="P387">
        <v>666.91</v>
      </c>
      <c r="Q387">
        <v>596.71680000000003</v>
      </c>
      <c r="R387">
        <v>0.89474861675488504</v>
      </c>
      <c r="S387">
        <v>5.3612652783706999E-2</v>
      </c>
      <c r="T387">
        <v>3</v>
      </c>
      <c r="U387" t="s">
        <v>2826</v>
      </c>
    </row>
    <row r="388" spans="1:21" x14ac:dyDescent="0.3">
      <c r="A388">
        <v>387</v>
      </c>
      <c r="B388" t="s">
        <v>1371</v>
      </c>
      <c r="C388" t="s">
        <v>38</v>
      </c>
      <c r="D388">
        <v>8</v>
      </c>
      <c r="E388" t="s">
        <v>38</v>
      </c>
      <c r="F388">
        <v>4</v>
      </c>
      <c r="G388" t="s">
        <v>38</v>
      </c>
      <c r="H388" t="s">
        <v>38</v>
      </c>
      <c r="I388">
        <v>0.1</v>
      </c>
      <c r="J388" t="s">
        <v>38</v>
      </c>
      <c r="K388">
        <v>0</v>
      </c>
      <c r="L388">
        <v>5.7360810469027504E-3</v>
      </c>
      <c r="M388" t="s">
        <v>38</v>
      </c>
      <c r="O388" t="s">
        <v>2838</v>
      </c>
      <c r="P388">
        <v>891.32399999999996</v>
      </c>
      <c r="Q388">
        <v>823.97720000000004</v>
      </c>
      <c r="R388">
        <v>0.92444184157500497</v>
      </c>
      <c r="S388">
        <v>7.1217367502489401E-2</v>
      </c>
      <c r="T388">
        <v>4</v>
      </c>
      <c r="U388" t="s">
        <v>2826</v>
      </c>
    </row>
    <row r="389" spans="1:21" x14ac:dyDescent="0.3">
      <c r="A389">
        <v>388</v>
      </c>
      <c r="B389" t="s">
        <v>1544</v>
      </c>
      <c r="C389" t="s">
        <v>38</v>
      </c>
      <c r="D389">
        <v>13</v>
      </c>
      <c r="E389" t="s">
        <v>38</v>
      </c>
      <c r="F389">
        <v>6</v>
      </c>
      <c r="G389" t="s">
        <v>38</v>
      </c>
      <c r="H389" t="s">
        <v>38</v>
      </c>
      <c r="I389">
        <v>0.1</v>
      </c>
      <c r="J389" t="s">
        <v>38</v>
      </c>
      <c r="K389">
        <v>0</v>
      </c>
      <c r="L389">
        <v>1.77908456556032E-2</v>
      </c>
      <c r="M389" t="s">
        <v>38</v>
      </c>
      <c r="O389" t="s">
        <v>2838</v>
      </c>
      <c r="P389">
        <v>2000.0168000000001</v>
      </c>
      <c r="Q389">
        <v>1747.8652</v>
      </c>
      <c r="R389">
        <v>0.87392525902782403</v>
      </c>
      <c r="S389">
        <v>0.112005171552885</v>
      </c>
      <c r="T389">
        <v>6</v>
      </c>
      <c r="U389" t="s">
        <v>2826</v>
      </c>
    </row>
    <row r="390" spans="1:21" x14ac:dyDescent="0.3">
      <c r="A390">
        <v>389</v>
      </c>
      <c r="B390" t="s">
        <v>628</v>
      </c>
      <c r="C390" t="s">
        <v>76</v>
      </c>
      <c r="D390">
        <v>52</v>
      </c>
      <c r="E390" t="s">
        <v>76</v>
      </c>
      <c r="F390">
        <v>39</v>
      </c>
      <c r="G390" t="s">
        <v>51</v>
      </c>
      <c r="H390" t="s">
        <v>76</v>
      </c>
      <c r="I390">
        <v>0.8</v>
      </c>
      <c r="J390" t="s">
        <v>38</v>
      </c>
      <c r="K390">
        <v>0</v>
      </c>
      <c r="L390">
        <v>1.32021710530665E-3</v>
      </c>
      <c r="M390" t="s">
        <v>51</v>
      </c>
      <c r="N390" t="s">
        <v>53</v>
      </c>
      <c r="O390" t="s">
        <v>2846</v>
      </c>
      <c r="P390">
        <v>2522.8339999999998</v>
      </c>
      <c r="Q390">
        <v>1210.104</v>
      </c>
      <c r="R390">
        <v>0.47966057219777403</v>
      </c>
      <c r="S390">
        <v>0.78276786824745603</v>
      </c>
      <c r="T390">
        <v>39</v>
      </c>
      <c r="U390" t="s">
        <v>2826</v>
      </c>
    </row>
    <row r="391" spans="1:21" x14ac:dyDescent="0.3">
      <c r="A391">
        <v>390</v>
      </c>
      <c r="B391" t="s">
        <v>648</v>
      </c>
      <c r="C391" t="s">
        <v>38</v>
      </c>
      <c r="D391">
        <v>22</v>
      </c>
      <c r="E391" t="s">
        <v>38</v>
      </c>
      <c r="F391">
        <v>13</v>
      </c>
      <c r="G391" t="s">
        <v>38</v>
      </c>
      <c r="H391" t="s">
        <v>38</v>
      </c>
      <c r="I391">
        <v>0.3</v>
      </c>
      <c r="J391" t="s">
        <v>38</v>
      </c>
      <c r="K391">
        <v>0</v>
      </c>
      <c r="L391">
        <v>7.3694228184240903E-3</v>
      </c>
      <c r="M391" t="s">
        <v>38</v>
      </c>
      <c r="O391" t="s">
        <v>2838</v>
      </c>
      <c r="P391">
        <v>2316.1448</v>
      </c>
      <c r="Q391">
        <v>1809.8568</v>
      </c>
      <c r="R391">
        <v>0.78140917614477301</v>
      </c>
      <c r="S391">
        <v>0.256419408633836</v>
      </c>
      <c r="T391">
        <v>13</v>
      </c>
      <c r="U391" t="s">
        <v>2826</v>
      </c>
    </row>
    <row r="392" spans="1:21" x14ac:dyDescent="0.3">
      <c r="A392">
        <v>391</v>
      </c>
      <c r="B392" t="s">
        <v>2780</v>
      </c>
      <c r="C392" t="s">
        <v>38</v>
      </c>
      <c r="D392">
        <v>4</v>
      </c>
      <c r="E392" t="s">
        <v>38</v>
      </c>
      <c r="F392">
        <v>1</v>
      </c>
      <c r="G392" t="s">
        <v>38</v>
      </c>
      <c r="H392" t="s">
        <v>38</v>
      </c>
      <c r="I392">
        <v>0</v>
      </c>
      <c r="J392" t="s">
        <v>38</v>
      </c>
      <c r="K392">
        <v>0</v>
      </c>
      <c r="L392">
        <v>0</v>
      </c>
      <c r="M392" t="s">
        <v>38</v>
      </c>
      <c r="O392" t="s">
        <v>2838</v>
      </c>
      <c r="P392">
        <v>388.17680000000001</v>
      </c>
      <c r="Q392">
        <v>373.66079999999999</v>
      </c>
      <c r="R392">
        <v>0.96260466880040196</v>
      </c>
      <c r="S392">
        <v>2.2342803909961E-2</v>
      </c>
      <c r="T392">
        <v>1</v>
      </c>
      <c r="U392" t="s">
        <v>2826</v>
      </c>
    </row>
    <row r="393" spans="1:21" x14ac:dyDescent="0.3">
      <c r="A393">
        <v>392</v>
      </c>
      <c r="B393" t="s">
        <v>423</v>
      </c>
      <c r="C393" t="s">
        <v>38</v>
      </c>
      <c r="D393">
        <v>33</v>
      </c>
      <c r="E393" t="s">
        <v>38</v>
      </c>
      <c r="F393">
        <v>10</v>
      </c>
      <c r="G393" t="s">
        <v>38</v>
      </c>
      <c r="H393" t="s">
        <v>38</v>
      </c>
      <c r="I393">
        <v>0.2</v>
      </c>
      <c r="J393" t="s">
        <v>38</v>
      </c>
      <c r="K393">
        <v>0</v>
      </c>
      <c r="L393">
        <v>9.9097782564024194E-3</v>
      </c>
      <c r="M393" t="s">
        <v>38</v>
      </c>
      <c r="O393" t="s">
        <v>2838</v>
      </c>
      <c r="P393">
        <v>1331.3268</v>
      </c>
      <c r="Q393">
        <v>889.58600000000001</v>
      </c>
      <c r="R393">
        <v>0.66819506675596096</v>
      </c>
      <c r="S393">
        <v>0.194641333211901</v>
      </c>
      <c r="T393">
        <v>10</v>
      </c>
      <c r="U393" t="s">
        <v>2826</v>
      </c>
    </row>
    <row r="394" spans="1:21" x14ac:dyDescent="0.3">
      <c r="A394">
        <v>393</v>
      </c>
      <c r="B394" t="s">
        <v>334</v>
      </c>
      <c r="C394" t="s">
        <v>38</v>
      </c>
      <c r="D394">
        <v>11</v>
      </c>
      <c r="E394" t="s">
        <v>38</v>
      </c>
      <c r="F394">
        <v>4</v>
      </c>
      <c r="G394" t="s">
        <v>38</v>
      </c>
      <c r="H394" t="s">
        <v>38</v>
      </c>
      <c r="I394">
        <v>0.1</v>
      </c>
      <c r="J394" t="s">
        <v>38</v>
      </c>
      <c r="K394">
        <v>0</v>
      </c>
      <c r="L394">
        <v>3.9482542206012898E-3</v>
      </c>
      <c r="M394" t="s">
        <v>38</v>
      </c>
      <c r="O394" t="s">
        <v>2838</v>
      </c>
      <c r="P394">
        <v>4119.6271999999999</v>
      </c>
      <c r="Q394">
        <v>3661.8715999999999</v>
      </c>
      <c r="R394">
        <v>0.88888421748453394</v>
      </c>
      <c r="S394">
        <v>7.0395829720844003E-2</v>
      </c>
      <c r="T394">
        <v>4</v>
      </c>
      <c r="U394" t="s">
        <v>2826</v>
      </c>
    </row>
    <row r="395" spans="1:21" x14ac:dyDescent="0.3">
      <c r="A395">
        <v>394</v>
      </c>
      <c r="B395" t="s">
        <v>492</v>
      </c>
      <c r="C395" t="s">
        <v>38</v>
      </c>
      <c r="D395">
        <v>2</v>
      </c>
      <c r="E395" t="s">
        <v>38</v>
      </c>
      <c r="F395">
        <v>0</v>
      </c>
      <c r="G395" t="s">
        <v>38</v>
      </c>
      <c r="H395" t="s">
        <v>38</v>
      </c>
      <c r="I395">
        <v>0</v>
      </c>
      <c r="J395" t="s">
        <v>38</v>
      </c>
      <c r="K395">
        <v>0</v>
      </c>
      <c r="L395">
        <v>0</v>
      </c>
      <c r="M395" t="s">
        <v>38</v>
      </c>
      <c r="O395" t="s">
        <v>2838</v>
      </c>
      <c r="P395">
        <v>367.10359999999997</v>
      </c>
      <c r="Q395">
        <v>359.8116</v>
      </c>
      <c r="R395">
        <v>0.98013639746382197</v>
      </c>
      <c r="S395">
        <v>9.4278088913173092E-3</v>
      </c>
      <c r="T395">
        <v>0</v>
      </c>
      <c r="U395" t="s">
        <v>2826</v>
      </c>
    </row>
    <row r="396" spans="1:21" x14ac:dyDescent="0.3">
      <c r="A396">
        <v>395</v>
      </c>
      <c r="B396" t="s">
        <v>2108</v>
      </c>
      <c r="C396" t="s">
        <v>76</v>
      </c>
      <c r="D396">
        <v>69</v>
      </c>
      <c r="E396" t="s">
        <v>76</v>
      </c>
      <c r="F396">
        <v>43</v>
      </c>
      <c r="G396" t="s">
        <v>51</v>
      </c>
      <c r="H396" t="s">
        <v>76</v>
      </c>
      <c r="I396">
        <v>0.9</v>
      </c>
      <c r="J396" t="s">
        <v>38</v>
      </c>
      <c r="K396">
        <v>0</v>
      </c>
      <c r="L396">
        <v>1.6818537515042701E-2</v>
      </c>
      <c r="M396" t="s">
        <v>51</v>
      </c>
      <c r="N396" t="s">
        <v>53</v>
      </c>
      <c r="O396" t="s">
        <v>2846</v>
      </c>
      <c r="P396">
        <v>2285.098</v>
      </c>
      <c r="Q396">
        <v>708.9796</v>
      </c>
      <c r="R396">
        <v>0.31026222945361598</v>
      </c>
      <c r="S396">
        <v>0.858589565491364</v>
      </c>
      <c r="T396">
        <v>43</v>
      </c>
      <c r="U396" t="s">
        <v>2826</v>
      </c>
    </row>
    <row r="397" spans="1:21" x14ac:dyDescent="0.3">
      <c r="A397">
        <v>396</v>
      </c>
      <c r="B397" t="s">
        <v>159</v>
      </c>
      <c r="C397" t="s">
        <v>38</v>
      </c>
      <c r="D397">
        <v>27</v>
      </c>
      <c r="E397" t="s">
        <v>38</v>
      </c>
      <c r="F397">
        <v>20</v>
      </c>
      <c r="G397" t="s">
        <v>51</v>
      </c>
      <c r="H397" t="s">
        <v>76</v>
      </c>
      <c r="I397">
        <v>0.4</v>
      </c>
      <c r="J397" t="s">
        <v>38</v>
      </c>
      <c r="K397">
        <v>0</v>
      </c>
      <c r="L397">
        <v>2.57098751408779E-3</v>
      </c>
      <c r="M397" t="s">
        <v>51</v>
      </c>
      <c r="N397" t="s">
        <v>53</v>
      </c>
      <c r="O397" t="s">
        <v>2846</v>
      </c>
      <c r="P397">
        <v>491.32839999999999</v>
      </c>
      <c r="Q397">
        <v>360.95080000000002</v>
      </c>
      <c r="R397">
        <v>0.734642654485269</v>
      </c>
      <c r="S397">
        <v>0.40636285764968799</v>
      </c>
      <c r="T397">
        <v>20</v>
      </c>
      <c r="U397" t="s">
        <v>2826</v>
      </c>
    </row>
    <row r="398" spans="1:21" x14ac:dyDescent="0.3">
      <c r="A398">
        <v>397</v>
      </c>
      <c r="B398" t="s">
        <v>2270</v>
      </c>
      <c r="C398" t="s">
        <v>76</v>
      </c>
      <c r="D398">
        <v>54</v>
      </c>
      <c r="E398" t="s">
        <v>38</v>
      </c>
      <c r="F398">
        <v>28</v>
      </c>
      <c r="G398" t="s">
        <v>51</v>
      </c>
      <c r="H398" t="s">
        <v>38</v>
      </c>
      <c r="I398">
        <v>0.6</v>
      </c>
      <c r="J398" t="s">
        <v>38</v>
      </c>
      <c r="K398">
        <v>0</v>
      </c>
      <c r="L398">
        <v>1.4642822417894099E-2</v>
      </c>
      <c r="M398" t="s">
        <v>51</v>
      </c>
      <c r="N398" t="s">
        <v>53</v>
      </c>
      <c r="O398" t="s">
        <v>2868</v>
      </c>
      <c r="P398">
        <v>1833.3936000000001</v>
      </c>
      <c r="Q398">
        <v>843.36199999999997</v>
      </c>
      <c r="R398">
        <v>0.46000051489216498</v>
      </c>
      <c r="S398">
        <v>0.56093875259762005</v>
      </c>
      <c r="T398">
        <v>28</v>
      </c>
      <c r="U398" t="s">
        <v>2826</v>
      </c>
    </row>
    <row r="399" spans="1:21" x14ac:dyDescent="0.3">
      <c r="A399">
        <v>398</v>
      </c>
      <c r="B399" t="s">
        <v>2102</v>
      </c>
      <c r="C399" t="s">
        <v>38</v>
      </c>
      <c r="D399">
        <v>16</v>
      </c>
      <c r="E399" t="s">
        <v>38</v>
      </c>
      <c r="F399">
        <v>7</v>
      </c>
      <c r="G399" t="s">
        <v>38</v>
      </c>
      <c r="H399" t="s">
        <v>38</v>
      </c>
      <c r="I399">
        <v>0.1</v>
      </c>
      <c r="J399" t="s">
        <v>38</v>
      </c>
      <c r="K399">
        <v>0</v>
      </c>
      <c r="L399">
        <v>2.22596664389779E-2</v>
      </c>
      <c r="M399" t="s">
        <v>38</v>
      </c>
      <c r="O399" t="s">
        <v>2838</v>
      </c>
      <c r="P399">
        <v>3103.5983999999999</v>
      </c>
      <c r="Q399">
        <v>2593.0128</v>
      </c>
      <c r="R399">
        <v>0.83548593142721095</v>
      </c>
      <c r="S399">
        <v>0.13155972314473699</v>
      </c>
      <c r="T399">
        <v>7</v>
      </c>
      <c r="U399" t="s">
        <v>2826</v>
      </c>
    </row>
    <row r="400" spans="1:21" x14ac:dyDescent="0.3">
      <c r="A400">
        <v>399</v>
      </c>
      <c r="B400" t="s">
        <v>2744</v>
      </c>
      <c r="C400" t="s">
        <v>38</v>
      </c>
      <c r="D400">
        <v>22</v>
      </c>
      <c r="E400" t="s">
        <v>38</v>
      </c>
      <c r="F400">
        <v>4</v>
      </c>
      <c r="G400" t="s">
        <v>38</v>
      </c>
      <c r="H400" t="s">
        <v>38</v>
      </c>
      <c r="I400">
        <v>0.1</v>
      </c>
      <c r="J400" t="s">
        <v>38</v>
      </c>
      <c r="K400">
        <v>0</v>
      </c>
      <c r="L400" s="18">
        <v>1.53974712219763E-5</v>
      </c>
      <c r="M400" t="s">
        <v>38</v>
      </c>
      <c r="O400" t="s">
        <v>2838</v>
      </c>
      <c r="P400">
        <v>15427.0416</v>
      </c>
      <c r="Q400">
        <v>12001.970799999999</v>
      </c>
      <c r="R400">
        <v>0.777982656117295</v>
      </c>
      <c r="S400">
        <v>7.1949201474223803E-2</v>
      </c>
      <c r="T400">
        <v>4</v>
      </c>
      <c r="U400" t="s">
        <v>2826</v>
      </c>
    </row>
    <row r="401" spans="1:21" x14ac:dyDescent="0.3">
      <c r="A401">
        <v>400</v>
      </c>
      <c r="B401" t="s">
        <v>1556</v>
      </c>
      <c r="C401" t="s">
        <v>38</v>
      </c>
      <c r="D401">
        <v>5</v>
      </c>
      <c r="E401" t="s">
        <v>38</v>
      </c>
      <c r="F401">
        <v>2</v>
      </c>
      <c r="G401" t="s">
        <v>38</v>
      </c>
      <c r="H401" t="s">
        <v>38</v>
      </c>
      <c r="I401">
        <v>0</v>
      </c>
      <c r="J401" t="s">
        <v>38</v>
      </c>
      <c r="K401">
        <v>0</v>
      </c>
      <c r="L401">
        <v>3.1561364759335401E-4</v>
      </c>
      <c r="M401" t="s">
        <v>38</v>
      </c>
      <c r="O401" t="s">
        <v>2838</v>
      </c>
      <c r="P401">
        <v>5838.9755999999998</v>
      </c>
      <c r="Q401">
        <v>5539.6844000000001</v>
      </c>
      <c r="R401">
        <v>0.94874251572484702</v>
      </c>
      <c r="S401">
        <v>3.7043761807144603E-2</v>
      </c>
      <c r="T401">
        <v>2</v>
      </c>
      <c r="U401" t="s">
        <v>2826</v>
      </c>
    </row>
    <row r="402" spans="1:21" x14ac:dyDescent="0.3">
      <c r="A402">
        <v>401</v>
      </c>
      <c r="B402" t="s">
        <v>1993</v>
      </c>
      <c r="C402" t="s">
        <v>38</v>
      </c>
      <c r="D402">
        <v>2</v>
      </c>
      <c r="E402" t="s">
        <v>38</v>
      </c>
      <c r="F402">
        <v>0</v>
      </c>
      <c r="G402" t="s">
        <v>38</v>
      </c>
      <c r="H402" t="s">
        <v>38</v>
      </c>
      <c r="I402">
        <v>0</v>
      </c>
      <c r="J402" t="s">
        <v>38</v>
      </c>
      <c r="K402">
        <v>0</v>
      </c>
      <c r="L402">
        <v>4.1868136830038602E-4</v>
      </c>
      <c r="M402" t="s">
        <v>38</v>
      </c>
      <c r="O402" t="s">
        <v>2838</v>
      </c>
      <c r="P402">
        <v>13886.185600000001</v>
      </c>
      <c r="Q402">
        <v>13624.6808</v>
      </c>
      <c r="R402">
        <v>0.98116798899764102</v>
      </c>
      <c r="S402">
        <v>8.7588897177307105E-3</v>
      </c>
      <c r="T402">
        <v>0</v>
      </c>
      <c r="U402" t="s">
        <v>2826</v>
      </c>
    </row>
    <row r="403" spans="1:21" x14ac:dyDescent="0.3">
      <c r="A403">
        <v>402</v>
      </c>
      <c r="B403" t="s">
        <v>1496</v>
      </c>
      <c r="C403" t="s">
        <v>38</v>
      </c>
      <c r="D403">
        <v>3</v>
      </c>
      <c r="E403" t="s">
        <v>38</v>
      </c>
      <c r="F403">
        <v>2</v>
      </c>
      <c r="G403" t="s">
        <v>38</v>
      </c>
      <c r="H403" t="s">
        <v>38</v>
      </c>
      <c r="I403">
        <v>0</v>
      </c>
      <c r="J403" t="s">
        <v>38</v>
      </c>
      <c r="K403">
        <v>0</v>
      </c>
      <c r="L403">
        <v>1.7902328074777201E-4</v>
      </c>
      <c r="M403" t="s">
        <v>38</v>
      </c>
      <c r="O403" t="s">
        <v>2838</v>
      </c>
      <c r="P403">
        <v>7452.5748000000003</v>
      </c>
      <c r="Q403">
        <v>7252.6880000000001</v>
      </c>
      <c r="R403">
        <v>0.97317882673247402</v>
      </c>
      <c r="S403">
        <v>3.9513622363852599E-2</v>
      </c>
      <c r="T403">
        <v>2</v>
      </c>
      <c r="U403" t="s">
        <v>2826</v>
      </c>
    </row>
    <row r="404" spans="1:21" x14ac:dyDescent="0.3">
      <c r="A404">
        <v>403</v>
      </c>
      <c r="B404" t="s">
        <v>2276</v>
      </c>
      <c r="C404" t="s">
        <v>38</v>
      </c>
      <c r="D404">
        <v>1</v>
      </c>
      <c r="E404" t="s">
        <v>38</v>
      </c>
      <c r="F404">
        <v>1</v>
      </c>
      <c r="G404" t="s">
        <v>38</v>
      </c>
      <c r="H404" t="s">
        <v>38</v>
      </c>
      <c r="I404">
        <v>0</v>
      </c>
      <c r="J404" t="s">
        <v>38</v>
      </c>
      <c r="K404">
        <v>0</v>
      </c>
      <c r="L404">
        <v>5.1587921841163798E-3</v>
      </c>
      <c r="M404" t="s">
        <v>38</v>
      </c>
      <c r="O404" t="s">
        <v>2838</v>
      </c>
      <c r="P404">
        <v>8517.6947999999993</v>
      </c>
      <c r="Q404">
        <v>8409.2551999999996</v>
      </c>
      <c r="R404">
        <v>0.98726890284916102</v>
      </c>
      <c r="S404">
        <v>1.8282417172672E-2</v>
      </c>
      <c r="T404">
        <v>1</v>
      </c>
      <c r="U404" t="s">
        <v>2826</v>
      </c>
    </row>
    <row r="405" spans="1:21" x14ac:dyDescent="0.3">
      <c r="A405">
        <v>404</v>
      </c>
      <c r="B405" t="s">
        <v>2120</v>
      </c>
      <c r="C405" t="s">
        <v>38</v>
      </c>
      <c r="D405">
        <v>5</v>
      </c>
      <c r="E405" t="s">
        <v>38</v>
      </c>
      <c r="F405">
        <v>3</v>
      </c>
      <c r="G405" t="s">
        <v>38</v>
      </c>
      <c r="H405" t="s">
        <v>38</v>
      </c>
      <c r="I405">
        <v>0.1</v>
      </c>
      <c r="J405" t="s">
        <v>38</v>
      </c>
      <c r="K405">
        <v>0</v>
      </c>
      <c r="L405">
        <v>2.17523986674272E-4</v>
      </c>
      <c r="M405" t="s">
        <v>38</v>
      </c>
      <c r="O405" t="s">
        <v>2838</v>
      </c>
      <c r="P405">
        <v>929.22400000000005</v>
      </c>
      <c r="Q405">
        <v>880.82240000000002</v>
      </c>
      <c r="R405">
        <v>0.94791180598004399</v>
      </c>
      <c r="S405">
        <v>6.3032924458493206E-2</v>
      </c>
      <c r="T405">
        <v>3</v>
      </c>
      <c r="U405" t="s">
        <v>2826</v>
      </c>
    </row>
    <row r="406" spans="1:21" x14ac:dyDescent="0.3">
      <c r="A406">
        <v>405</v>
      </c>
      <c r="B406" t="s">
        <v>561</v>
      </c>
      <c r="C406" t="s">
        <v>38</v>
      </c>
      <c r="D406">
        <v>0</v>
      </c>
      <c r="E406" t="s">
        <v>38</v>
      </c>
      <c r="F406">
        <v>0</v>
      </c>
      <c r="G406" t="s">
        <v>38</v>
      </c>
      <c r="H406" t="s">
        <v>38</v>
      </c>
      <c r="I406">
        <v>0</v>
      </c>
      <c r="J406" t="s">
        <v>38</v>
      </c>
      <c r="K406">
        <v>0</v>
      </c>
      <c r="L406">
        <v>5.8025687125791805E-4</v>
      </c>
      <c r="M406" t="s">
        <v>38</v>
      </c>
      <c r="O406" t="s">
        <v>2838</v>
      </c>
      <c r="P406">
        <v>1620.8448000000001</v>
      </c>
      <c r="Q406">
        <v>1617.2148</v>
      </c>
      <c r="R406">
        <v>0.997760427155024</v>
      </c>
      <c r="S406">
        <v>2.6936692594261699E-3</v>
      </c>
      <c r="T406">
        <v>0</v>
      </c>
      <c r="U406" t="s">
        <v>2826</v>
      </c>
    </row>
    <row r="407" spans="1:21" x14ac:dyDescent="0.3">
      <c r="A407">
        <v>406</v>
      </c>
      <c r="B407" t="s">
        <v>2282</v>
      </c>
      <c r="C407" t="s">
        <v>38</v>
      </c>
      <c r="D407">
        <v>0</v>
      </c>
      <c r="E407" t="s">
        <v>38</v>
      </c>
      <c r="F407">
        <v>0</v>
      </c>
      <c r="G407" t="s">
        <v>38</v>
      </c>
      <c r="H407" t="s">
        <v>38</v>
      </c>
      <c r="I407">
        <v>0</v>
      </c>
      <c r="J407" t="s">
        <v>38</v>
      </c>
      <c r="K407">
        <v>0</v>
      </c>
      <c r="L407">
        <v>7.7730616133148004E-4</v>
      </c>
      <c r="M407" t="s">
        <v>38</v>
      </c>
      <c r="O407" t="s">
        <v>2838</v>
      </c>
      <c r="P407">
        <v>7918.5928000000004</v>
      </c>
      <c r="Q407">
        <v>7905.7651999999998</v>
      </c>
      <c r="R407">
        <v>0.99838006571066495</v>
      </c>
      <c r="S407">
        <v>2.8271786763022699E-3</v>
      </c>
      <c r="T407">
        <v>0</v>
      </c>
      <c r="U407" t="s">
        <v>2826</v>
      </c>
    </row>
    <row r="408" spans="1:21" x14ac:dyDescent="0.3">
      <c r="A408">
        <v>407</v>
      </c>
      <c r="B408" t="s">
        <v>2782</v>
      </c>
      <c r="C408" t="s">
        <v>38</v>
      </c>
      <c r="D408">
        <v>48</v>
      </c>
      <c r="E408" t="s">
        <v>38</v>
      </c>
      <c r="F408">
        <v>12</v>
      </c>
      <c r="G408" t="s">
        <v>38</v>
      </c>
      <c r="H408" t="s">
        <v>38</v>
      </c>
      <c r="I408">
        <v>0.2</v>
      </c>
      <c r="J408" t="s">
        <v>38</v>
      </c>
      <c r="K408">
        <v>0</v>
      </c>
      <c r="L408">
        <v>1.52842595050821E-3</v>
      </c>
      <c r="M408" t="s">
        <v>38</v>
      </c>
      <c r="O408" t="s">
        <v>2838</v>
      </c>
      <c r="P408">
        <v>7197.9931999999999</v>
      </c>
      <c r="Q408">
        <v>3751.5720000000001</v>
      </c>
      <c r="R408">
        <v>0.52119693583483795</v>
      </c>
      <c r="S408">
        <v>0.23027538008798801</v>
      </c>
      <c r="T408">
        <v>12</v>
      </c>
      <c r="U408" t="s">
        <v>2826</v>
      </c>
    </row>
    <row r="409" spans="1:21" x14ac:dyDescent="0.3">
      <c r="A409">
        <v>408</v>
      </c>
      <c r="B409" t="s">
        <v>2784</v>
      </c>
      <c r="C409" t="s">
        <v>38</v>
      </c>
      <c r="D409">
        <v>5</v>
      </c>
      <c r="E409" t="s">
        <v>38</v>
      </c>
      <c r="F409">
        <v>2</v>
      </c>
      <c r="G409" t="s">
        <v>38</v>
      </c>
      <c r="H409" t="s">
        <v>38</v>
      </c>
      <c r="I409">
        <v>0</v>
      </c>
      <c r="J409" t="s">
        <v>38</v>
      </c>
      <c r="K409">
        <v>0</v>
      </c>
      <c r="L409" t="s">
        <v>2840</v>
      </c>
      <c r="M409" t="s">
        <v>38</v>
      </c>
      <c r="O409" t="s">
        <v>2848</v>
      </c>
      <c r="P409">
        <v>999.60360000000003</v>
      </c>
      <c r="Q409">
        <v>953.04920000000004</v>
      </c>
      <c r="R409">
        <v>0.95342713851770799</v>
      </c>
      <c r="S409">
        <v>4.7724051837224203E-2</v>
      </c>
      <c r="T409">
        <v>2</v>
      </c>
      <c r="U409" t="s">
        <v>2826</v>
      </c>
    </row>
    <row r="410" spans="1:21" x14ac:dyDescent="0.3">
      <c r="A410">
        <v>409</v>
      </c>
      <c r="B410" t="s">
        <v>2288</v>
      </c>
      <c r="C410" t="s">
        <v>38</v>
      </c>
      <c r="D410">
        <v>23</v>
      </c>
      <c r="E410" t="s">
        <v>38</v>
      </c>
      <c r="F410">
        <v>6</v>
      </c>
      <c r="G410" t="s">
        <v>38</v>
      </c>
      <c r="H410" t="s">
        <v>38</v>
      </c>
      <c r="I410">
        <v>0.1</v>
      </c>
      <c r="J410" t="s">
        <v>38</v>
      </c>
      <c r="K410">
        <v>0</v>
      </c>
      <c r="L410">
        <v>1.20889041360065E-3</v>
      </c>
      <c r="M410" t="s">
        <v>38</v>
      </c>
      <c r="O410" t="s">
        <v>2838</v>
      </c>
      <c r="P410">
        <v>4206.5528000000004</v>
      </c>
      <c r="Q410">
        <v>3227.4223999999999</v>
      </c>
      <c r="R410">
        <v>0.76723686910574396</v>
      </c>
      <c r="S410">
        <v>0.113772732826021</v>
      </c>
      <c r="T410">
        <v>6</v>
      </c>
      <c r="U410" t="s">
        <v>2826</v>
      </c>
    </row>
    <row r="411" spans="1:21" x14ac:dyDescent="0.3">
      <c r="A411">
        <v>410</v>
      </c>
      <c r="B411" t="s">
        <v>2293</v>
      </c>
      <c r="C411" t="s">
        <v>76</v>
      </c>
      <c r="D411">
        <v>58</v>
      </c>
      <c r="E411" t="s">
        <v>38</v>
      </c>
      <c r="F411">
        <v>14</v>
      </c>
      <c r="G411" t="s">
        <v>38</v>
      </c>
      <c r="H411" t="s">
        <v>38</v>
      </c>
      <c r="I411">
        <v>0.3</v>
      </c>
      <c r="J411" t="s">
        <v>38</v>
      </c>
      <c r="K411">
        <v>0</v>
      </c>
      <c r="L411">
        <v>0</v>
      </c>
      <c r="M411" t="s">
        <v>76</v>
      </c>
      <c r="N411" t="s">
        <v>262</v>
      </c>
      <c r="O411" t="s">
        <v>2838</v>
      </c>
      <c r="P411">
        <v>1366.9323999999999</v>
      </c>
      <c r="Q411">
        <v>576.26319999999998</v>
      </c>
      <c r="R411">
        <v>0.42157402955698497</v>
      </c>
      <c r="S411">
        <v>0.27914202436458901</v>
      </c>
      <c r="T411">
        <v>14</v>
      </c>
      <c r="U411" t="s">
        <v>2826</v>
      </c>
    </row>
    <row r="412" spans="1:21" x14ac:dyDescent="0.3">
      <c r="A412">
        <v>411</v>
      </c>
      <c r="B412" t="s">
        <v>2299</v>
      </c>
      <c r="C412" t="s">
        <v>38</v>
      </c>
      <c r="D412">
        <v>25</v>
      </c>
      <c r="E412" t="s">
        <v>38</v>
      </c>
      <c r="F412">
        <v>8</v>
      </c>
      <c r="G412" t="s">
        <v>38</v>
      </c>
      <c r="H412" t="s">
        <v>38</v>
      </c>
      <c r="I412">
        <v>0.2</v>
      </c>
      <c r="J412" t="s">
        <v>38</v>
      </c>
      <c r="K412">
        <v>0</v>
      </c>
      <c r="L412">
        <v>7.7791488622653605E-4</v>
      </c>
      <c r="M412" t="s">
        <v>38</v>
      </c>
      <c r="O412" t="s">
        <v>2838</v>
      </c>
      <c r="P412">
        <v>16649.767199999998</v>
      </c>
      <c r="Q412">
        <v>12455.3472</v>
      </c>
      <c r="R412">
        <v>0.74807936053304103</v>
      </c>
      <c r="S412">
        <v>0.154346693112934</v>
      </c>
      <c r="T412">
        <v>8</v>
      </c>
      <c r="U412" t="s">
        <v>2826</v>
      </c>
    </row>
    <row r="413" spans="1:21" x14ac:dyDescent="0.3">
      <c r="A413">
        <v>412</v>
      </c>
      <c r="B413" t="s">
        <v>2017</v>
      </c>
      <c r="C413" t="s">
        <v>38</v>
      </c>
      <c r="D413">
        <v>3</v>
      </c>
      <c r="E413" t="s">
        <v>38</v>
      </c>
      <c r="F413">
        <v>2</v>
      </c>
      <c r="G413" t="s">
        <v>38</v>
      </c>
      <c r="H413" t="s">
        <v>38</v>
      </c>
      <c r="I413">
        <v>0</v>
      </c>
      <c r="J413" t="s">
        <v>38</v>
      </c>
      <c r="K413">
        <v>0</v>
      </c>
      <c r="L413">
        <v>1.7654421191622699E-4</v>
      </c>
      <c r="M413" t="s">
        <v>38</v>
      </c>
      <c r="O413" t="s">
        <v>2838</v>
      </c>
      <c r="P413">
        <v>1457.8835999999999</v>
      </c>
      <c r="Q413">
        <v>1418.3416</v>
      </c>
      <c r="R413">
        <v>0.97287712132847903</v>
      </c>
      <c r="S413">
        <v>3.05806842756675E-2</v>
      </c>
      <c r="T413">
        <v>2</v>
      </c>
      <c r="U413" t="s">
        <v>2826</v>
      </c>
    </row>
    <row r="414" spans="1:21" x14ac:dyDescent="0.3">
      <c r="A414">
        <v>413</v>
      </c>
      <c r="B414" t="s">
        <v>2306</v>
      </c>
      <c r="C414" t="s">
        <v>38</v>
      </c>
      <c r="D414">
        <v>21</v>
      </c>
      <c r="E414" t="s">
        <v>38</v>
      </c>
      <c r="F414">
        <v>6</v>
      </c>
      <c r="G414" t="s">
        <v>38</v>
      </c>
      <c r="H414" t="s">
        <v>38</v>
      </c>
      <c r="I414">
        <v>0.1</v>
      </c>
      <c r="J414" t="s">
        <v>38</v>
      </c>
      <c r="K414">
        <v>0</v>
      </c>
      <c r="L414">
        <v>1.79130823126036E-3</v>
      </c>
      <c r="M414" t="s">
        <v>38</v>
      </c>
      <c r="O414" t="s">
        <v>2838</v>
      </c>
      <c r="P414">
        <v>5313.8536000000004</v>
      </c>
      <c r="Q414">
        <v>4220.3792000000003</v>
      </c>
      <c r="R414">
        <v>0.79422195598313095</v>
      </c>
      <c r="S414">
        <v>0.126887203524368</v>
      </c>
      <c r="T414">
        <v>6</v>
      </c>
      <c r="U414" t="s">
        <v>2826</v>
      </c>
    </row>
    <row r="415" spans="1:21" x14ac:dyDescent="0.3">
      <c r="A415">
        <v>414</v>
      </c>
      <c r="B415" t="s">
        <v>2311</v>
      </c>
      <c r="C415" t="s">
        <v>38</v>
      </c>
      <c r="D415">
        <v>2</v>
      </c>
      <c r="E415" t="s">
        <v>38</v>
      </c>
      <c r="F415">
        <v>1</v>
      </c>
      <c r="G415" t="s">
        <v>38</v>
      </c>
      <c r="H415" t="s">
        <v>38</v>
      </c>
      <c r="I415">
        <v>0</v>
      </c>
      <c r="J415" t="s">
        <v>38</v>
      </c>
      <c r="K415">
        <v>0</v>
      </c>
      <c r="L415">
        <v>3.6377128416632202E-4</v>
      </c>
      <c r="M415" t="s">
        <v>38</v>
      </c>
      <c r="O415" t="s">
        <v>2838</v>
      </c>
      <c r="P415">
        <v>13360.5836</v>
      </c>
      <c r="Q415">
        <v>13112.6348</v>
      </c>
      <c r="R415">
        <v>0.98144176875626898</v>
      </c>
      <c r="S415">
        <v>2.0781349499690099E-2</v>
      </c>
      <c r="T415">
        <v>1</v>
      </c>
      <c r="U415" t="s">
        <v>2826</v>
      </c>
    </row>
    <row r="416" spans="1:21" x14ac:dyDescent="0.3">
      <c r="A416">
        <v>415</v>
      </c>
      <c r="B416" t="s">
        <v>1667</v>
      </c>
      <c r="C416" t="s">
        <v>38</v>
      </c>
      <c r="D416">
        <v>4</v>
      </c>
      <c r="E416" t="s">
        <v>38</v>
      </c>
      <c r="F416">
        <v>1</v>
      </c>
      <c r="G416" t="s">
        <v>38</v>
      </c>
      <c r="H416" t="s">
        <v>38</v>
      </c>
      <c r="I416">
        <v>0</v>
      </c>
      <c r="J416" t="s">
        <v>38</v>
      </c>
      <c r="K416">
        <v>0</v>
      </c>
      <c r="L416" s="18">
        <v>3.3376615799056001E-6</v>
      </c>
      <c r="M416" t="s">
        <v>38</v>
      </c>
      <c r="O416" t="s">
        <v>2838</v>
      </c>
      <c r="P416">
        <v>3363.5079999999998</v>
      </c>
      <c r="Q416">
        <v>3235.7984000000001</v>
      </c>
      <c r="R416">
        <v>0.96203083209553797</v>
      </c>
      <c r="S416">
        <v>2.68012801068695E-2</v>
      </c>
      <c r="T416">
        <v>1</v>
      </c>
      <c r="U416" t="s">
        <v>2826</v>
      </c>
    </row>
    <row r="417" spans="1:21" x14ac:dyDescent="0.3">
      <c r="A417">
        <v>416</v>
      </c>
      <c r="B417" t="s">
        <v>1833</v>
      </c>
      <c r="C417" t="s">
        <v>38</v>
      </c>
      <c r="D417">
        <v>5</v>
      </c>
      <c r="E417" t="s">
        <v>38</v>
      </c>
      <c r="F417">
        <v>3</v>
      </c>
      <c r="G417" t="s">
        <v>38</v>
      </c>
      <c r="H417" t="s">
        <v>38</v>
      </c>
      <c r="I417">
        <v>0.1</v>
      </c>
      <c r="J417" t="s">
        <v>38</v>
      </c>
      <c r="K417">
        <v>0</v>
      </c>
      <c r="L417">
        <v>1.7782623811245799E-4</v>
      </c>
      <c r="M417" t="s">
        <v>38</v>
      </c>
      <c r="O417" t="s">
        <v>2838</v>
      </c>
      <c r="P417">
        <v>5779.5995999999996</v>
      </c>
      <c r="Q417">
        <v>5504.2496000000001</v>
      </c>
      <c r="R417">
        <v>0.95235829139444195</v>
      </c>
      <c r="S417">
        <v>6.6656202982318905E-2</v>
      </c>
      <c r="T417">
        <v>3</v>
      </c>
      <c r="U417" t="s">
        <v>2826</v>
      </c>
    </row>
    <row r="418" spans="1:21" x14ac:dyDescent="0.3">
      <c r="A418">
        <v>417</v>
      </c>
      <c r="B418" t="s">
        <v>1018</v>
      </c>
      <c r="C418" t="s">
        <v>38</v>
      </c>
      <c r="D418">
        <v>0</v>
      </c>
      <c r="E418" t="s">
        <v>38</v>
      </c>
      <c r="F418">
        <v>0</v>
      </c>
      <c r="G418" t="s">
        <v>38</v>
      </c>
      <c r="H418" t="s">
        <v>38</v>
      </c>
      <c r="I418">
        <v>0</v>
      </c>
      <c r="J418" t="s">
        <v>38</v>
      </c>
      <c r="K418">
        <v>0</v>
      </c>
      <c r="L418">
        <v>1.1381575230203899E-3</v>
      </c>
      <c r="M418" t="s">
        <v>38</v>
      </c>
      <c r="O418" t="s">
        <v>2838</v>
      </c>
      <c r="P418">
        <v>37063.725599999998</v>
      </c>
      <c r="Q418">
        <v>37004.719599999997</v>
      </c>
      <c r="R418">
        <v>0.99840798519186102</v>
      </c>
      <c r="S418">
        <v>2.9820074720822501E-3</v>
      </c>
      <c r="T418">
        <v>0</v>
      </c>
      <c r="U418" t="s">
        <v>2826</v>
      </c>
    </row>
    <row r="419" spans="1:21" x14ac:dyDescent="0.3">
      <c r="A419">
        <v>418</v>
      </c>
      <c r="B419" t="s">
        <v>2317</v>
      </c>
      <c r="C419" t="s">
        <v>38</v>
      </c>
      <c r="D419">
        <v>0</v>
      </c>
      <c r="E419" t="s">
        <v>38</v>
      </c>
      <c r="F419">
        <v>0</v>
      </c>
      <c r="G419" t="s">
        <v>38</v>
      </c>
      <c r="H419" t="s">
        <v>38</v>
      </c>
      <c r="I419">
        <v>0</v>
      </c>
      <c r="J419" t="s">
        <v>38</v>
      </c>
      <c r="K419">
        <v>0</v>
      </c>
      <c r="L419">
        <v>0</v>
      </c>
      <c r="M419" t="s">
        <v>38</v>
      </c>
      <c r="O419" t="s">
        <v>2838</v>
      </c>
      <c r="P419">
        <v>2242.3667999999998</v>
      </c>
      <c r="Q419">
        <v>2239.5115999999998</v>
      </c>
      <c r="R419">
        <v>0.99872670251807105</v>
      </c>
      <c r="S419">
        <v>3.6054394401245399E-3</v>
      </c>
      <c r="T419">
        <v>0</v>
      </c>
      <c r="U419" t="s">
        <v>2826</v>
      </c>
    </row>
    <row r="420" spans="1:21" x14ac:dyDescent="0.3">
      <c r="A420">
        <v>419</v>
      </c>
      <c r="B420" t="s">
        <v>2323</v>
      </c>
      <c r="C420" t="s">
        <v>38</v>
      </c>
      <c r="D420">
        <v>0</v>
      </c>
      <c r="E420" t="s">
        <v>38</v>
      </c>
      <c r="F420">
        <v>0</v>
      </c>
      <c r="G420" t="s">
        <v>38</v>
      </c>
      <c r="H420" t="s">
        <v>38</v>
      </c>
      <c r="I420">
        <v>0</v>
      </c>
      <c r="J420" t="s">
        <v>38</v>
      </c>
      <c r="K420">
        <v>0</v>
      </c>
      <c r="L420">
        <v>0</v>
      </c>
      <c r="M420" t="s">
        <v>38</v>
      </c>
      <c r="O420" t="s">
        <v>2838</v>
      </c>
      <c r="P420">
        <v>2898.1244000000002</v>
      </c>
      <c r="Q420">
        <v>2897.9319999999998</v>
      </c>
      <c r="R420">
        <v>0.99999792969549495</v>
      </c>
      <c r="S420">
        <v>0</v>
      </c>
      <c r="T420">
        <v>0</v>
      </c>
      <c r="U420" t="s">
        <v>2826</v>
      </c>
    </row>
    <row r="421" spans="1:21" x14ac:dyDescent="0.3">
      <c r="A421">
        <v>420</v>
      </c>
      <c r="B421" t="s">
        <v>679</v>
      </c>
      <c r="C421" t="s">
        <v>38</v>
      </c>
      <c r="D421">
        <v>0</v>
      </c>
      <c r="E421" t="s">
        <v>38</v>
      </c>
      <c r="F421">
        <v>0</v>
      </c>
      <c r="G421" t="s">
        <v>38</v>
      </c>
      <c r="H421" t="s">
        <v>38</v>
      </c>
      <c r="I421">
        <v>0</v>
      </c>
      <c r="J421" t="s">
        <v>38</v>
      </c>
      <c r="K421">
        <v>0</v>
      </c>
      <c r="L421" t="s">
        <v>2840</v>
      </c>
      <c r="M421" t="s">
        <v>38</v>
      </c>
      <c r="O421" t="s">
        <v>2848</v>
      </c>
      <c r="P421">
        <v>762.44280000000003</v>
      </c>
      <c r="Q421">
        <v>762.25440000000003</v>
      </c>
      <c r="R421">
        <v>0.99975289949619806</v>
      </c>
      <c r="S421">
        <v>3.3941673054924099E-4</v>
      </c>
      <c r="T421">
        <v>0</v>
      </c>
      <c r="U421" t="s">
        <v>2826</v>
      </c>
    </row>
    <row r="422" spans="1:21" x14ac:dyDescent="0.3">
      <c r="A422">
        <v>421</v>
      </c>
      <c r="B422" t="s">
        <v>1964</v>
      </c>
      <c r="C422" t="s">
        <v>38</v>
      </c>
      <c r="D422">
        <v>24</v>
      </c>
      <c r="E422" t="s">
        <v>38</v>
      </c>
      <c r="F422">
        <v>11</v>
      </c>
      <c r="G422" t="s">
        <v>38</v>
      </c>
      <c r="H422" t="s">
        <v>38</v>
      </c>
      <c r="I422">
        <v>0.2</v>
      </c>
      <c r="J422" t="s">
        <v>38</v>
      </c>
      <c r="K422">
        <v>0</v>
      </c>
      <c r="L422">
        <v>1.52002875271425E-2</v>
      </c>
      <c r="M422" t="s">
        <v>38</v>
      </c>
      <c r="O422" t="s">
        <v>2838</v>
      </c>
      <c r="P422">
        <v>2090.6907999999999</v>
      </c>
      <c r="Q422">
        <v>1579.2596000000001</v>
      </c>
      <c r="R422">
        <v>0.75537693091680502</v>
      </c>
      <c r="S422">
        <v>0.228002285812232</v>
      </c>
      <c r="T422">
        <v>11</v>
      </c>
      <c r="U422" t="s">
        <v>2826</v>
      </c>
    </row>
    <row r="423" spans="1:21" x14ac:dyDescent="0.3">
      <c r="A423">
        <v>422</v>
      </c>
      <c r="B423" t="s">
        <v>328</v>
      </c>
      <c r="C423" t="s">
        <v>38</v>
      </c>
      <c r="D423">
        <v>25</v>
      </c>
      <c r="E423" t="s">
        <v>38</v>
      </c>
      <c r="F423">
        <v>13</v>
      </c>
      <c r="G423" t="s">
        <v>38</v>
      </c>
      <c r="H423" t="s">
        <v>38</v>
      </c>
      <c r="I423">
        <v>0.3</v>
      </c>
      <c r="J423" t="s">
        <v>38</v>
      </c>
      <c r="K423">
        <v>0</v>
      </c>
      <c r="L423">
        <v>6.8700011898639203E-3</v>
      </c>
      <c r="M423" t="s">
        <v>38</v>
      </c>
      <c r="O423" t="s">
        <v>2869</v>
      </c>
      <c r="P423">
        <v>942.78359999999998</v>
      </c>
      <c r="Q423">
        <v>615.19640000000004</v>
      </c>
      <c r="R423">
        <v>0.65253192779339797</v>
      </c>
      <c r="S423">
        <v>0.26507971525886798</v>
      </c>
      <c r="T423">
        <v>13</v>
      </c>
      <c r="U423" t="s">
        <v>2826</v>
      </c>
    </row>
    <row r="424" spans="1:21" x14ac:dyDescent="0.3">
      <c r="A424">
        <v>423</v>
      </c>
      <c r="B424" t="s">
        <v>640</v>
      </c>
      <c r="C424" t="s">
        <v>38</v>
      </c>
      <c r="D424">
        <v>4</v>
      </c>
      <c r="E424" t="s">
        <v>38</v>
      </c>
      <c r="F424">
        <v>4</v>
      </c>
      <c r="G424" t="s">
        <v>38</v>
      </c>
      <c r="H424" t="s">
        <v>38</v>
      </c>
      <c r="I424">
        <v>0.1</v>
      </c>
      <c r="J424" t="s">
        <v>38</v>
      </c>
      <c r="K424">
        <v>0</v>
      </c>
      <c r="L424">
        <v>5.0353074957022205E-4</v>
      </c>
      <c r="M424" t="s">
        <v>38</v>
      </c>
      <c r="O424" t="s">
        <v>2869</v>
      </c>
      <c r="P424">
        <v>630.61519999999996</v>
      </c>
      <c r="Q424">
        <v>596.58720000000005</v>
      </c>
      <c r="R424">
        <v>0.946039993961452</v>
      </c>
      <c r="S424">
        <v>7.7278710457036298E-2</v>
      </c>
      <c r="T424">
        <v>4</v>
      </c>
      <c r="U424" t="s">
        <v>2826</v>
      </c>
    </row>
    <row r="425" spans="1:21" x14ac:dyDescent="0.3">
      <c r="A425">
        <v>424</v>
      </c>
      <c r="B425" t="s">
        <v>852</v>
      </c>
      <c r="C425" t="s">
        <v>38</v>
      </c>
      <c r="D425">
        <v>16</v>
      </c>
      <c r="E425" t="s">
        <v>38</v>
      </c>
      <c r="F425">
        <v>7</v>
      </c>
      <c r="G425" t="s">
        <v>38</v>
      </c>
      <c r="H425" t="s">
        <v>38</v>
      </c>
      <c r="I425">
        <v>0.1</v>
      </c>
      <c r="J425" t="s">
        <v>38</v>
      </c>
      <c r="K425">
        <v>0</v>
      </c>
      <c r="L425">
        <v>3.9611754639703602E-2</v>
      </c>
      <c r="M425" t="s">
        <v>38</v>
      </c>
      <c r="O425" t="s">
        <v>2869</v>
      </c>
      <c r="P425">
        <v>468.39479999999998</v>
      </c>
      <c r="Q425">
        <v>368.38560000000001</v>
      </c>
      <c r="R425">
        <v>0.78648524706081302</v>
      </c>
      <c r="S425">
        <v>0.130314555065346</v>
      </c>
      <c r="T425">
        <v>7</v>
      </c>
      <c r="U425" t="s">
        <v>2826</v>
      </c>
    </row>
    <row r="426" spans="1:21" x14ac:dyDescent="0.3">
      <c r="A426">
        <v>425</v>
      </c>
      <c r="B426" t="s">
        <v>2471</v>
      </c>
      <c r="C426" t="s">
        <v>38</v>
      </c>
      <c r="D426">
        <v>26</v>
      </c>
      <c r="E426" t="s">
        <v>38</v>
      </c>
      <c r="F426">
        <v>8</v>
      </c>
      <c r="G426" t="s">
        <v>38</v>
      </c>
      <c r="H426" t="s">
        <v>38</v>
      </c>
      <c r="I426">
        <v>0.2</v>
      </c>
      <c r="J426" t="s">
        <v>38</v>
      </c>
      <c r="K426">
        <v>0</v>
      </c>
      <c r="L426">
        <v>3.6676179803812201E-2</v>
      </c>
      <c r="M426" t="s">
        <v>38</v>
      </c>
      <c r="O426" t="s">
        <v>2869</v>
      </c>
      <c r="P426">
        <v>109.4832</v>
      </c>
      <c r="Q426">
        <v>72.461200000000005</v>
      </c>
      <c r="R426">
        <v>0.661847662472416</v>
      </c>
      <c r="S426">
        <v>0.152425016540469</v>
      </c>
      <c r="T426">
        <v>8</v>
      </c>
      <c r="U426" t="s">
        <v>2826</v>
      </c>
    </row>
    <row r="427" spans="1:21" x14ac:dyDescent="0.3">
      <c r="A427">
        <v>426</v>
      </c>
      <c r="B427" t="s">
        <v>1649</v>
      </c>
      <c r="C427" t="s">
        <v>38</v>
      </c>
      <c r="D427">
        <v>23</v>
      </c>
      <c r="E427" t="s">
        <v>38</v>
      </c>
      <c r="F427">
        <v>4</v>
      </c>
      <c r="G427" t="s">
        <v>38</v>
      </c>
      <c r="H427" t="s">
        <v>38</v>
      </c>
      <c r="I427">
        <v>0.1</v>
      </c>
      <c r="J427" t="s">
        <v>38</v>
      </c>
      <c r="K427">
        <v>0</v>
      </c>
      <c r="L427">
        <v>6.0489597620455599E-3</v>
      </c>
      <c r="M427" t="s">
        <v>38</v>
      </c>
      <c r="O427" t="s">
        <v>2838</v>
      </c>
      <c r="P427">
        <v>4460.3123999999998</v>
      </c>
      <c r="Q427">
        <v>3420.6212</v>
      </c>
      <c r="R427">
        <v>0.76690170849916295</v>
      </c>
      <c r="S427">
        <v>7.3137190031301397E-2</v>
      </c>
      <c r="T427">
        <v>4</v>
      </c>
      <c r="U427" t="s">
        <v>2826</v>
      </c>
    </row>
    <row r="428" spans="1:21" x14ac:dyDescent="0.3">
      <c r="A428">
        <v>427</v>
      </c>
      <c r="B428" t="s">
        <v>933</v>
      </c>
      <c r="C428" t="s">
        <v>38</v>
      </c>
      <c r="D428">
        <v>0</v>
      </c>
      <c r="E428" t="s">
        <v>38</v>
      </c>
      <c r="F428">
        <v>0</v>
      </c>
      <c r="G428" t="s">
        <v>38</v>
      </c>
      <c r="H428" t="s">
        <v>38</v>
      </c>
      <c r="I428">
        <v>0</v>
      </c>
      <c r="J428" t="s">
        <v>38</v>
      </c>
      <c r="K428">
        <v>0</v>
      </c>
      <c r="L428" t="s">
        <v>2840</v>
      </c>
      <c r="M428" t="s">
        <v>38</v>
      </c>
      <c r="O428" t="s">
        <v>2848</v>
      </c>
      <c r="P428">
        <v>1335.0152</v>
      </c>
      <c r="Q428">
        <v>1334.5932</v>
      </c>
      <c r="R428">
        <v>1.0065323600809899</v>
      </c>
      <c r="S428" s="18">
        <v>9.1785573315770905E-5</v>
      </c>
      <c r="T428">
        <v>0</v>
      </c>
      <c r="U428" t="s">
        <v>2826</v>
      </c>
    </row>
    <row r="429" spans="1:21" x14ac:dyDescent="0.3">
      <c r="A429">
        <v>428</v>
      </c>
      <c r="B429" t="s">
        <v>1395</v>
      </c>
      <c r="C429" t="s">
        <v>38</v>
      </c>
      <c r="D429">
        <v>13</v>
      </c>
      <c r="E429" t="s">
        <v>38</v>
      </c>
      <c r="F429">
        <v>5</v>
      </c>
      <c r="G429" t="s">
        <v>38</v>
      </c>
      <c r="H429" t="s">
        <v>38</v>
      </c>
      <c r="I429">
        <v>0.1</v>
      </c>
      <c r="J429" t="s">
        <v>38</v>
      </c>
      <c r="K429">
        <v>0</v>
      </c>
      <c r="L429">
        <v>2.99179503794475E-2</v>
      </c>
      <c r="M429" t="s">
        <v>38</v>
      </c>
      <c r="O429" t="s">
        <v>2838</v>
      </c>
      <c r="P429">
        <v>2583.6644000000001</v>
      </c>
      <c r="Q429">
        <v>2251.9056</v>
      </c>
      <c r="R429">
        <v>0.87159369459903502</v>
      </c>
      <c r="S429">
        <v>9.1197344126924207E-2</v>
      </c>
      <c r="T429">
        <v>5</v>
      </c>
      <c r="U429" t="s">
        <v>2826</v>
      </c>
    </row>
    <row r="430" spans="1:21" x14ac:dyDescent="0.3">
      <c r="A430">
        <v>429</v>
      </c>
      <c r="B430" t="s">
        <v>1862</v>
      </c>
      <c r="C430" t="s">
        <v>76</v>
      </c>
      <c r="D430">
        <v>68</v>
      </c>
      <c r="E430" t="s">
        <v>76</v>
      </c>
      <c r="F430">
        <v>39</v>
      </c>
      <c r="G430" t="s">
        <v>51</v>
      </c>
      <c r="H430" t="s">
        <v>51</v>
      </c>
      <c r="I430">
        <v>0.8</v>
      </c>
      <c r="J430" t="s">
        <v>38</v>
      </c>
      <c r="K430">
        <v>0</v>
      </c>
      <c r="L430">
        <v>0.10966792021082</v>
      </c>
      <c r="M430" t="s">
        <v>51</v>
      </c>
      <c r="N430" t="s">
        <v>706</v>
      </c>
      <c r="O430" t="s">
        <v>2846</v>
      </c>
      <c r="P430">
        <v>134.51759999999999</v>
      </c>
      <c r="Q430">
        <v>42.6524</v>
      </c>
      <c r="R430">
        <v>0.31707672453270103</v>
      </c>
      <c r="S430">
        <v>0.78079382610959103</v>
      </c>
      <c r="T430">
        <v>39</v>
      </c>
      <c r="U430" t="s">
        <v>2826</v>
      </c>
    </row>
    <row r="431" spans="1:21" x14ac:dyDescent="0.3">
      <c r="A431">
        <v>430</v>
      </c>
      <c r="B431" t="s">
        <v>1120</v>
      </c>
      <c r="C431" t="s">
        <v>38</v>
      </c>
      <c r="D431">
        <v>20</v>
      </c>
      <c r="E431" t="s">
        <v>38</v>
      </c>
      <c r="F431">
        <v>11</v>
      </c>
      <c r="G431" t="s">
        <v>38</v>
      </c>
      <c r="H431" t="s">
        <v>38</v>
      </c>
      <c r="I431">
        <v>0.2</v>
      </c>
      <c r="J431" t="s">
        <v>38</v>
      </c>
      <c r="K431">
        <v>0</v>
      </c>
      <c r="L431">
        <v>2.3782296038950602E-3</v>
      </c>
      <c r="M431" t="s">
        <v>38</v>
      </c>
      <c r="O431" t="s">
        <v>2843</v>
      </c>
      <c r="P431">
        <v>1124.2472</v>
      </c>
      <c r="Q431">
        <v>865.01319999999998</v>
      </c>
      <c r="R431">
        <v>0.76941548086577405</v>
      </c>
      <c r="S431">
        <v>0.226470545975163</v>
      </c>
      <c r="T431">
        <v>11</v>
      </c>
      <c r="U431" t="s">
        <v>2826</v>
      </c>
    </row>
    <row r="432" spans="1:21" x14ac:dyDescent="0.3">
      <c r="A432">
        <v>431</v>
      </c>
      <c r="B432" t="s">
        <v>1066</v>
      </c>
      <c r="C432" t="s">
        <v>38</v>
      </c>
      <c r="D432">
        <v>24</v>
      </c>
      <c r="E432" t="s">
        <v>38</v>
      </c>
      <c r="F432">
        <v>27</v>
      </c>
      <c r="G432" t="s">
        <v>106</v>
      </c>
      <c r="H432" t="s">
        <v>51</v>
      </c>
      <c r="I432">
        <v>0.5</v>
      </c>
      <c r="J432" t="s">
        <v>38</v>
      </c>
      <c r="K432">
        <v>0</v>
      </c>
      <c r="L432">
        <v>2.6740616024561801E-3</v>
      </c>
      <c r="M432" t="s">
        <v>106</v>
      </c>
      <c r="N432" t="s">
        <v>53</v>
      </c>
      <c r="O432" t="s">
        <v>2845</v>
      </c>
      <c r="P432">
        <v>152.94560000000001</v>
      </c>
      <c r="Q432">
        <v>80.775999999999996</v>
      </c>
      <c r="R432">
        <v>0.52813549392725201</v>
      </c>
      <c r="S432">
        <v>0.53464411788851496</v>
      </c>
      <c r="T432">
        <v>27</v>
      </c>
      <c r="U432" t="s">
        <v>2826</v>
      </c>
    </row>
    <row r="433" spans="1:21" x14ac:dyDescent="0.3">
      <c r="A433">
        <v>432</v>
      </c>
      <c r="B433" t="s">
        <v>245</v>
      </c>
      <c r="C433" t="s">
        <v>38</v>
      </c>
      <c r="D433">
        <v>0</v>
      </c>
      <c r="E433" t="s">
        <v>38</v>
      </c>
      <c r="F433">
        <v>0</v>
      </c>
      <c r="G433" t="s">
        <v>38</v>
      </c>
      <c r="H433" t="s">
        <v>38</v>
      </c>
      <c r="I433">
        <v>0</v>
      </c>
      <c r="J433" t="s">
        <v>38</v>
      </c>
      <c r="K433">
        <v>0</v>
      </c>
      <c r="L433" t="s">
        <v>2840</v>
      </c>
      <c r="M433" t="s">
        <v>38</v>
      </c>
      <c r="O433" t="s">
        <v>2848</v>
      </c>
      <c r="P433">
        <v>181.636</v>
      </c>
      <c r="Q433">
        <v>181.6164</v>
      </c>
      <c r="R433">
        <v>1.0120702944350199</v>
      </c>
      <c r="S433">
        <v>0</v>
      </c>
      <c r="T433">
        <v>0</v>
      </c>
      <c r="U433" t="s">
        <v>2826</v>
      </c>
    </row>
    <row r="434" spans="1:21" x14ac:dyDescent="0.3">
      <c r="A434">
        <v>433</v>
      </c>
      <c r="B434" t="s">
        <v>2328</v>
      </c>
      <c r="C434" t="s">
        <v>76</v>
      </c>
      <c r="D434">
        <v>52</v>
      </c>
      <c r="E434" t="s">
        <v>76</v>
      </c>
      <c r="F434">
        <v>41</v>
      </c>
      <c r="G434" t="s">
        <v>51</v>
      </c>
      <c r="H434" t="s">
        <v>76</v>
      </c>
      <c r="I434">
        <v>0.8</v>
      </c>
      <c r="J434" t="s">
        <v>38</v>
      </c>
      <c r="K434">
        <v>0</v>
      </c>
      <c r="L434">
        <v>3.3097766431099802E-2</v>
      </c>
      <c r="M434" t="s">
        <v>51</v>
      </c>
      <c r="N434" t="s">
        <v>53</v>
      </c>
      <c r="O434" t="s">
        <v>2845</v>
      </c>
      <c r="P434">
        <v>1645.0052000000001</v>
      </c>
      <c r="Q434">
        <v>648.64800000000002</v>
      </c>
      <c r="R434">
        <v>0.39431364715442802</v>
      </c>
      <c r="S434">
        <v>0.81368090187539499</v>
      </c>
      <c r="T434">
        <v>41</v>
      </c>
      <c r="U434" t="s">
        <v>2826</v>
      </c>
    </row>
    <row r="435" spans="1:21" x14ac:dyDescent="0.3">
      <c r="A435">
        <v>434</v>
      </c>
      <c r="B435" t="s">
        <v>2334</v>
      </c>
      <c r="C435" t="s">
        <v>38</v>
      </c>
      <c r="D435">
        <v>15</v>
      </c>
      <c r="E435" t="s">
        <v>38</v>
      </c>
      <c r="F435">
        <v>11</v>
      </c>
      <c r="G435" t="s">
        <v>38</v>
      </c>
      <c r="H435" t="s">
        <v>38</v>
      </c>
      <c r="I435">
        <v>0.2</v>
      </c>
      <c r="J435" t="s">
        <v>38</v>
      </c>
      <c r="K435">
        <v>0</v>
      </c>
      <c r="L435">
        <v>2.5947720303175201E-2</v>
      </c>
      <c r="M435" t="s">
        <v>38</v>
      </c>
      <c r="O435" t="s">
        <v>2843</v>
      </c>
      <c r="P435">
        <v>335.05799999999999</v>
      </c>
      <c r="Q435">
        <v>268.57080000000002</v>
      </c>
      <c r="R435">
        <v>0.80156510216141696</v>
      </c>
      <c r="S435">
        <v>0.22959620185215601</v>
      </c>
      <c r="T435">
        <v>11</v>
      </c>
      <c r="U435" t="s">
        <v>2826</v>
      </c>
    </row>
    <row r="436" spans="1:21" x14ac:dyDescent="0.3">
      <c r="A436">
        <v>435</v>
      </c>
      <c r="B436" t="s">
        <v>1508</v>
      </c>
      <c r="C436" t="s">
        <v>38</v>
      </c>
      <c r="D436">
        <v>29</v>
      </c>
      <c r="E436" t="s">
        <v>38</v>
      </c>
      <c r="F436">
        <v>8</v>
      </c>
      <c r="G436" t="s">
        <v>38</v>
      </c>
      <c r="H436" t="s">
        <v>38</v>
      </c>
      <c r="I436">
        <v>0.2</v>
      </c>
      <c r="J436" t="s">
        <v>38</v>
      </c>
      <c r="K436">
        <v>0</v>
      </c>
      <c r="L436">
        <v>3.9562177898230098E-2</v>
      </c>
      <c r="M436" t="s">
        <v>38</v>
      </c>
      <c r="O436" t="s">
        <v>2838</v>
      </c>
      <c r="P436">
        <v>5173.6088</v>
      </c>
      <c r="Q436">
        <v>3681.6779999999999</v>
      </c>
      <c r="R436">
        <v>0.71162666956960496</v>
      </c>
      <c r="S436">
        <v>0.150366108786611</v>
      </c>
      <c r="T436">
        <v>8</v>
      </c>
      <c r="U436" t="s">
        <v>2826</v>
      </c>
    </row>
    <row r="437" spans="1:21" x14ac:dyDescent="0.3">
      <c r="A437">
        <v>436</v>
      </c>
      <c r="B437" t="s">
        <v>1550</v>
      </c>
      <c r="C437" t="s">
        <v>38</v>
      </c>
      <c r="D437">
        <v>33</v>
      </c>
      <c r="E437" t="s">
        <v>38</v>
      </c>
      <c r="F437">
        <v>10</v>
      </c>
      <c r="G437" t="s">
        <v>38</v>
      </c>
      <c r="H437" t="s">
        <v>38</v>
      </c>
      <c r="I437">
        <v>0.2</v>
      </c>
      <c r="J437" t="s">
        <v>38</v>
      </c>
      <c r="K437">
        <v>0</v>
      </c>
      <c r="L437">
        <v>3.0202126101212999E-2</v>
      </c>
      <c r="M437" t="s">
        <v>38</v>
      </c>
      <c r="O437" t="s">
        <v>2838</v>
      </c>
      <c r="P437">
        <v>8564.76</v>
      </c>
      <c r="Q437">
        <v>5704.3004000000001</v>
      </c>
      <c r="R437">
        <v>0.66601987679748198</v>
      </c>
      <c r="S437">
        <v>0.20756326060894301</v>
      </c>
      <c r="T437">
        <v>10</v>
      </c>
      <c r="U437" t="s">
        <v>2826</v>
      </c>
    </row>
    <row r="438" spans="1:21" x14ac:dyDescent="0.3">
      <c r="A438">
        <v>437</v>
      </c>
      <c r="B438" t="s">
        <v>1472</v>
      </c>
      <c r="C438" t="s">
        <v>51</v>
      </c>
      <c r="D438">
        <v>74</v>
      </c>
      <c r="E438" t="s">
        <v>76</v>
      </c>
      <c r="F438">
        <v>35</v>
      </c>
      <c r="G438" t="s">
        <v>106</v>
      </c>
      <c r="H438" t="s">
        <v>51</v>
      </c>
      <c r="I438">
        <v>0.7</v>
      </c>
      <c r="J438" t="s">
        <v>38</v>
      </c>
      <c r="K438">
        <v>0</v>
      </c>
      <c r="L438">
        <v>2.88062321702875E-2</v>
      </c>
      <c r="M438" t="s">
        <v>106</v>
      </c>
      <c r="N438" t="s">
        <v>53</v>
      </c>
      <c r="O438" t="s">
        <v>2846</v>
      </c>
      <c r="P438">
        <v>694.62400000000002</v>
      </c>
      <c r="Q438">
        <v>182.28</v>
      </c>
      <c r="R438">
        <v>0.262415349887133</v>
      </c>
      <c r="S438">
        <v>0.69570490818895803</v>
      </c>
      <c r="T438">
        <v>35</v>
      </c>
      <c r="U438" t="s">
        <v>2826</v>
      </c>
    </row>
    <row r="439" spans="1:21" x14ac:dyDescent="0.3">
      <c r="A439">
        <v>438</v>
      </c>
      <c r="B439" t="s">
        <v>2509</v>
      </c>
      <c r="C439" t="s">
        <v>38</v>
      </c>
      <c r="D439">
        <v>26</v>
      </c>
      <c r="E439" t="s">
        <v>38</v>
      </c>
      <c r="F439">
        <v>14</v>
      </c>
      <c r="G439" t="s">
        <v>38</v>
      </c>
      <c r="H439" t="s">
        <v>38</v>
      </c>
      <c r="I439">
        <v>0.3</v>
      </c>
      <c r="J439" t="s">
        <v>38</v>
      </c>
      <c r="K439">
        <v>0</v>
      </c>
      <c r="L439">
        <v>6.6448341075095702E-2</v>
      </c>
      <c r="M439" t="s">
        <v>38</v>
      </c>
      <c r="O439" t="s">
        <v>2843</v>
      </c>
      <c r="P439">
        <v>660.60680000000002</v>
      </c>
      <c r="Q439">
        <v>472.93279999999999</v>
      </c>
      <c r="R439">
        <v>0.71590664825127404</v>
      </c>
      <c r="S439">
        <v>0.28675072054964601</v>
      </c>
      <c r="T439">
        <v>14</v>
      </c>
      <c r="U439" t="s">
        <v>2826</v>
      </c>
    </row>
    <row r="440" spans="1:21" x14ac:dyDescent="0.3">
      <c r="A440">
        <v>439</v>
      </c>
      <c r="B440" t="s">
        <v>2477</v>
      </c>
      <c r="C440" t="s">
        <v>76</v>
      </c>
      <c r="D440">
        <v>52</v>
      </c>
      <c r="E440" t="s">
        <v>38</v>
      </c>
      <c r="F440">
        <v>24</v>
      </c>
      <c r="G440" t="s">
        <v>106</v>
      </c>
      <c r="H440" t="s">
        <v>76</v>
      </c>
      <c r="I440">
        <v>0.5</v>
      </c>
      <c r="J440" t="s">
        <v>38</v>
      </c>
      <c r="K440">
        <v>0</v>
      </c>
      <c r="L440">
        <v>1.5576944178828401E-2</v>
      </c>
      <c r="M440" t="s">
        <v>106</v>
      </c>
      <c r="N440" t="s">
        <v>53</v>
      </c>
      <c r="O440" t="s">
        <v>2871</v>
      </c>
      <c r="P440">
        <v>703.51319999999998</v>
      </c>
      <c r="Q440">
        <v>510.34399999999999</v>
      </c>
      <c r="R440">
        <v>0.72542206741820903</v>
      </c>
      <c r="S440">
        <v>0.47249323079174799</v>
      </c>
      <c r="T440">
        <v>24</v>
      </c>
      <c r="U440" t="s">
        <v>2826</v>
      </c>
    </row>
    <row r="441" spans="1:21" x14ac:dyDescent="0.3">
      <c r="A441">
        <v>440</v>
      </c>
      <c r="B441" t="s">
        <v>646</v>
      </c>
      <c r="C441" t="s">
        <v>38</v>
      </c>
      <c r="D441">
        <v>14</v>
      </c>
      <c r="E441" t="s">
        <v>38</v>
      </c>
      <c r="F441">
        <v>5</v>
      </c>
      <c r="G441" t="s">
        <v>38</v>
      </c>
      <c r="H441" t="s">
        <v>38</v>
      </c>
      <c r="I441">
        <v>0.1</v>
      </c>
      <c r="J441" t="s">
        <v>38</v>
      </c>
      <c r="K441">
        <v>0</v>
      </c>
      <c r="L441">
        <v>3.7626556172191399E-2</v>
      </c>
      <c r="M441" t="s">
        <v>38</v>
      </c>
      <c r="O441" t="s">
        <v>2869</v>
      </c>
      <c r="P441">
        <v>539.90800000000002</v>
      </c>
      <c r="Q441">
        <v>426.68799999999999</v>
      </c>
      <c r="R441">
        <v>0.79029760625884404</v>
      </c>
      <c r="S441">
        <v>0.10967416661314699</v>
      </c>
      <c r="T441">
        <v>5</v>
      </c>
      <c r="U441" t="s">
        <v>2826</v>
      </c>
    </row>
    <row r="442" spans="1:21" x14ac:dyDescent="0.3">
      <c r="A442">
        <v>441</v>
      </c>
      <c r="B442" t="s">
        <v>1724</v>
      </c>
      <c r="C442" t="s">
        <v>38</v>
      </c>
      <c r="D442">
        <v>25</v>
      </c>
      <c r="E442" t="s">
        <v>38</v>
      </c>
      <c r="F442">
        <v>9</v>
      </c>
      <c r="G442" t="s">
        <v>38</v>
      </c>
      <c r="H442" t="s">
        <v>38</v>
      </c>
      <c r="I442">
        <v>0.2</v>
      </c>
      <c r="J442" t="s">
        <v>38</v>
      </c>
      <c r="K442">
        <v>0</v>
      </c>
      <c r="L442">
        <v>1.2303338095193299E-3</v>
      </c>
      <c r="M442" t="s">
        <v>38</v>
      </c>
      <c r="O442" t="s">
        <v>2838</v>
      </c>
      <c r="P442">
        <v>19839.1584</v>
      </c>
      <c r="Q442">
        <v>14882.14</v>
      </c>
      <c r="R442">
        <v>0.75013968334463199</v>
      </c>
      <c r="S442">
        <v>0.174571946202386</v>
      </c>
      <c r="T442">
        <v>9</v>
      </c>
      <c r="U442" t="s">
        <v>2826</v>
      </c>
    </row>
    <row r="443" spans="1:21" x14ac:dyDescent="0.3">
      <c r="A443">
        <v>442</v>
      </c>
      <c r="B443" t="s">
        <v>2749</v>
      </c>
      <c r="C443" t="s">
        <v>38</v>
      </c>
      <c r="D443">
        <v>28</v>
      </c>
      <c r="E443" t="s">
        <v>38</v>
      </c>
      <c r="F443">
        <v>5</v>
      </c>
      <c r="G443" t="s">
        <v>38</v>
      </c>
      <c r="H443" t="s">
        <v>38</v>
      </c>
      <c r="I443">
        <v>0.1</v>
      </c>
      <c r="J443" t="s">
        <v>38</v>
      </c>
      <c r="K443">
        <v>0</v>
      </c>
      <c r="L443">
        <v>1.4050430333808E-3</v>
      </c>
      <c r="M443" t="s">
        <v>38</v>
      </c>
      <c r="O443" t="s">
        <v>2838</v>
      </c>
      <c r="P443">
        <v>2722.0444000000002</v>
      </c>
      <c r="Q443">
        <v>1968.0536</v>
      </c>
      <c r="R443">
        <v>0.72300569380866797</v>
      </c>
      <c r="S443">
        <v>9.2106228674159504E-2</v>
      </c>
      <c r="T443">
        <v>5</v>
      </c>
      <c r="U443" t="s">
        <v>2826</v>
      </c>
    </row>
    <row r="444" spans="1:21" x14ac:dyDescent="0.3">
      <c r="A444">
        <v>443</v>
      </c>
      <c r="B444" t="s">
        <v>1839</v>
      </c>
      <c r="C444" t="s">
        <v>38</v>
      </c>
      <c r="D444">
        <v>17</v>
      </c>
      <c r="E444" t="s">
        <v>38</v>
      </c>
      <c r="F444">
        <v>6</v>
      </c>
      <c r="G444" t="s">
        <v>38</v>
      </c>
      <c r="H444" t="s">
        <v>38</v>
      </c>
      <c r="I444">
        <v>0.1</v>
      </c>
      <c r="J444" t="s">
        <v>38</v>
      </c>
      <c r="K444">
        <v>0</v>
      </c>
      <c r="L444">
        <v>2.96030489258274E-4</v>
      </c>
      <c r="M444" t="s">
        <v>38</v>
      </c>
      <c r="O444" t="s">
        <v>2838</v>
      </c>
      <c r="P444">
        <v>3568.6239999999998</v>
      </c>
      <c r="Q444">
        <v>2975.3692000000001</v>
      </c>
      <c r="R444">
        <v>0.833758109568282</v>
      </c>
      <c r="S444">
        <v>0.12415637438794</v>
      </c>
      <c r="T444">
        <v>6</v>
      </c>
      <c r="U444" t="s">
        <v>2826</v>
      </c>
    </row>
    <row r="445" spans="1:21" x14ac:dyDescent="0.3">
      <c r="A445">
        <v>444</v>
      </c>
      <c r="B445" t="s">
        <v>1174</v>
      </c>
      <c r="C445" t="s">
        <v>38</v>
      </c>
      <c r="D445">
        <v>0</v>
      </c>
      <c r="E445" t="s">
        <v>38</v>
      </c>
      <c r="F445">
        <v>0</v>
      </c>
      <c r="G445" t="s">
        <v>38</v>
      </c>
      <c r="H445" t="s">
        <v>38</v>
      </c>
      <c r="I445">
        <v>0</v>
      </c>
      <c r="J445" t="s">
        <v>38</v>
      </c>
      <c r="K445">
        <v>0</v>
      </c>
      <c r="L445" t="s">
        <v>2840</v>
      </c>
      <c r="M445" t="s">
        <v>38</v>
      </c>
      <c r="O445" t="s">
        <v>2872</v>
      </c>
      <c r="P445">
        <v>760.24680000000001</v>
      </c>
      <c r="Q445">
        <v>757.70159999999998</v>
      </c>
      <c r="R445">
        <v>0.99665213980512601</v>
      </c>
      <c r="S445">
        <v>4.2175985626424096E-3</v>
      </c>
      <c r="T445">
        <v>0</v>
      </c>
      <c r="U445" t="s">
        <v>2826</v>
      </c>
    </row>
    <row r="446" spans="1:21" x14ac:dyDescent="0.3">
      <c r="A446">
        <v>445</v>
      </c>
      <c r="B446" t="s">
        <v>2754</v>
      </c>
      <c r="C446" t="s">
        <v>38</v>
      </c>
      <c r="D446">
        <v>12</v>
      </c>
      <c r="E446" t="s">
        <v>38</v>
      </c>
      <c r="F446">
        <v>4</v>
      </c>
      <c r="G446" t="s">
        <v>38</v>
      </c>
      <c r="H446" t="s">
        <v>38</v>
      </c>
      <c r="I446">
        <v>0.1</v>
      </c>
      <c r="J446" t="s">
        <v>38</v>
      </c>
      <c r="K446">
        <v>0</v>
      </c>
      <c r="L446">
        <v>1.37198424111816E-2</v>
      </c>
      <c r="M446" t="s">
        <v>38</v>
      </c>
      <c r="O446" t="s">
        <v>2838</v>
      </c>
      <c r="P446">
        <v>323.45359999999999</v>
      </c>
      <c r="Q446">
        <v>286.21319999999997</v>
      </c>
      <c r="R446">
        <v>0.88486633013204996</v>
      </c>
      <c r="S446">
        <v>7.5012173813411798E-2</v>
      </c>
      <c r="T446">
        <v>4</v>
      </c>
      <c r="U446" t="s">
        <v>2826</v>
      </c>
    </row>
    <row r="447" spans="1:21" x14ac:dyDescent="0.3">
      <c r="A447">
        <v>446</v>
      </c>
      <c r="B447" t="s">
        <v>536</v>
      </c>
      <c r="C447" t="s">
        <v>38</v>
      </c>
      <c r="D447">
        <v>49</v>
      </c>
      <c r="E447" t="s">
        <v>38</v>
      </c>
      <c r="F447">
        <v>19</v>
      </c>
      <c r="G447" t="s">
        <v>51</v>
      </c>
      <c r="H447" t="s">
        <v>38</v>
      </c>
      <c r="I447">
        <v>0.4</v>
      </c>
      <c r="J447" t="s">
        <v>38</v>
      </c>
      <c r="K447">
        <v>0</v>
      </c>
      <c r="L447">
        <v>2.14924240812338E-2</v>
      </c>
      <c r="M447" t="s">
        <v>51</v>
      </c>
      <c r="N447" t="s">
        <v>53</v>
      </c>
      <c r="O447" t="s">
        <v>2868</v>
      </c>
      <c r="P447">
        <v>3399.5655999999999</v>
      </c>
      <c r="Q447">
        <v>1748.3556000000001</v>
      </c>
      <c r="R447">
        <v>0.51428794314191195</v>
      </c>
      <c r="S447">
        <v>0.38961758895932302</v>
      </c>
      <c r="T447">
        <v>19</v>
      </c>
      <c r="U447" t="s">
        <v>2826</v>
      </c>
    </row>
    <row r="448" spans="1:21" x14ac:dyDescent="0.3">
      <c r="A448">
        <v>447</v>
      </c>
      <c r="B448" t="s">
        <v>1958</v>
      </c>
      <c r="C448" t="s">
        <v>76</v>
      </c>
      <c r="D448">
        <v>52</v>
      </c>
      <c r="E448" t="s">
        <v>38</v>
      </c>
      <c r="F448">
        <v>26</v>
      </c>
      <c r="G448" t="s">
        <v>51</v>
      </c>
      <c r="H448" t="s">
        <v>38</v>
      </c>
      <c r="I448">
        <v>0.5</v>
      </c>
      <c r="J448" t="s">
        <v>38</v>
      </c>
      <c r="K448">
        <v>0</v>
      </c>
      <c r="L448">
        <v>0.11275230061734599</v>
      </c>
      <c r="M448" t="s">
        <v>51</v>
      </c>
      <c r="N448" t="s">
        <v>53</v>
      </c>
      <c r="O448" t="s">
        <v>2873</v>
      </c>
      <c r="P448">
        <v>3562.4731999999999</v>
      </c>
      <c r="Q448">
        <v>1115.6135999999999</v>
      </c>
      <c r="R448">
        <v>0.31315705055690002</v>
      </c>
      <c r="S448">
        <v>0.518141606485643</v>
      </c>
      <c r="T448">
        <v>26</v>
      </c>
      <c r="U448" t="s">
        <v>2826</v>
      </c>
    </row>
    <row r="449" spans="1:21" x14ac:dyDescent="0.3">
      <c r="A449">
        <v>448</v>
      </c>
      <c r="B449" t="s">
        <v>991</v>
      </c>
      <c r="C449" t="s">
        <v>38</v>
      </c>
      <c r="D449">
        <v>8</v>
      </c>
      <c r="E449" t="s">
        <v>38</v>
      </c>
      <c r="F449">
        <v>5</v>
      </c>
      <c r="G449" t="s">
        <v>38</v>
      </c>
      <c r="H449" t="s">
        <v>38</v>
      </c>
      <c r="I449">
        <v>0.1</v>
      </c>
      <c r="J449" t="s">
        <v>38</v>
      </c>
      <c r="K449">
        <v>0</v>
      </c>
      <c r="L449" s="18">
        <v>3.1624161351094297E-5</v>
      </c>
      <c r="M449" t="s">
        <v>38</v>
      </c>
      <c r="O449" t="s">
        <v>2838</v>
      </c>
      <c r="P449">
        <v>8796.3575999999994</v>
      </c>
      <c r="Q449">
        <v>8133.0219999999999</v>
      </c>
      <c r="R449">
        <v>0.92458974155393603</v>
      </c>
      <c r="S449">
        <v>0.10178249581649999</v>
      </c>
      <c r="T449">
        <v>5</v>
      </c>
      <c r="U449" t="s">
        <v>2826</v>
      </c>
    </row>
    <row r="450" spans="1:21" x14ac:dyDescent="0.3">
      <c r="A450">
        <v>449</v>
      </c>
      <c r="B450" t="s">
        <v>1297</v>
      </c>
      <c r="C450" t="s">
        <v>38</v>
      </c>
      <c r="D450">
        <v>2</v>
      </c>
      <c r="E450" t="s">
        <v>38</v>
      </c>
      <c r="F450">
        <v>1</v>
      </c>
      <c r="G450" t="s">
        <v>38</v>
      </c>
      <c r="H450" t="s">
        <v>38</v>
      </c>
      <c r="I450">
        <v>0</v>
      </c>
      <c r="J450" t="s">
        <v>38</v>
      </c>
      <c r="K450">
        <v>0</v>
      </c>
      <c r="L450" s="18">
        <v>7.2546963490188802E-5</v>
      </c>
      <c r="M450" t="s">
        <v>38</v>
      </c>
      <c r="O450" t="s">
        <v>2838</v>
      </c>
      <c r="P450">
        <v>2779.8908000000001</v>
      </c>
      <c r="Q450">
        <v>2718.2392</v>
      </c>
      <c r="R450">
        <v>0.97782229431458201</v>
      </c>
      <c r="S450">
        <v>2.5985650660043599E-2</v>
      </c>
      <c r="T450">
        <v>1</v>
      </c>
      <c r="U450" t="s">
        <v>2826</v>
      </c>
    </row>
    <row r="451" spans="1:21" x14ac:dyDescent="0.3">
      <c r="A451">
        <v>450</v>
      </c>
      <c r="B451" t="s">
        <v>1729</v>
      </c>
      <c r="C451" t="s">
        <v>38</v>
      </c>
      <c r="D451">
        <v>0</v>
      </c>
      <c r="E451" t="s">
        <v>38</v>
      </c>
      <c r="F451">
        <v>0</v>
      </c>
      <c r="G451" t="s">
        <v>38</v>
      </c>
      <c r="H451" t="s">
        <v>38</v>
      </c>
      <c r="I451">
        <v>0</v>
      </c>
      <c r="J451" t="s">
        <v>38</v>
      </c>
      <c r="K451">
        <v>0</v>
      </c>
      <c r="L451" t="s">
        <v>2840</v>
      </c>
      <c r="M451" t="s">
        <v>38</v>
      </c>
      <c r="O451" t="s">
        <v>2848</v>
      </c>
      <c r="P451">
        <v>277.05919999999998</v>
      </c>
      <c r="Q451">
        <v>276.87799999999999</v>
      </c>
      <c r="R451">
        <v>0.999345988149825</v>
      </c>
      <c r="S451">
        <v>6.8155950926288499E-4</v>
      </c>
      <c r="T451">
        <v>0</v>
      </c>
      <c r="U451" t="s">
        <v>2826</v>
      </c>
    </row>
    <row r="452" spans="1:21" x14ac:dyDescent="0.3">
      <c r="A452">
        <v>451</v>
      </c>
      <c r="B452" t="s">
        <v>1735</v>
      </c>
      <c r="C452" t="s">
        <v>38</v>
      </c>
      <c r="D452">
        <v>0</v>
      </c>
      <c r="E452" t="s">
        <v>38</v>
      </c>
      <c r="F452">
        <v>0</v>
      </c>
      <c r="G452" t="s">
        <v>38</v>
      </c>
      <c r="H452" t="s">
        <v>38</v>
      </c>
      <c r="I452">
        <v>0</v>
      </c>
      <c r="J452" t="s">
        <v>38</v>
      </c>
      <c r="K452">
        <v>0</v>
      </c>
      <c r="L452" t="s">
        <v>2840</v>
      </c>
      <c r="M452" t="s">
        <v>38</v>
      </c>
      <c r="O452" t="s">
        <v>2848</v>
      </c>
      <c r="P452">
        <v>2804.7060000000001</v>
      </c>
      <c r="Q452">
        <v>2800.2143999999998</v>
      </c>
      <c r="R452">
        <v>0.99839854872489298</v>
      </c>
      <c r="S452">
        <v>4.7221389872097701E-4</v>
      </c>
      <c r="T452">
        <v>0</v>
      </c>
      <c r="U452" t="s">
        <v>2826</v>
      </c>
    </row>
    <row r="453" spans="1:21" x14ac:dyDescent="0.3">
      <c r="A453">
        <v>452</v>
      </c>
      <c r="B453" t="s">
        <v>1679</v>
      </c>
      <c r="C453" t="s">
        <v>38</v>
      </c>
      <c r="D453">
        <v>11</v>
      </c>
      <c r="E453" t="s">
        <v>38</v>
      </c>
      <c r="F453">
        <v>4</v>
      </c>
      <c r="G453" t="s">
        <v>38</v>
      </c>
      <c r="H453" t="s">
        <v>38</v>
      </c>
      <c r="I453">
        <v>0.1</v>
      </c>
      <c r="J453" t="s">
        <v>38</v>
      </c>
      <c r="K453">
        <v>0</v>
      </c>
      <c r="L453" t="s">
        <v>2840</v>
      </c>
      <c r="M453" t="s">
        <v>38</v>
      </c>
      <c r="O453" t="s">
        <v>2848</v>
      </c>
      <c r="P453">
        <v>5315.1355999999996</v>
      </c>
      <c r="Q453">
        <v>4722.0828000000001</v>
      </c>
      <c r="R453">
        <v>0.88842188711046299</v>
      </c>
      <c r="S453">
        <v>7.2286623188170598E-2</v>
      </c>
      <c r="T453">
        <v>4</v>
      </c>
      <c r="U453" t="s">
        <v>2826</v>
      </c>
    </row>
    <row r="454" spans="1:21" x14ac:dyDescent="0.3">
      <c r="A454">
        <v>453</v>
      </c>
      <c r="B454" t="s">
        <v>1054</v>
      </c>
      <c r="C454" t="s">
        <v>38</v>
      </c>
      <c r="D454">
        <v>23</v>
      </c>
      <c r="E454" t="s">
        <v>38</v>
      </c>
      <c r="F454">
        <v>8</v>
      </c>
      <c r="G454" t="s">
        <v>38</v>
      </c>
      <c r="H454" t="s">
        <v>38</v>
      </c>
      <c r="I454">
        <v>0.2</v>
      </c>
      <c r="J454" t="s">
        <v>38</v>
      </c>
      <c r="K454">
        <v>0</v>
      </c>
      <c r="L454" t="s">
        <v>2840</v>
      </c>
      <c r="M454" t="s">
        <v>38</v>
      </c>
      <c r="O454" t="s">
        <v>2848</v>
      </c>
      <c r="P454">
        <v>3154.1124</v>
      </c>
      <c r="Q454">
        <v>2431.4684000000002</v>
      </c>
      <c r="R454">
        <v>0.77088831710626404</v>
      </c>
      <c r="S454">
        <v>0.16083524394713999</v>
      </c>
      <c r="T454">
        <v>8</v>
      </c>
      <c r="U454" t="s">
        <v>2826</v>
      </c>
    </row>
    <row r="455" spans="1:21" x14ac:dyDescent="0.3">
      <c r="A455">
        <v>454</v>
      </c>
      <c r="B455" t="s">
        <v>588</v>
      </c>
      <c r="C455" t="s">
        <v>38</v>
      </c>
      <c r="D455">
        <v>9</v>
      </c>
      <c r="E455" t="s">
        <v>38</v>
      </c>
      <c r="F455">
        <v>5</v>
      </c>
      <c r="G455" t="s">
        <v>38</v>
      </c>
      <c r="H455" t="s">
        <v>38</v>
      </c>
      <c r="I455">
        <v>0.1</v>
      </c>
      <c r="J455" t="s">
        <v>38</v>
      </c>
      <c r="K455">
        <v>0</v>
      </c>
      <c r="L455">
        <v>0</v>
      </c>
      <c r="M455" t="s">
        <v>38</v>
      </c>
      <c r="O455" t="s">
        <v>2838</v>
      </c>
      <c r="P455">
        <v>2225.5536000000002</v>
      </c>
      <c r="Q455">
        <v>2027.626</v>
      </c>
      <c r="R455">
        <v>0.91106590288366895</v>
      </c>
      <c r="S455">
        <v>9.9481520281755595E-2</v>
      </c>
      <c r="T455">
        <v>5</v>
      </c>
      <c r="U455" t="s">
        <v>2826</v>
      </c>
    </row>
    <row r="456" spans="1:21" x14ac:dyDescent="0.3">
      <c r="A456">
        <v>455</v>
      </c>
      <c r="B456" t="s">
        <v>951</v>
      </c>
      <c r="C456" t="s">
        <v>38</v>
      </c>
      <c r="D456">
        <v>0</v>
      </c>
      <c r="E456" t="s">
        <v>38</v>
      </c>
      <c r="F456">
        <v>0</v>
      </c>
      <c r="G456" t="s">
        <v>38</v>
      </c>
      <c r="H456" t="s">
        <v>38</v>
      </c>
      <c r="I456">
        <v>0</v>
      </c>
      <c r="J456" t="s">
        <v>38</v>
      </c>
      <c r="K456">
        <v>0</v>
      </c>
      <c r="L456" t="s">
        <v>2840</v>
      </c>
      <c r="M456" t="s">
        <v>38</v>
      </c>
      <c r="O456" t="s">
        <v>2848</v>
      </c>
      <c r="P456">
        <v>310.43799999999999</v>
      </c>
      <c r="Q456">
        <v>310.28359999999998</v>
      </c>
      <c r="R456">
        <v>0.99950263820795104</v>
      </c>
      <c r="S456">
        <v>1.89331439266974E-4</v>
      </c>
      <c r="T456">
        <v>0</v>
      </c>
      <c r="U456" t="s">
        <v>2826</v>
      </c>
    </row>
    <row r="457" spans="1:21" x14ac:dyDescent="0.3">
      <c r="A457">
        <v>456</v>
      </c>
      <c r="B457" t="s">
        <v>144</v>
      </c>
      <c r="C457" t="s">
        <v>38</v>
      </c>
      <c r="D457">
        <v>31</v>
      </c>
      <c r="E457" t="s">
        <v>38</v>
      </c>
      <c r="F457">
        <v>8</v>
      </c>
      <c r="G457" t="s">
        <v>38</v>
      </c>
      <c r="H457" t="s">
        <v>38</v>
      </c>
      <c r="I457">
        <v>0.2</v>
      </c>
      <c r="J457" t="s">
        <v>38</v>
      </c>
      <c r="K457">
        <v>0</v>
      </c>
      <c r="L457">
        <v>3.1100997625088502E-3</v>
      </c>
      <c r="M457" t="s">
        <v>38</v>
      </c>
      <c r="O457" t="s">
        <v>2843</v>
      </c>
      <c r="P457">
        <v>2706.5924</v>
      </c>
      <c r="Q457">
        <v>1972.2840000000001</v>
      </c>
      <c r="R457">
        <v>0.72869634895893498</v>
      </c>
      <c r="S457">
        <v>0.16688050850923</v>
      </c>
      <c r="T457">
        <v>8</v>
      </c>
      <c r="U457" t="s">
        <v>2826</v>
      </c>
    </row>
    <row r="458" spans="1:21" x14ac:dyDescent="0.3">
      <c r="A458">
        <v>457</v>
      </c>
      <c r="B458" t="s">
        <v>1797</v>
      </c>
      <c r="C458" t="s">
        <v>38</v>
      </c>
      <c r="D458">
        <v>27</v>
      </c>
      <c r="E458" t="s">
        <v>38</v>
      </c>
      <c r="F458">
        <v>8</v>
      </c>
      <c r="G458" t="s">
        <v>38</v>
      </c>
      <c r="H458" t="s">
        <v>38</v>
      </c>
      <c r="I458">
        <v>0.2</v>
      </c>
      <c r="J458" t="s">
        <v>38</v>
      </c>
      <c r="K458">
        <v>0</v>
      </c>
      <c r="L458">
        <v>1.23352229201777E-2</v>
      </c>
      <c r="M458" t="s">
        <v>38</v>
      </c>
      <c r="O458" t="s">
        <v>2843</v>
      </c>
      <c r="P458">
        <v>2215.6012000000001</v>
      </c>
      <c r="Q458">
        <v>1631.75</v>
      </c>
      <c r="R458">
        <v>0.736481818117809</v>
      </c>
      <c r="S458">
        <v>0.168464283867203</v>
      </c>
      <c r="T458">
        <v>8</v>
      </c>
      <c r="U458" t="s">
        <v>2826</v>
      </c>
    </row>
    <row r="459" spans="1:21" x14ac:dyDescent="0.3">
      <c r="A459">
        <v>458</v>
      </c>
      <c r="B459" t="s">
        <v>1924</v>
      </c>
      <c r="C459" t="s">
        <v>38</v>
      </c>
      <c r="D459">
        <v>26</v>
      </c>
      <c r="E459" t="s">
        <v>38</v>
      </c>
      <c r="F459">
        <v>13</v>
      </c>
      <c r="G459" t="s">
        <v>38</v>
      </c>
      <c r="H459" t="s">
        <v>38</v>
      </c>
      <c r="I459">
        <v>0.3</v>
      </c>
      <c r="J459" t="s">
        <v>38</v>
      </c>
      <c r="K459">
        <v>0</v>
      </c>
      <c r="L459">
        <v>0.115259056527877</v>
      </c>
      <c r="M459" t="s">
        <v>38</v>
      </c>
      <c r="O459" t="s">
        <v>2843</v>
      </c>
      <c r="P459">
        <v>1533.5047999999999</v>
      </c>
      <c r="Q459">
        <v>1014.296</v>
      </c>
      <c r="R459">
        <v>0.661423426910695</v>
      </c>
      <c r="S459">
        <v>0.26698161591796299</v>
      </c>
      <c r="T459">
        <v>13</v>
      </c>
      <c r="U459" t="s">
        <v>2826</v>
      </c>
    </row>
    <row r="460" spans="1:21" x14ac:dyDescent="0.3">
      <c r="A460">
        <v>459</v>
      </c>
      <c r="B460" t="s">
        <v>68</v>
      </c>
      <c r="C460" t="s">
        <v>76</v>
      </c>
      <c r="D460">
        <v>59</v>
      </c>
      <c r="E460" t="s">
        <v>38</v>
      </c>
      <c r="F460">
        <v>18</v>
      </c>
      <c r="G460" t="s">
        <v>51</v>
      </c>
      <c r="H460" t="s">
        <v>76</v>
      </c>
      <c r="I460">
        <v>0.4</v>
      </c>
      <c r="J460" t="s">
        <v>38</v>
      </c>
      <c r="K460">
        <v>0</v>
      </c>
      <c r="L460">
        <v>7.5621990689317006E-2</v>
      </c>
      <c r="M460" t="s">
        <v>51</v>
      </c>
      <c r="N460" t="s">
        <v>53</v>
      </c>
      <c r="O460" t="s">
        <v>2846</v>
      </c>
      <c r="P460">
        <v>803.10360000000003</v>
      </c>
      <c r="Q460">
        <v>325.90519999999998</v>
      </c>
      <c r="R460">
        <v>0.40580717107979603</v>
      </c>
      <c r="S460">
        <v>0.36934191842557001</v>
      </c>
      <c r="T460">
        <v>18</v>
      </c>
      <c r="U460" t="s">
        <v>2826</v>
      </c>
    </row>
    <row r="461" spans="1:21" x14ac:dyDescent="0.3">
      <c r="A461">
        <v>460</v>
      </c>
      <c r="B461" t="s">
        <v>230</v>
      </c>
      <c r="C461" t="s">
        <v>51</v>
      </c>
      <c r="D461">
        <v>76</v>
      </c>
      <c r="E461" t="s">
        <v>51</v>
      </c>
      <c r="F461">
        <v>52</v>
      </c>
      <c r="G461" t="s">
        <v>51</v>
      </c>
      <c r="H461" t="s">
        <v>38</v>
      </c>
      <c r="I461">
        <v>1</v>
      </c>
      <c r="J461" t="s">
        <v>38</v>
      </c>
      <c r="K461">
        <v>0</v>
      </c>
      <c r="L461">
        <v>0.182556396744185</v>
      </c>
      <c r="M461" t="s">
        <v>51</v>
      </c>
      <c r="N461" t="s">
        <v>236</v>
      </c>
      <c r="O461" t="s">
        <v>2844</v>
      </c>
      <c r="P461">
        <v>1812.6007999999999</v>
      </c>
      <c r="Q461">
        <v>250.33359999999999</v>
      </c>
      <c r="R461">
        <v>0.13810740897830301</v>
      </c>
      <c r="S461">
        <v>1.04191297549587</v>
      </c>
      <c r="T461">
        <v>52</v>
      </c>
      <c r="U461" t="s">
        <v>2826</v>
      </c>
    </row>
    <row r="462" spans="1:21" x14ac:dyDescent="0.3">
      <c r="A462">
        <v>461</v>
      </c>
      <c r="B462" t="s">
        <v>608</v>
      </c>
      <c r="C462" t="s">
        <v>38</v>
      </c>
      <c r="D462">
        <v>31</v>
      </c>
      <c r="E462" t="s">
        <v>38</v>
      </c>
      <c r="F462">
        <v>6</v>
      </c>
      <c r="G462" t="s">
        <v>38</v>
      </c>
      <c r="H462" t="s">
        <v>38</v>
      </c>
      <c r="I462">
        <v>0.1</v>
      </c>
      <c r="J462" t="s">
        <v>38</v>
      </c>
      <c r="K462">
        <v>0</v>
      </c>
      <c r="L462">
        <v>8.3570711481948404E-2</v>
      </c>
      <c r="M462" t="s">
        <v>38</v>
      </c>
      <c r="O462" t="s">
        <v>2838</v>
      </c>
      <c r="P462">
        <v>10185.484399999999</v>
      </c>
      <c r="Q462">
        <v>7037.5756000000001</v>
      </c>
      <c r="R462">
        <v>0.69094166989249906</v>
      </c>
      <c r="S462">
        <v>0.122292242486316</v>
      </c>
      <c r="T462">
        <v>6</v>
      </c>
      <c r="U462" t="s">
        <v>2826</v>
      </c>
    </row>
    <row r="463" spans="1:21" x14ac:dyDescent="0.3">
      <c r="A463">
        <v>462</v>
      </c>
      <c r="B463" t="s">
        <v>1803</v>
      </c>
      <c r="C463" t="s">
        <v>38</v>
      </c>
      <c r="D463">
        <v>38</v>
      </c>
      <c r="E463" t="s">
        <v>38</v>
      </c>
      <c r="F463">
        <v>13</v>
      </c>
      <c r="G463" t="s">
        <v>38</v>
      </c>
      <c r="H463" t="s">
        <v>38</v>
      </c>
      <c r="I463">
        <v>0.3</v>
      </c>
      <c r="J463" t="s">
        <v>38</v>
      </c>
      <c r="K463">
        <v>0</v>
      </c>
      <c r="L463">
        <v>9.71798204237838E-2</v>
      </c>
      <c r="M463" t="s">
        <v>38</v>
      </c>
      <c r="O463" t="s">
        <v>2838</v>
      </c>
      <c r="P463">
        <v>7762.2767999999996</v>
      </c>
      <c r="Q463">
        <v>4782.8159999999998</v>
      </c>
      <c r="R463">
        <v>0.61616148499110501</v>
      </c>
      <c r="S463">
        <v>0.263995621943375</v>
      </c>
      <c r="T463">
        <v>13</v>
      </c>
      <c r="U463" t="s">
        <v>2826</v>
      </c>
    </row>
    <row r="464" spans="1:21" x14ac:dyDescent="0.3">
      <c r="A464">
        <v>463</v>
      </c>
      <c r="B464" t="s">
        <v>2697</v>
      </c>
      <c r="C464" t="s">
        <v>38</v>
      </c>
      <c r="D464">
        <v>44</v>
      </c>
      <c r="E464" t="s">
        <v>38</v>
      </c>
      <c r="F464">
        <v>18</v>
      </c>
      <c r="G464" t="s">
        <v>51</v>
      </c>
      <c r="H464" t="s">
        <v>38</v>
      </c>
      <c r="I464">
        <v>0.4</v>
      </c>
      <c r="J464" t="s">
        <v>38</v>
      </c>
      <c r="K464">
        <v>0</v>
      </c>
      <c r="L464">
        <v>7.8638604971659601E-2</v>
      </c>
      <c r="M464" t="s">
        <v>51</v>
      </c>
      <c r="N464" t="s">
        <v>53</v>
      </c>
      <c r="O464" t="s">
        <v>2839</v>
      </c>
      <c r="P464">
        <v>1527.7652</v>
      </c>
      <c r="Q464">
        <v>848.68240000000003</v>
      </c>
      <c r="R464">
        <v>0.55550578060031697</v>
      </c>
      <c r="S464">
        <v>0.36865104869057103</v>
      </c>
      <c r="T464">
        <v>18</v>
      </c>
      <c r="U464" t="s">
        <v>2826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Sheet5</vt:lpstr>
      <vt:lpstr>Sheet1</vt:lpstr>
      <vt:lpstr>Sheet3</vt:lpstr>
      <vt:lpstr>Sheet7</vt:lpstr>
      <vt:lpstr>RLE_full_compiled_adjusted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Maphale Monyeki</cp:lastModifiedBy>
  <dcterms:created xsi:type="dcterms:W3CDTF">2026-07-16T10:03:57Z</dcterms:created>
  <dcterms:modified xsi:type="dcterms:W3CDTF">2026-07-19T12:02:49Z</dcterms:modified>
</cp:coreProperties>
</file>