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phale Monyeki Projects\NBA 2025\2. NBA 2025 - Modules\2. Modules\RLE 2025 gazette_python\book\Contents\data\"/>
    </mc:Choice>
  </mc:AlternateContent>
  <xr:revisionPtr revIDLastSave="0" documentId="13_ncr:1_{08F79AC0-DA38-48E3-AFA8-D0980A711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Sheet1!$A$1:$M$464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I66" i="2"/>
  <c r="J66" i="2"/>
  <c r="K54" i="2"/>
  <c r="K55" i="2"/>
  <c r="K56" i="2"/>
  <c r="K57" i="2"/>
  <c r="K53" i="2"/>
  <c r="J48" i="2"/>
  <c r="K44" i="2" s="1"/>
  <c r="I48" i="2"/>
  <c r="O10" i="2"/>
  <c r="M36" i="2"/>
  <c r="M37" i="2"/>
  <c r="M38" i="2"/>
  <c r="M39" i="2"/>
  <c r="M35" i="2"/>
  <c r="L36" i="2"/>
  <c r="L37" i="2"/>
  <c r="L38" i="2"/>
  <c r="L39" i="2"/>
  <c r="L35" i="2"/>
  <c r="N6" i="2"/>
  <c r="N7" i="2"/>
  <c r="N8" i="2"/>
  <c r="N9" i="2"/>
  <c r="N10" i="2"/>
  <c r="N11" i="2"/>
  <c r="N12" i="2"/>
  <c r="N13" i="2"/>
  <c r="N14" i="2"/>
  <c r="N15" i="2"/>
  <c r="N5" i="2"/>
  <c r="N17" i="2"/>
  <c r="K48" i="2" l="1"/>
  <c r="K47" i="2"/>
  <c r="K46" i="2"/>
  <c r="K45" i="2"/>
</calcChain>
</file>

<file path=xl/sharedStrings.xml><?xml version="1.0" encoding="utf-8"?>
<sst xmlns="http://schemas.openxmlformats.org/spreadsheetml/2006/main" count="3524" uniqueCount="1020">
  <si>
    <t>MapCode</t>
  </si>
  <si>
    <t>Biome</t>
  </si>
  <si>
    <t>T_Name</t>
  </si>
  <si>
    <t>get</t>
  </si>
  <si>
    <t>Nat1750_km2</t>
  </si>
  <si>
    <t>Nat2022_km2</t>
  </si>
  <si>
    <t>RoD</t>
  </si>
  <si>
    <t>ROD9022</t>
  </si>
  <si>
    <t>pnat_2022</t>
  </si>
  <si>
    <t>RLE_2025</t>
  </si>
  <si>
    <t>Criteria_triggered</t>
  </si>
  <si>
    <t>expert_change</t>
  </si>
  <si>
    <t>EPL</t>
  </si>
  <si>
    <t>AT15</t>
  </si>
  <si>
    <t>Albany Thicket</t>
  </si>
  <si>
    <t>Albany Arid Thicket</t>
  </si>
  <si>
    <t>T1.2</t>
  </si>
  <si>
    <t>Least Concern</t>
  </si>
  <si>
    <t>RLE not adjusted</t>
  </si>
  <si>
    <t>PP</t>
  </si>
  <si>
    <t>AT16</t>
  </si>
  <si>
    <t>Albany Bontveld</t>
  </si>
  <si>
    <t>AT17</t>
  </si>
  <si>
    <t>Albany Mesic Thicket</t>
  </si>
  <si>
    <t>MP</t>
  </si>
  <si>
    <t>AT18</t>
  </si>
  <si>
    <t>Albany Valley Thicket</t>
  </si>
  <si>
    <t>AT19</t>
  </si>
  <si>
    <t>Baviaans Valley Thicket</t>
  </si>
  <si>
    <t>WP</t>
  </si>
  <si>
    <t>AT20</t>
  </si>
  <si>
    <t>Bethelsdorp Bontveld</t>
  </si>
  <si>
    <t>NP</t>
  </si>
  <si>
    <t>AT21</t>
  </si>
  <si>
    <t>Buffels Mesic Thicket</t>
  </si>
  <si>
    <t>AT22</t>
  </si>
  <si>
    <t>Buffels Valley Thicket</t>
  </si>
  <si>
    <t>Critically Endangered</t>
  </si>
  <si>
    <t>B1i_rod</t>
  </si>
  <si>
    <t>AT23</t>
  </si>
  <si>
    <t>Crossroads Grassland Thicket</t>
  </si>
  <si>
    <t>AT24</t>
  </si>
  <si>
    <t>Doubledrift Karroid Thicket</t>
  </si>
  <si>
    <t>AT25</t>
  </si>
  <si>
    <t>Eastern Gwarrieveld</t>
  </si>
  <si>
    <t>AT26</t>
  </si>
  <si>
    <t>Elands Forest Thicket</t>
  </si>
  <si>
    <t>AT27</t>
  </si>
  <si>
    <t>Escarpment Arid Thicket</t>
  </si>
  <si>
    <t>AT28</t>
  </si>
  <si>
    <t>Escarpment Mesic Thicket</t>
  </si>
  <si>
    <t>AT29</t>
  </si>
  <si>
    <t>Escarpment Valley Thicket</t>
  </si>
  <si>
    <t>AT30</t>
  </si>
  <si>
    <t>Fish Arid Thicket</t>
  </si>
  <si>
    <t>AT31</t>
  </si>
  <si>
    <t>Fish Mesic Thicket</t>
  </si>
  <si>
    <t>AT32</t>
  </si>
  <si>
    <t>Fish Valley Thicket</t>
  </si>
  <si>
    <t>AT33</t>
  </si>
  <si>
    <t>Gamka Arid Thicket</t>
  </si>
  <si>
    <t>AT34</t>
  </si>
  <si>
    <t>Gamka Valley Thicket</t>
  </si>
  <si>
    <t>AT35</t>
  </si>
  <si>
    <t>Geluk Grassland Thicket</t>
  </si>
  <si>
    <t>AT36</t>
  </si>
  <si>
    <t>Goukamma Dune Thicket</t>
  </si>
  <si>
    <t>MT2.1</t>
  </si>
  <si>
    <t>AT37</t>
  </si>
  <si>
    <t>Gouritz Valley Thicket</t>
  </si>
  <si>
    <t>AT38</t>
  </si>
  <si>
    <t>Grahamstown Grassland Thicket</t>
  </si>
  <si>
    <t>AT39</t>
  </si>
  <si>
    <t>Grassridge Bontveld</t>
  </si>
  <si>
    <t>AT40</t>
  </si>
  <si>
    <t>Hartenbos Dune Thicket</t>
  </si>
  <si>
    <t>Endangered</t>
  </si>
  <si>
    <t>B1iii_sp</t>
  </si>
  <si>
    <t>AT41</t>
  </si>
  <si>
    <t>Kasouga Dune Thicket</t>
  </si>
  <si>
    <t>AT42</t>
  </si>
  <si>
    <t>Koedoeskloof Karroid Thicket</t>
  </si>
  <si>
    <t>AT43</t>
  </si>
  <si>
    <t>Mons Ruber Fynbos Thicket</t>
  </si>
  <si>
    <t>T3.2</t>
  </si>
  <si>
    <t>AT44</t>
  </si>
  <si>
    <t>Motherwell Karroid Thicket</t>
  </si>
  <si>
    <t>AT45</t>
  </si>
  <si>
    <t>Nanaga Savanna Thicket</t>
  </si>
  <si>
    <t>AT46</t>
  </si>
  <si>
    <t>Oudtshoorn Karroid Thicket</t>
  </si>
  <si>
    <t>AT47</t>
  </si>
  <si>
    <t>Saltaire Karroid Thicket</t>
  </si>
  <si>
    <t>AT48</t>
  </si>
  <si>
    <t>Sardinia Forest Thicket</t>
  </si>
  <si>
    <t>B1i_inv</t>
  </si>
  <si>
    <t>AT49</t>
  </si>
  <si>
    <t>Sundays Arid Thicket</t>
  </si>
  <si>
    <t>Vulnerable</t>
  </si>
  <si>
    <t>D3_step; D3_inv</t>
  </si>
  <si>
    <t>AT50</t>
  </si>
  <si>
    <t>Sundays Mesic Thicket</t>
  </si>
  <si>
    <t>AT51</t>
  </si>
  <si>
    <t>Sundays Valley Thicket</t>
  </si>
  <si>
    <t>AT52</t>
  </si>
  <si>
    <t>Thorndale Forest Thicket</t>
  </si>
  <si>
    <t>AT53</t>
  </si>
  <si>
    <t>Umtiza Forest Thicket</t>
  </si>
  <si>
    <t>AT54</t>
  </si>
  <si>
    <t>Vanstadens Forest Thicket</t>
  </si>
  <si>
    <t>AT55</t>
  </si>
  <si>
    <t>Western Gwarrieveld</t>
  </si>
  <si>
    <t>AT56</t>
  </si>
  <si>
    <t>Hamburg Dune Thicket</t>
  </si>
  <si>
    <t>AT57</t>
  </si>
  <si>
    <t>St Francis Dune Thicket</t>
  </si>
  <si>
    <t>B1iii_sp, B2iii_sp</t>
  </si>
  <si>
    <t>AT58</t>
  </si>
  <si>
    <t>Willowmore Gwarrieveld</t>
  </si>
  <si>
    <t>AZa1</t>
  </si>
  <si>
    <t>Azonal Vegetation</t>
  </si>
  <si>
    <t>Fynbos Riparian Vegetation</t>
  </si>
  <si>
    <t>AZa2</t>
  </si>
  <si>
    <t>Cape Lowland Alluvial Vegetation</t>
  </si>
  <si>
    <t>B1i_rod, B1i_inv</t>
  </si>
  <si>
    <t>AZa3</t>
  </si>
  <si>
    <t>Lower Gariep Alluvial Vegetation</t>
  </si>
  <si>
    <t>T5.2</t>
  </si>
  <si>
    <t>AZa4</t>
  </si>
  <si>
    <t>Upper Gariep Alluvial Vegetation</t>
  </si>
  <si>
    <t>T5.1</t>
  </si>
  <si>
    <t>AZa5</t>
  </si>
  <si>
    <t>Highveld Alluvial Vegetation</t>
  </si>
  <si>
    <t>T4.5</t>
  </si>
  <si>
    <t>AZa6</t>
  </si>
  <si>
    <t>Albany Alluvial Vegetation</t>
  </si>
  <si>
    <t>T4.1</t>
  </si>
  <si>
    <t>AZa7</t>
  </si>
  <si>
    <t>Subtropical Alluvial Vegetation</t>
  </si>
  <si>
    <t>T3.1</t>
  </si>
  <si>
    <t>AZd1</t>
  </si>
  <si>
    <t>Namib Seashore Vegetation</t>
  </si>
  <si>
    <t>A3_nat, B1i_rod, B2i_rod</t>
  </si>
  <si>
    <t>AZd2</t>
  </si>
  <si>
    <t>Namaqualand Seashore Vegetation</t>
  </si>
  <si>
    <t>B2i_rod</t>
  </si>
  <si>
    <t>AZd3</t>
  </si>
  <si>
    <t>Cape Seashore Vegetation</t>
  </si>
  <si>
    <t>AZd4</t>
  </si>
  <si>
    <t>Subtropical Seashore Vegetation</t>
  </si>
  <si>
    <t>AZi1</t>
  </si>
  <si>
    <t>Namaqualand Riviere</t>
  </si>
  <si>
    <t>AZi3</t>
  </si>
  <si>
    <t>Southern Kalahari Mekgacha</t>
  </si>
  <si>
    <t>AZi5</t>
  </si>
  <si>
    <t>Bushmanland Vloere</t>
  </si>
  <si>
    <t>AZi6</t>
  </si>
  <si>
    <t>Southern Karoo Riviere</t>
  </si>
  <si>
    <t>AZi7</t>
  </si>
  <si>
    <t>Tanqua Wash Riviere</t>
  </si>
  <si>
    <t>AZi8</t>
  </si>
  <si>
    <t>Muscadel Riviere</t>
  </si>
  <si>
    <t>AZs3</t>
  </si>
  <si>
    <t>Subtropical Dune Thicket</t>
  </si>
  <si>
    <t>CB1</t>
  </si>
  <si>
    <t>Indian Ocean Coastal Belt</t>
  </si>
  <si>
    <t>Maputaland Coastal Belt</t>
  </si>
  <si>
    <t>T4.2</t>
  </si>
  <si>
    <t>CB2</t>
  </si>
  <si>
    <t>Maputaland Wooded Grassland</t>
  </si>
  <si>
    <t>CB3</t>
  </si>
  <si>
    <t>KwaZulu-Natal Coastal Belt Grassland</t>
  </si>
  <si>
    <t>A3_nat, A3_kzn, A2b, B1i_rod</t>
  </si>
  <si>
    <t>CB4</t>
  </si>
  <si>
    <t>Pondoland-Ugu Sandstone Coastal Sourveld</t>
  </si>
  <si>
    <t>A3_nat</t>
  </si>
  <si>
    <t>CB5</t>
  </si>
  <si>
    <t>Transkei Coastal Belt</t>
  </si>
  <si>
    <t>CB6</t>
  </si>
  <si>
    <t>KwaZulu-Natal Coastal Belt Thornveld</t>
  </si>
  <si>
    <t>Dg1</t>
  </si>
  <si>
    <t>Desert</t>
  </si>
  <si>
    <t>Noms Mountain Desert</t>
  </si>
  <si>
    <t>T5.5</t>
  </si>
  <si>
    <t>Dg10</t>
  </si>
  <si>
    <t>Eastern Gariep Rocky Desert</t>
  </si>
  <si>
    <t>Dg2</t>
  </si>
  <si>
    <t>Richtersberg Mountain Desert</t>
  </si>
  <si>
    <t>Dg3</t>
  </si>
  <si>
    <t>Richtersveld Sheet Wash Desert</t>
  </si>
  <si>
    <t>Dg4</t>
  </si>
  <si>
    <t>Kwaggarug Mountain Desert</t>
  </si>
  <si>
    <t>Dg5</t>
  </si>
  <si>
    <t>Kahams Mountain Desert</t>
  </si>
  <si>
    <t>Dg6</t>
  </si>
  <si>
    <t>Helskloof Canyon Desert</t>
  </si>
  <si>
    <t>Dg7</t>
  </si>
  <si>
    <t>Northern Nababiepsberge Mountain Desert</t>
  </si>
  <si>
    <t>Dg8</t>
  </si>
  <si>
    <t>Southern Nababiepsberge Mountain Desert</t>
  </si>
  <si>
    <t>Dg9</t>
  </si>
  <si>
    <t>Eastern Gariep Plains Desert</t>
  </si>
  <si>
    <t>Dn1</t>
  </si>
  <si>
    <t>Alexander Bay Coastal Duneveld</t>
  </si>
  <si>
    <t>Dn2</t>
  </si>
  <si>
    <t>Namib Lichen Fields</t>
  </si>
  <si>
    <t>B1i_rod, B2i_rod</t>
  </si>
  <si>
    <t>Dn3</t>
  </si>
  <si>
    <t>Western Gariep Plains Desert</t>
  </si>
  <si>
    <t>Dn4</t>
  </si>
  <si>
    <t>Western Gariep Lowland Desert</t>
  </si>
  <si>
    <t>Dn5</t>
  </si>
  <si>
    <t>Western Gariep Hills Desert</t>
  </si>
  <si>
    <t>FFa1</t>
  </si>
  <si>
    <t>Fynbos</t>
  </si>
  <si>
    <t>Kouebokkeveld Alluvium Fynbos</t>
  </si>
  <si>
    <t>FFa2</t>
  </si>
  <si>
    <t>Breede Alluvium Fynbos</t>
  </si>
  <si>
    <t>B1i_rod, B1iii_sp, B2i_rod, B2iii_sp</t>
  </si>
  <si>
    <t>FFa3</t>
  </si>
  <si>
    <t>Swartland Alluvium Fynbos</t>
  </si>
  <si>
    <t>A3_nat, B1i_rod, B1iii_sp</t>
  </si>
  <si>
    <t>FFa4</t>
  </si>
  <si>
    <t>Lourensford Alluvium Fynbos</t>
  </si>
  <si>
    <t>A3_coct, A2b, B1i_rod, B1iii_sp</t>
  </si>
  <si>
    <t>FFb1</t>
  </si>
  <si>
    <t>Northern Inland Shale Band Vegetation</t>
  </si>
  <si>
    <t>FFb2</t>
  </si>
  <si>
    <t>Western Coastal Shale Band Vegetation</t>
  </si>
  <si>
    <t>FFb3</t>
  </si>
  <si>
    <t>Central Inland Shale Band Vegetation</t>
  </si>
  <si>
    <t>FFb4</t>
  </si>
  <si>
    <t>Central Coastal Shale Band Vegetation</t>
  </si>
  <si>
    <t>FFb5</t>
  </si>
  <si>
    <t>Eastern Inland Shale Band Vegetation</t>
  </si>
  <si>
    <t>FFb6</t>
  </si>
  <si>
    <t>Eastern Coastal Shale Band Vegetation</t>
  </si>
  <si>
    <t>FFc1</t>
  </si>
  <si>
    <t>Swellendam Silcrete Fynbos</t>
  </si>
  <si>
    <t>B1i_rod, B1iii_sp</t>
  </si>
  <si>
    <t>FFd1</t>
  </si>
  <si>
    <t>Namaqualand Sand Fynbos</t>
  </si>
  <si>
    <t>FFd10</t>
  </si>
  <si>
    <t>Knysna Sand Fynbos</t>
  </si>
  <si>
    <t>FFd11</t>
  </si>
  <si>
    <t>Southern Cape Dune Fynbos</t>
  </si>
  <si>
    <t>FFd2</t>
  </si>
  <si>
    <t>Leipoldtville Sand Fynbos</t>
  </si>
  <si>
    <t>FFd3</t>
  </si>
  <si>
    <t>Hopefield Sand Fynbos</t>
  </si>
  <si>
    <t>FFd4</t>
  </si>
  <si>
    <t>Atlantis Sand Fynbos</t>
  </si>
  <si>
    <t>B1i_rod, B1i_inv, B1iii_sp</t>
  </si>
  <si>
    <t>FFd5</t>
  </si>
  <si>
    <t>Cape Flats Sand Fynbos</t>
  </si>
  <si>
    <t>A3_nat, A3_wc, B1i_rod, B1i_inv, B1iii_sp</t>
  </si>
  <si>
    <t>FFd6</t>
  </si>
  <si>
    <t>Hangklip Sand Fynbos</t>
  </si>
  <si>
    <t>FFd7</t>
  </si>
  <si>
    <t>Agulhas Sand Fynbos</t>
  </si>
  <si>
    <t>FFd8</t>
  </si>
  <si>
    <t>Breede Sand Fynbos</t>
  </si>
  <si>
    <t>FFd9</t>
  </si>
  <si>
    <t>Albertinia Sand Fynbos</t>
  </si>
  <si>
    <t>FFf1</t>
  </si>
  <si>
    <t>Elim Ferricrete Fynbos</t>
  </si>
  <si>
    <t>FFf2</t>
  </si>
  <si>
    <t>Potberg Ferricrete Fynbos</t>
  </si>
  <si>
    <t>FFg1</t>
  </si>
  <si>
    <t>Kamiesberg Granite Fynbos</t>
  </si>
  <si>
    <t>FFg2</t>
  </si>
  <si>
    <t>Boland Granite Fynbos</t>
  </si>
  <si>
    <t>FFg3</t>
  </si>
  <si>
    <t>Peninsula Granite Fynbos</t>
  </si>
  <si>
    <t>FFg4</t>
  </si>
  <si>
    <t>Robertson Granite Fynbos</t>
  </si>
  <si>
    <t>FFg5</t>
  </si>
  <si>
    <t>Garden Route Granite Fynbos</t>
  </si>
  <si>
    <t>FFh1</t>
  </si>
  <si>
    <t>Kouebokkeveld Shale Fynbos</t>
  </si>
  <si>
    <t>FFh10</t>
  </si>
  <si>
    <t>Suurberg Shale Fynbos</t>
  </si>
  <si>
    <t>FFh11</t>
  </si>
  <si>
    <t>Peninsula Shale Fynbos</t>
  </si>
  <si>
    <t>FFh2</t>
  </si>
  <si>
    <t>Matjiesfontein Shale Fynbos</t>
  </si>
  <si>
    <t>FFh3</t>
  </si>
  <si>
    <t>Swartberg Shale Fynbos</t>
  </si>
  <si>
    <t>FFh4</t>
  </si>
  <si>
    <t>Breede Shale Fynbos</t>
  </si>
  <si>
    <t>FFh5</t>
  </si>
  <si>
    <t>Cape Winelands Shale Fynbos</t>
  </si>
  <si>
    <t>B1i_rod, B2i_rod, B1iii_sp, B2iii_sp</t>
  </si>
  <si>
    <t>RLE adjusted</t>
  </si>
  <si>
    <t>FFh6</t>
  </si>
  <si>
    <t>Elgin Shale Fynbos</t>
  </si>
  <si>
    <t>FFh7</t>
  </si>
  <si>
    <t>Greyton Shale Fynbos</t>
  </si>
  <si>
    <t>FFh8</t>
  </si>
  <si>
    <t>Montagu Shale Fynbos</t>
  </si>
  <si>
    <t>FFh9</t>
  </si>
  <si>
    <t>Garden Route Shale Fynbos</t>
  </si>
  <si>
    <t>FFl1</t>
  </si>
  <si>
    <t>Agulhas Limestone Fynbos</t>
  </si>
  <si>
    <t>B1i_inv, B1iii_sp</t>
  </si>
  <si>
    <t>FFl2</t>
  </si>
  <si>
    <t>De Hoop Limestone Fynbos</t>
  </si>
  <si>
    <t>FFl3</t>
  </si>
  <si>
    <t>Canca Limestone Fynbos</t>
  </si>
  <si>
    <t>FFq1</t>
  </si>
  <si>
    <t>Stinkfonteinberge Quartzite Fynbos</t>
  </si>
  <si>
    <t>FFq2</t>
  </si>
  <si>
    <t>Swartruggens Quartzite Fynbos</t>
  </si>
  <si>
    <t>FFq3</t>
  </si>
  <si>
    <t>Matjiesfontein Quartzite Fynbos</t>
  </si>
  <si>
    <t>FFq4</t>
  </si>
  <si>
    <t>Breede Quartzite Fynbos</t>
  </si>
  <si>
    <t>FFq5</t>
  </si>
  <si>
    <t>Grootrivier Quartzite Fynbos</t>
  </si>
  <si>
    <t>FFq6</t>
  </si>
  <si>
    <t>Suurberg Quartzite Fynbos</t>
  </si>
  <si>
    <t>FFs1</t>
  </si>
  <si>
    <t>Bokkeveld Sandstone Fynbos</t>
  </si>
  <si>
    <t>FFs10</t>
  </si>
  <si>
    <t>Hawequas Sandstone Fynbos</t>
  </si>
  <si>
    <t>FFs11</t>
  </si>
  <si>
    <t>Kogelberg Sandstone Fynbos</t>
  </si>
  <si>
    <t>FFs12</t>
  </si>
  <si>
    <t>Overberg Sandstone Fynbos</t>
  </si>
  <si>
    <t>FFs13</t>
  </si>
  <si>
    <t>North Sonderend Sandstone Fynbos</t>
  </si>
  <si>
    <t>FFs14</t>
  </si>
  <si>
    <t>South Sonderend Sandstone Fynbos</t>
  </si>
  <si>
    <t>FFs15</t>
  </si>
  <si>
    <t>North Langeberg Sandstone Fynbos</t>
  </si>
  <si>
    <t>FFs16</t>
  </si>
  <si>
    <t>South Langeberg Sandstone Fynbos</t>
  </si>
  <si>
    <t>FFs17</t>
  </si>
  <si>
    <t>Potberg Sandstone Fynbos</t>
  </si>
  <si>
    <t>FFs18</t>
  </si>
  <si>
    <t>North Outeniqua Sandstone Fynbos</t>
  </si>
  <si>
    <t>FFs19</t>
  </si>
  <si>
    <t>South Outeniqua Sandstone Fynbos</t>
  </si>
  <si>
    <t>FFs2</t>
  </si>
  <si>
    <t>Graafwater Sandstone Fynbos</t>
  </si>
  <si>
    <t>FFs20</t>
  </si>
  <si>
    <t>Tsitsikamma Sandstone Fynbos</t>
  </si>
  <si>
    <t>FFs21</t>
  </si>
  <si>
    <t>North Rooiberg Sandstone Fynbos</t>
  </si>
  <si>
    <t>FFs22</t>
  </si>
  <si>
    <t>South Rooiberg Sandstone Fynbos</t>
  </si>
  <si>
    <t>FFs23</t>
  </si>
  <si>
    <t>North Swartberg Sandstone Fynbos</t>
  </si>
  <si>
    <t>FFs24</t>
  </si>
  <si>
    <t>South Swartberg Sandstone Fynbos</t>
  </si>
  <si>
    <t>FFs25</t>
  </si>
  <si>
    <t>North Kammanassie Sandstone Fynbos</t>
  </si>
  <si>
    <t>FFs26</t>
  </si>
  <si>
    <t>South Kammanassie Sandstone Fynbos</t>
  </si>
  <si>
    <t>FFs27</t>
  </si>
  <si>
    <t>Kouga Sandstone Fynbos</t>
  </si>
  <si>
    <t>FFs28</t>
  </si>
  <si>
    <t>Kouga Grassy Sandstone Fynbos</t>
  </si>
  <si>
    <t>FFs29</t>
  </si>
  <si>
    <t>Algoa Sandstone Fynbos</t>
  </si>
  <si>
    <t>FFs3</t>
  </si>
  <si>
    <t>Olifants Sandstone Fynbos</t>
  </si>
  <si>
    <t>FFs30</t>
  </si>
  <si>
    <t>Western Altimontane Sandstone Fynbos</t>
  </si>
  <si>
    <t>FFs31</t>
  </si>
  <si>
    <t>Swartberg Altimontane Sandstone Fynbos</t>
  </si>
  <si>
    <t>FFs32</t>
  </si>
  <si>
    <t>Nardouw Sandstone Fynbos</t>
  </si>
  <si>
    <t>FFs4</t>
  </si>
  <si>
    <t>Cederberg Sandstone Fynbos</t>
  </si>
  <si>
    <t>FFs5</t>
  </si>
  <si>
    <t>Winterhoek Sandstone Fynbos</t>
  </si>
  <si>
    <t>FFs6</t>
  </si>
  <si>
    <t>Piketberg Sandstone Fynbos</t>
  </si>
  <si>
    <t>FFs7</t>
  </si>
  <si>
    <t>North Hex Sandstone Fynbos</t>
  </si>
  <si>
    <t>FFs8</t>
  </si>
  <si>
    <t>South Hex Sandstone Fynbos</t>
  </si>
  <si>
    <t>FFs9</t>
  </si>
  <si>
    <t>Peninsula Sandstone Fynbos</t>
  </si>
  <si>
    <t>FFt1</t>
  </si>
  <si>
    <t>Kango Conglomerate Fynbos</t>
  </si>
  <si>
    <t>FFt2</t>
  </si>
  <si>
    <t>Loerie Conglomerate Fynbos</t>
  </si>
  <si>
    <t>FOa1</t>
  </si>
  <si>
    <t>Forests</t>
  </si>
  <si>
    <t>Lowveld Riverine Forest</t>
  </si>
  <si>
    <t>FOz1</t>
  </si>
  <si>
    <t>Southern Afrotemperate Forest</t>
  </si>
  <si>
    <t>T2.4</t>
  </si>
  <si>
    <t>FOz2</t>
  </si>
  <si>
    <t>Northern Afrotemperate Forest</t>
  </si>
  <si>
    <t>FOz3</t>
  </si>
  <si>
    <t>Southern Mistbelt Forest</t>
  </si>
  <si>
    <t>FOz4</t>
  </si>
  <si>
    <t>Northern Mistbelt Forest</t>
  </si>
  <si>
    <t>FOz5</t>
  </si>
  <si>
    <t>Scarp Forest</t>
  </si>
  <si>
    <t>FOz6</t>
  </si>
  <si>
    <t>Southern Coastal Forest</t>
  </si>
  <si>
    <t>FOz7</t>
  </si>
  <si>
    <t>Northern Coastal Forest</t>
  </si>
  <si>
    <t>FOz8</t>
  </si>
  <si>
    <t>Sand Forest</t>
  </si>
  <si>
    <t>FOz9</t>
  </si>
  <si>
    <t>Ironwood Dry Forest</t>
  </si>
  <si>
    <t>FRa1</t>
  </si>
  <si>
    <t>Breede Alluvium Renosterveld</t>
  </si>
  <si>
    <t>FRa2</t>
  </si>
  <si>
    <t>Swartland Alluvium Renosterveld</t>
  </si>
  <si>
    <t>FRc1</t>
  </si>
  <si>
    <t>Swartland Silcrete Renosterveld</t>
  </si>
  <si>
    <t>B2i_rod, B2iii_sp</t>
  </si>
  <si>
    <t>FRc2</t>
  </si>
  <si>
    <t>Ruens Silcrete Renosterveld</t>
  </si>
  <si>
    <t>A3_nat, A3_wc, A2b, B1i_rod, B1iii_sp, B2i_rod, B2iii_sp</t>
  </si>
  <si>
    <t>FRd1</t>
  </si>
  <si>
    <t>Nieuwoudtville-Roggeveld Dolerite Renosterveld</t>
  </si>
  <si>
    <t>FRd2</t>
  </si>
  <si>
    <t>Hantam Plateau Dolerite Renosterveld</t>
  </si>
  <si>
    <t>FRg1</t>
  </si>
  <si>
    <t>Namaqualand Granite Renosterveld</t>
  </si>
  <si>
    <t>FRg2</t>
  </si>
  <si>
    <t>Swartland Granite Renosterveld</t>
  </si>
  <si>
    <t>A3_nat, A3_wc, A2b, B1i_rod, B1iii_sp</t>
  </si>
  <si>
    <t>FRg3</t>
  </si>
  <si>
    <t>Robertson Granite Renosterveld</t>
  </si>
  <si>
    <t>FRl1</t>
  </si>
  <si>
    <t>Kango Limestone Renosterveld</t>
  </si>
  <si>
    <t>FRs1</t>
  </si>
  <si>
    <t>Vanrhynsdorp Shale Renosterveld</t>
  </si>
  <si>
    <t>FRs10</t>
  </si>
  <si>
    <t>Peninsula Shale Renosterveld</t>
  </si>
  <si>
    <t>A3_nat, A3_coct, B1i_rod, B1iii_sp, B2i_rod, B2iii_sp</t>
  </si>
  <si>
    <t>FRs11</t>
  </si>
  <si>
    <t>Western Ruens Shale Renosterveld</t>
  </si>
  <si>
    <t>FRs12</t>
  </si>
  <si>
    <t>Central Ruens Shale Renosterveld</t>
  </si>
  <si>
    <t>FRs13</t>
  </si>
  <si>
    <t>Eastern Ruens Shale Renosterveld</t>
  </si>
  <si>
    <t>FRs14</t>
  </si>
  <si>
    <t>Mossel Bay Shale Renosterveld</t>
  </si>
  <si>
    <t>FRs15</t>
  </si>
  <si>
    <t>Swartberg Shale Renosterveld</t>
  </si>
  <si>
    <t>FRs16</t>
  </si>
  <si>
    <t>Uniondale Shale Renosterveld</t>
  </si>
  <si>
    <t>FRs17</t>
  </si>
  <si>
    <t>Langkloof Shale Renosterveld</t>
  </si>
  <si>
    <t>FRs18</t>
  </si>
  <si>
    <t>Baviaanskloof Shale Renosterveld</t>
  </si>
  <si>
    <t>FRs19</t>
  </si>
  <si>
    <t>Humansdorp Shale Renosterveld</t>
  </si>
  <si>
    <t>FRs2</t>
  </si>
  <si>
    <t>Nieuwoudtville Shale Renosterveld</t>
  </si>
  <si>
    <t>FRs20</t>
  </si>
  <si>
    <t>Citrusdal Shale Renosterveld</t>
  </si>
  <si>
    <t>FRs3</t>
  </si>
  <si>
    <t>Roggeveld Shale Renosterveld</t>
  </si>
  <si>
    <t>FRs4</t>
  </si>
  <si>
    <t>Ceres Shale Renosterveld</t>
  </si>
  <si>
    <t>FRs5</t>
  </si>
  <si>
    <t>Central Mountain Shale Renosterveld</t>
  </si>
  <si>
    <t>FRs6</t>
  </si>
  <si>
    <t>Matjiesfontein Shale Renosterveld</t>
  </si>
  <si>
    <t>FRs7</t>
  </si>
  <si>
    <t>Montagu Shale Renosterveld</t>
  </si>
  <si>
    <t>FRs8</t>
  </si>
  <si>
    <t>Breede Shale Renosterveld</t>
  </si>
  <si>
    <t>FRs9</t>
  </si>
  <si>
    <t>Swartland Shale Renosterveld</t>
  </si>
  <si>
    <t>FS1</t>
  </si>
  <si>
    <t>Lambert's Bay Strandveld</t>
  </si>
  <si>
    <t>FS10</t>
  </si>
  <si>
    <t>Southwestern Strandveld</t>
  </si>
  <si>
    <t>FS11</t>
  </si>
  <si>
    <t>Grootbos Strandveld</t>
  </si>
  <si>
    <t>FS12</t>
  </si>
  <si>
    <t>Southeastern Strandveld</t>
  </si>
  <si>
    <t>B1i_inv, B2i_inv</t>
  </si>
  <si>
    <t>FS13</t>
  </si>
  <si>
    <t>Goukamma Strandveld</t>
  </si>
  <si>
    <t>FS14</t>
  </si>
  <si>
    <t>St Francis Strandveld</t>
  </si>
  <si>
    <t>FS2</t>
  </si>
  <si>
    <t>Saldanha Granite Strandveld</t>
  </si>
  <si>
    <t>FS3</t>
  </si>
  <si>
    <t>Saldanha Flats Strandveld</t>
  </si>
  <si>
    <t>FS4</t>
  </si>
  <si>
    <t>Saldanha Limestone Strandveld</t>
  </si>
  <si>
    <t>FS5</t>
  </si>
  <si>
    <t>Langebaan Dune Strandveld</t>
  </si>
  <si>
    <t>FS6</t>
  </si>
  <si>
    <t>Cape Flats Dune Strandveld</t>
  </si>
  <si>
    <t>B1i_rod, B1i_inv, B1iii_sp, B2i_rod, B2i_inv, B2iii_sp</t>
  </si>
  <si>
    <t>FS7</t>
  </si>
  <si>
    <t>Overberg Dune Strandveld</t>
  </si>
  <si>
    <t>B1i_inv, B1iii_sp, B2i_inv, B2iii_sp</t>
  </si>
  <si>
    <t>FS9</t>
  </si>
  <si>
    <t>Groot Brak Dune Strandveld</t>
  </si>
  <si>
    <t>B1i_rod, B1i_inv, B2i_rod, B2i_inv</t>
  </si>
  <si>
    <t>Gd1</t>
  </si>
  <si>
    <t>Grassland</t>
  </si>
  <si>
    <t>Amathole Montane Grassland</t>
  </si>
  <si>
    <t>Gd10</t>
  </si>
  <si>
    <t>Drakensberg Afroalpine Heathland</t>
  </si>
  <si>
    <t>Gd2</t>
  </si>
  <si>
    <t>Amathole Mistbelt Grassland</t>
  </si>
  <si>
    <t>Gd3</t>
  </si>
  <si>
    <t>Stormberg Plateau Grassland</t>
  </si>
  <si>
    <t>Gd4</t>
  </si>
  <si>
    <t>Southern Drakensberg Highland Grassland</t>
  </si>
  <si>
    <t>Gd5</t>
  </si>
  <si>
    <t>Northern Drakensberg Highland Grassland</t>
  </si>
  <si>
    <t>Gd6</t>
  </si>
  <si>
    <t>Drakensberg-Amathole Afromontane Fynbos</t>
  </si>
  <si>
    <t>Gd7</t>
  </si>
  <si>
    <t>uKhahlamba Basalt Grassland</t>
  </si>
  <si>
    <t>Gd8</t>
  </si>
  <si>
    <t>Lesotho Highland Basalt Grassland</t>
  </si>
  <si>
    <t>Gh1</t>
  </si>
  <si>
    <t>Karoo Escarpment Grassland</t>
  </si>
  <si>
    <t>Gh10</t>
  </si>
  <si>
    <t>Vaal-Vet Sandy Grassland</t>
  </si>
  <si>
    <t>Gh11</t>
  </si>
  <si>
    <t>Vredefort Dome Granite Grassland</t>
  </si>
  <si>
    <t>Gh12</t>
  </si>
  <si>
    <t>Vaal Reefs Dolomite Sinkhole Woodland</t>
  </si>
  <si>
    <t>Gh13</t>
  </si>
  <si>
    <t>Klerksdorp Thornveld</t>
  </si>
  <si>
    <t>Gh14</t>
  </si>
  <si>
    <t>Western Highveld Sandy Grassland</t>
  </si>
  <si>
    <t>Gh15</t>
  </si>
  <si>
    <t>Carletonville Dolomite Grassland</t>
  </si>
  <si>
    <t>Gh2</t>
  </si>
  <si>
    <t>Aliwal North Dry Grassland</t>
  </si>
  <si>
    <t>Gh3</t>
  </si>
  <si>
    <t>Xhariep Karroid Grassland</t>
  </si>
  <si>
    <t>Gh4</t>
  </si>
  <si>
    <t>Besemkaree Koppies Shrubland</t>
  </si>
  <si>
    <t>Gh5</t>
  </si>
  <si>
    <t>Bloemfontein Dry Grassland</t>
  </si>
  <si>
    <t>Gh6</t>
  </si>
  <si>
    <t>Central Free State Grassland</t>
  </si>
  <si>
    <t>Gh7</t>
  </si>
  <si>
    <t>Winburg Grassy Shrubland</t>
  </si>
  <si>
    <t>Gh8</t>
  </si>
  <si>
    <t>Bloemfontein Karroid Shrubland</t>
  </si>
  <si>
    <t>Gh9</t>
  </si>
  <si>
    <t>Western Free State Clay Grassland</t>
  </si>
  <si>
    <t>Gm1</t>
  </si>
  <si>
    <t>Zastron Moist Grassland</t>
  </si>
  <si>
    <t>Gm10</t>
  </si>
  <si>
    <t>Egoli Granite Grassland</t>
  </si>
  <si>
    <t>Gm11</t>
  </si>
  <si>
    <t>Rand Highveld Grassland</t>
  </si>
  <si>
    <t>Gm12</t>
  </si>
  <si>
    <t>Eastern Highveld Grassland</t>
  </si>
  <si>
    <t>Gm13</t>
  </si>
  <si>
    <t>Amersfoort Highveld Clay Grassland</t>
  </si>
  <si>
    <t>Gm14</t>
  </si>
  <si>
    <t>Wakkerstroom Montane Grassland</t>
  </si>
  <si>
    <t>Gm15</t>
  </si>
  <si>
    <t>Paulpietersburg Moist Grassland</t>
  </si>
  <si>
    <t>Gm16</t>
  </si>
  <si>
    <t>KaNgwane Montane Grassland</t>
  </si>
  <si>
    <t>Gm17</t>
  </si>
  <si>
    <t>Barberton Montane Grassland</t>
  </si>
  <si>
    <t>Gm19</t>
  </si>
  <si>
    <t>Sekhukhune Montane Grassland</t>
  </si>
  <si>
    <t>Gm2</t>
  </si>
  <si>
    <t>Senqu Montane Shrubland</t>
  </si>
  <si>
    <t>Gm20</t>
  </si>
  <si>
    <t>Leolo Summit Sourveld</t>
  </si>
  <si>
    <t>Gm21</t>
  </si>
  <si>
    <t>Lydenburg Thornveld</t>
  </si>
  <si>
    <t>Gm22</t>
  </si>
  <si>
    <t>Northern Escarpment Dolomite Grassland</t>
  </si>
  <si>
    <t>Gm23</t>
  </si>
  <si>
    <t>Northern Escarpment Quartzite Sourveld</t>
  </si>
  <si>
    <t>Gm24</t>
  </si>
  <si>
    <t>Northern Escarpment Afromontane Fynbos</t>
  </si>
  <si>
    <t>Gm25</t>
  </si>
  <si>
    <t>Woodbush Granite Grassland</t>
  </si>
  <si>
    <t>Gm26</t>
  </si>
  <si>
    <t>Wolkberg Dolomite Grassland</t>
  </si>
  <si>
    <t>Gm27</t>
  </si>
  <si>
    <t>Strydpoort Summit Sourveld</t>
  </si>
  <si>
    <t>Gm28</t>
  </si>
  <si>
    <t>Soutpansberg Summit Sourveld</t>
  </si>
  <si>
    <t>Gm29</t>
  </si>
  <si>
    <t>Waterberg-Magaliesberg Summit Sourveld</t>
  </si>
  <si>
    <t>Gm3</t>
  </si>
  <si>
    <t>Eastern Free State Clay Grassland</t>
  </si>
  <si>
    <t>A3_nat, B1i_rod</t>
  </si>
  <si>
    <t>Gm30</t>
  </si>
  <si>
    <t>Steenkampsberg Montane Grassland</t>
  </si>
  <si>
    <t>Gm31</t>
  </si>
  <si>
    <t>Long Tom Pass Montane Grassland</t>
  </si>
  <si>
    <t>Gm4</t>
  </si>
  <si>
    <t>Eastern Free State Sandy Grassland</t>
  </si>
  <si>
    <t>Gm5</t>
  </si>
  <si>
    <t>Basotho Montane Shrubland</t>
  </si>
  <si>
    <t>Gm6</t>
  </si>
  <si>
    <t>Frankfort Highveld Grassland</t>
  </si>
  <si>
    <t>Gm7</t>
  </si>
  <si>
    <t>Northern Free State Shrubland</t>
  </si>
  <si>
    <t>Gm8</t>
  </si>
  <si>
    <t>Soweto Highveld Grassland</t>
  </si>
  <si>
    <t>Gm9</t>
  </si>
  <si>
    <t>Tsakane Clay Grassland</t>
  </si>
  <si>
    <t>Gs1</t>
  </si>
  <si>
    <t>Northern Zululand Mistbelt Grassland</t>
  </si>
  <si>
    <t>Gs10</t>
  </si>
  <si>
    <t>Drakensberg Foothill Moist Grassland</t>
  </si>
  <si>
    <t>Gs11</t>
  </si>
  <si>
    <t>Southern KwaZulu-Natal Moist Grassland</t>
  </si>
  <si>
    <t>Gs12</t>
  </si>
  <si>
    <t>East Griqualand Grassland</t>
  </si>
  <si>
    <t>Gs13</t>
  </si>
  <si>
    <t>Mabela Sandy Grassland</t>
  </si>
  <si>
    <t>Gs14</t>
  </si>
  <si>
    <t>Mthatha Moist Grassland</t>
  </si>
  <si>
    <t>Gs15</t>
  </si>
  <si>
    <t>Tsomo Grassland</t>
  </si>
  <si>
    <t>Gs16</t>
  </si>
  <si>
    <t>Queenstown Thornveld</t>
  </si>
  <si>
    <t>Gs17</t>
  </si>
  <si>
    <t>Tarkastad Montane Shrubland</t>
  </si>
  <si>
    <t>Gs18</t>
  </si>
  <si>
    <t>Bedford Dry Grassland</t>
  </si>
  <si>
    <t>Gs19</t>
  </si>
  <si>
    <t>Dry Coast Hinterland Grassland</t>
  </si>
  <si>
    <t>Gs2</t>
  </si>
  <si>
    <t>Ithala Quartzite Sourveld</t>
  </si>
  <si>
    <t>Gs20</t>
  </si>
  <si>
    <t>Moist Coast Hinterland Grassland</t>
  </si>
  <si>
    <t>Gs3</t>
  </si>
  <si>
    <t>Low Escarpment Moist Grassland</t>
  </si>
  <si>
    <t>Gs4</t>
  </si>
  <si>
    <t>Northern KwaZulu-Natal Moist Grassland</t>
  </si>
  <si>
    <t>Gs6</t>
  </si>
  <si>
    <t>KwaZulu-Natal Highland Thornveld</t>
  </si>
  <si>
    <t>Gs7</t>
  </si>
  <si>
    <t>Income Sandy Grassland</t>
  </si>
  <si>
    <t>Gs8</t>
  </si>
  <si>
    <t>Mooi River Highland Grassland</t>
  </si>
  <si>
    <t>Gs9</t>
  </si>
  <si>
    <t>Midlands Mistbelt Grassland</t>
  </si>
  <si>
    <t>NKb1</t>
  </si>
  <si>
    <t>Nama-Karoo</t>
  </si>
  <si>
    <t>Lower Gariep Broken Veld</t>
  </si>
  <si>
    <t>NKb2</t>
  </si>
  <si>
    <t>Blouputs Karroid Thornveld</t>
  </si>
  <si>
    <t>NKb3</t>
  </si>
  <si>
    <t>Bushmanland Arid Grassland</t>
  </si>
  <si>
    <t>NKb4</t>
  </si>
  <si>
    <t>Bushmanland Sandy Grassland</t>
  </si>
  <si>
    <t>NKb5</t>
  </si>
  <si>
    <t>Kalahari Karroid Shrubland</t>
  </si>
  <si>
    <t>NKb6</t>
  </si>
  <si>
    <t>Bushmanland Basin Shrubland</t>
  </si>
  <si>
    <t>NKl1</t>
  </si>
  <si>
    <t>Gamka Karoo</t>
  </si>
  <si>
    <t>NKl2</t>
  </si>
  <si>
    <t>Eastern Lower Karoo</t>
  </si>
  <si>
    <t>NKl4</t>
  </si>
  <si>
    <t>Albany Broken Veld</t>
  </si>
  <si>
    <t>NKu1</t>
  </si>
  <si>
    <t>Western Upper Karoo</t>
  </si>
  <si>
    <t>NKu2</t>
  </si>
  <si>
    <t>Upper Karoo Hardeveld</t>
  </si>
  <si>
    <t>NKu3</t>
  </si>
  <si>
    <t>Northern Upper Karoo</t>
  </si>
  <si>
    <t>NKu4</t>
  </si>
  <si>
    <t>Eastern Upper Karoo</t>
  </si>
  <si>
    <t>SKk1</t>
  </si>
  <si>
    <t>Succulent Karoo</t>
  </si>
  <si>
    <t>Northern Knersvlakte Vygieveld</t>
  </si>
  <si>
    <t>SKk2</t>
  </si>
  <si>
    <t>Central Knersvlakte Vygieveld</t>
  </si>
  <si>
    <t>SKk3</t>
  </si>
  <si>
    <t>Knersvlakte Quartz Vygieveld</t>
  </si>
  <si>
    <t>SKk4</t>
  </si>
  <si>
    <t>Knersvlakte Shale Vygieveld</t>
  </si>
  <si>
    <t>SKk5</t>
  </si>
  <si>
    <t>Vanrhynsdorp Gannabosveld</t>
  </si>
  <si>
    <t>SKk6</t>
  </si>
  <si>
    <t>Knersvlakte Dolomite Vygieveld</t>
  </si>
  <si>
    <t>SKk7</t>
  </si>
  <si>
    <t>Citrusdal Vygieveld</t>
  </si>
  <si>
    <t>SKk8</t>
  </si>
  <si>
    <t>Piketberg Quartz Succulent Shrubland</t>
  </si>
  <si>
    <t>SKk9</t>
  </si>
  <si>
    <t>Kobee Succulent Shrubland</t>
  </si>
  <si>
    <t>SKn1</t>
  </si>
  <si>
    <t>Namaqualand Klipkoppe Shrubland</t>
  </si>
  <si>
    <t>SKn2</t>
  </si>
  <si>
    <t>Namaqualand Shale Shrubland</t>
  </si>
  <si>
    <t>SKn3</t>
  </si>
  <si>
    <t>Namaqualand Blomveld</t>
  </si>
  <si>
    <t>SKn4</t>
  </si>
  <si>
    <t>Namaqualand Heuweltjieveld</t>
  </si>
  <si>
    <t>SKn5</t>
  </si>
  <si>
    <t>Platbakkies Succulent Shrubland</t>
  </si>
  <si>
    <t>SKn6</t>
  </si>
  <si>
    <t>Kamiesberg Mountains Shrubland</t>
  </si>
  <si>
    <t>SKn7</t>
  </si>
  <si>
    <t>Southern Namaqualand Quartzite Klipkoppe Shrubland</t>
  </si>
  <si>
    <t>SKr1</t>
  </si>
  <si>
    <t>Central Richtersveld Mountain Shrubland</t>
  </si>
  <si>
    <t>SKr10</t>
  </si>
  <si>
    <t>Die Plate Succulent Shrubland</t>
  </si>
  <si>
    <t>SKr11</t>
  </si>
  <si>
    <t>Rooiberg Quartz Vygieveld</t>
  </si>
  <si>
    <t>SKr12</t>
  </si>
  <si>
    <t>Kosiesberg Succulent Shrubland</t>
  </si>
  <si>
    <t>SKr13</t>
  </si>
  <si>
    <t>Southern Richtersveld Scorpionstailveld</t>
  </si>
  <si>
    <t>B1i_sup</t>
  </si>
  <si>
    <t>SKr14</t>
  </si>
  <si>
    <t>Southern Richtersveld Inselberg Shrubland</t>
  </si>
  <si>
    <t>SKr15</t>
  </si>
  <si>
    <t>Anenous Plateau Shrubland</t>
  </si>
  <si>
    <t>SKr16</t>
  </si>
  <si>
    <t>Umdaus Mountains Succulent Shrubland</t>
  </si>
  <si>
    <t>SKr17</t>
  </si>
  <si>
    <t>Eenriet Plains Succulent Shrubland</t>
  </si>
  <si>
    <t>SKr18</t>
  </si>
  <si>
    <t>Bushmanland Inselberg Shrubland</t>
  </si>
  <si>
    <t>SKr19</t>
  </si>
  <si>
    <t>Aggeneys Gravel Vygieveld</t>
  </si>
  <si>
    <t>SKr2</t>
  </si>
  <si>
    <t>Upper Annisvlakte Succulent Shrubland</t>
  </si>
  <si>
    <t>SKr3</t>
  </si>
  <si>
    <t>Goariep Mountain Succulent Shrubland</t>
  </si>
  <si>
    <t>SKr4</t>
  </si>
  <si>
    <t>Lekkersing Succulent Shrubland</t>
  </si>
  <si>
    <t>SKr5</t>
  </si>
  <si>
    <t>Vyftienmyl se Berge Succulent Shrubland</t>
  </si>
  <si>
    <t>SKr6</t>
  </si>
  <si>
    <t>Stinkfonteinberge Eastern Apron Shrubland</t>
  </si>
  <si>
    <t>SKr7</t>
  </si>
  <si>
    <t>Northern Richtersveld Scorpionstailveld</t>
  </si>
  <si>
    <t>SKr8</t>
  </si>
  <si>
    <t>Rosyntjieberg Succulent Shrubland</t>
  </si>
  <si>
    <t>SKr9</t>
  </si>
  <si>
    <t>Tatasberg Mountain Succulent Shrubland</t>
  </si>
  <si>
    <t>SKs1</t>
  </si>
  <si>
    <t>Richtersveld Coastal Duneveld</t>
  </si>
  <si>
    <t>SKs10</t>
  </si>
  <si>
    <t>Riethuis-Wallekraal Quartz Vygieveld</t>
  </si>
  <si>
    <t>SKs11</t>
  </si>
  <si>
    <t>Namaqualand Arid Grassland</t>
  </si>
  <si>
    <t>SKs12</t>
  </si>
  <si>
    <t>Namaqualand Spinescent Grassland</t>
  </si>
  <si>
    <t>SKs13</t>
  </si>
  <si>
    <t>Klawer Sandy Shrubland</t>
  </si>
  <si>
    <t>SKs14</t>
  </si>
  <si>
    <t>Namaqualand Heuweltjie Strandveld</t>
  </si>
  <si>
    <t>SKs2</t>
  </si>
  <si>
    <t>Northern Richtersveld Yellow Duneveld</t>
  </si>
  <si>
    <t>SKs3</t>
  </si>
  <si>
    <t>Southern Richtersveld Yellow Duneveld</t>
  </si>
  <si>
    <t>SKs4</t>
  </si>
  <si>
    <t>Richtersveld Sandy Coastal Scorpionstailveld</t>
  </si>
  <si>
    <t>SKs5</t>
  </si>
  <si>
    <t>Richtersveld Red Duneveld</t>
  </si>
  <si>
    <t>SKs6</t>
  </si>
  <si>
    <t>Oograbies Plains Sandy Grassland</t>
  </si>
  <si>
    <t>SKs7</t>
  </si>
  <si>
    <t>Namaqualand Strandveld</t>
  </si>
  <si>
    <t>SKs8</t>
  </si>
  <si>
    <t>Namaqualand Coastal Duneveld</t>
  </si>
  <si>
    <t>SKs9</t>
  </si>
  <si>
    <t>Namaqualand Inland Duneveld</t>
  </si>
  <si>
    <t>SKt1</t>
  </si>
  <si>
    <t>Western Bushmanland Klipveld</t>
  </si>
  <si>
    <t>SKt2</t>
  </si>
  <si>
    <t>Hantam Karoo</t>
  </si>
  <si>
    <t>SKt3</t>
  </si>
  <si>
    <t>Roggeveld Karoo</t>
  </si>
  <si>
    <t>SKv1</t>
  </si>
  <si>
    <t>Doringrivier Quartzite Karoo</t>
  </si>
  <si>
    <t>SKv10</t>
  </si>
  <si>
    <t>Little Karoo Quartz Vygieveld</t>
  </si>
  <si>
    <t>SKv11</t>
  </si>
  <si>
    <t>Eastern Little Karoo</t>
  </si>
  <si>
    <t>D1_elk</t>
  </si>
  <si>
    <t>SKv13</t>
  </si>
  <si>
    <t>Prince Albert Succulent Karoo</t>
  </si>
  <si>
    <t>SKv14</t>
  </si>
  <si>
    <t>Steytlerville Karoo</t>
  </si>
  <si>
    <t>SKv2</t>
  </si>
  <si>
    <t>Swartruggens Quartzite Karoo</t>
  </si>
  <si>
    <t>SKv3</t>
  </si>
  <si>
    <t>Agter-Sederberg Shrubland</t>
  </si>
  <si>
    <t>SKv4</t>
  </si>
  <si>
    <t>Tanqua Escarpment Shrubland</t>
  </si>
  <si>
    <t>SKv5</t>
  </si>
  <si>
    <t>Tanqua Karoo</t>
  </si>
  <si>
    <t>SKv6</t>
  </si>
  <si>
    <t>Koedoesberge-Moordenaars Karoo</t>
  </si>
  <si>
    <t>SKv7</t>
  </si>
  <si>
    <t>Robertson Karoo</t>
  </si>
  <si>
    <t>SKv8</t>
  </si>
  <si>
    <t>Western Little Karoo</t>
  </si>
  <si>
    <t>SVcb1</t>
  </si>
  <si>
    <t>Savanna</t>
  </si>
  <si>
    <t>Dwaalboom Thornveld</t>
  </si>
  <si>
    <t>SVcb10</t>
  </si>
  <si>
    <t>Gauteng Shale Mountain Bushveld</t>
  </si>
  <si>
    <t>SVcb11</t>
  </si>
  <si>
    <t>Andesite Mountain Bushveld</t>
  </si>
  <si>
    <t>SVcb12</t>
  </si>
  <si>
    <t>Central Sandy Bushveld</t>
  </si>
  <si>
    <t>SVcb13</t>
  </si>
  <si>
    <t>Loskop Mountain Bushveld</t>
  </si>
  <si>
    <t>SVcb14</t>
  </si>
  <si>
    <t>Loskop Thornveld</t>
  </si>
  <si>
    <t>SVcb15</t>
  </si>
  <si>
    <t>Springbokvlakte Thornveld</t>
  </si>
  <si>
    <t>SVcb16</t>
  </si>
  <si>
    <t>Western Sandy Bushveld</t>
  </si>
  <si>
    <t>SVcb17</t>
  </si>
  <si>
    <t>Waterberg Mountain Bushveld</t>
  </si>
  <si>
    <t>SVcb18</t>
  </si>
  <si>
    <t>Roodeberg Bushveld</t>
  </si>
  <si>
    <t>SVcb19</t>
  </si>
  <si>
    <t>Limpopo Sweet Bushveld</t>
  </si>
  <si>
    <t>SVcb2</t>
  </si>
  <si>
    <t>Madikwe Dolomite Bushveld</t>
  </si>
  <si>
    <t>SVcb20</t>
  </si>
  <si>
    <t>Makhado Sweet Bushveld</t>
  </si>
  <si>
    <t>SVcb21</t>
  </si>
  <si>
    <t>Soutpansberg Mountain Bushveld</t>
  </si>
  <si>
    <t>SVcb22</t>
  </si>
  <si>
    <t>VhaVenda Miombo</t>
  </si>
  <si>
    <t>SVcb23</t>
  </si>
  <si>
    <t>Polokwane Plateau Bushveld</t>
  </si>
  <si>
    <t>SVcb24</t>
  </si>
  <si>
    <t>Mamabolo Mountain Bushveld</t>
  </si>
  <si>
    <t>SVcb25</t>
  </si>
  <si>
    <t>Poung Dolomite Mountain Bushveld</t>
  </si>
  <si>
    <t>SVcb26</t>
  </si>
  <si>
    <t>Ohrigstad Mountain Bushveld</t>
  </si>
  <si>
    <t>SVcb27</t>
  </si>
  <si>
    <t>Sekhukhune Plains Bushveld</t>
  </si>
  <si>
    <t>SVcb28</t>
  </si>
  <si>
    <t>Sekhukhune Mountain Bushveld</t>
  </si>
  <si>
    <t>SVcb29</t>
  </si>
  <si>
    <t>Central Sandy Mountain Bushveld</t>
  </si>
  <si>
    <t>SVcb3</t>
  </si>
  <si>
    <t>Zeerust Thornveld</t>
  </si>
  <si>
    <t>SVcb4</t>
  </si>
  <si>
    <t>Dwarsberg-Swartruggens Mountain Bushveld</t>
  </si>
  <si>
    <t>SVcb5</t>
  </si>
  <si>
    <t>Pilanesberg Mountain Bushveld</t>
  </si>
  <si>
    <t>SVcb6</t>
  </si>
  <si>
    <t>Marikana Thornveld</t>
  </si>
  <si>
    <t>SVcb7</t>
  </si>
  <si>
    <t>Norite Koppies Bushveld</t>
  </si>
  <si>
    <t>SVcb8</t>
  </si>
  <si>
    <t>Moot Plains Bushveld</t>
  </si>
  <si>
    <t>SVcb9</t>
  </si>
  <si>
    <t>Gold Reef Mountain Bushveld</t>
  </si>
  <si>
    <t>SVk1</t>
  </si>
  <si>
    <t>Mafikeng Bushveld</t>
  </si>
  <si>
    <t>SVk10</t>
  </si>
  <si>
    <t>Kuruman Mountain Bushveld</t>
  </si>
  <si>
    <t>SVk11</t>
  </si>
  <si>
    <t>Molopo Bushveld</t>
  </si>
  <si>
    <t>SVk12</t>
  </si>
  <si>
    <t>Kathu Bushveld</t>
  </si>
  <si>
    <t>SVk13</t>
  </si>
  <si>
    <t>Olifantshoek Plains Thornveld</t>
  </si>
  <si>
    <t>SVk14</t>
  </si>
  <si>
    <t>Postmasburg Thornveld</t>
  </si>
  <si>
    <t>SVk15</t>
  </si>
  <si>
    <t>Koranna-Langeberg Mountain Bushveld</t>
  </si>
  <si>
    <t>SVk16</t>
  </si>
  <si>
    <t>Gordonia Plains Shrubland</t>
  </si>
  <si>
    <t>SVk17</t>
  </si>
  <si>
    <t>Vryburg Thornveld</t>
  </si>
  <si>
    <t>SVk18</t>
  </si>
  <si>
    <t>Morokweng Thornveld</t>
  </si>
  <si>
    <t>SVk2</t>
  </si>
  <si>
    <t>Stella Bushveld</t>
  </si>
  <si>
    <t>SVk3</t>
  </si>
  <si>
    <t>Schweizer-Reneke Bushveld</t>
  </si>
  <si>
    <t>SVk4</t>
  </si>
  <si>
    <t>Kimberley Thornveld</t>
  </si>
  <si>
    <t>SVk5</t>
  </si>
  <si>
    <t>Vaalbos Rocky Shrubland</t>
  </si>
  <si>
    <t>SVk6</t>
  </si>
  <si>
    <t>Schmidtsdrif Thornveld</t>
  </si>
  <si>
    <t>SVk7</t>
  </si>
  <si>
    <t>Ghaap Plateau Vaalbosveld</t>
  </si>
  <si>
    <t>SVk8</t>
  </si>
  <si>
    <t>Kuruman Vaalbosveld</t>
  </si>
  <si>
    <t>SVk9</t>
  </si>
  <si>
    <t>Kuruman Thornveld</t>
  </si>
  <si>
    <t>SVkd1</t>
  </si>
  <si>
    <t>Gordonia Duneveld</t>
  </si>
  <si>
    <t>SVkd2</t>
  </si>
  <si>
    <t>Gordonia Kameeldoring Bushveld</t>
  </si>
  <si>
    <t>SVkd3</t>
  </si>
  <si>
    <t>Auob Duneveld</t>
  </si>
  <si>
    <t>SVkd4</t>
  </si>
  <si>
    <t>Nossob Bushveld</t>
  </si>
  <si>
    <t>SVl1</t>
  </si>
  <si>
    <t>Makuleke Sandy Bushveld</t>
  </si>
  <si>
    <t>SVl10</t>
  </si>
  <si>
    <t>Pretoriuskop Sour Bushveld</t>
  </si>
  <si>
    <t>SVl11</t>
  </si>
  <si>
    <t>Malelane Mountain Bushveld</t>
  </si>
  <si>
    <t>SVl12</t>
  </si>
  <si>
    <t>Kaalrug Mountain Bushveld</t>
  </si>
  <si>
    <t>SVl13</t>
  </si>
  <si>
    <t>Barberton Serpentine Sourveld</t>
  </si>
  <si>
    <t>SVl14</t>
  </si>
  <si>
    <t>Swaziland Sour Bushveld</t>
  </si>
  <si>
    <t>SVl15</t>
  </si>
  <si>
    <t>Northern Lebombo Bushveld</t>
  </si>
  <si>
    <t>SVl16</t>
  </si>
  <si>
    <t>Southern Lebombo Bushveld</t>
  </si>
  <si>
    <t>SVl17</t>
  </si>
  <si>
    <t>Lebombo Summit Sourveld</t>
  </si>
  <si>
    <t>SVl18</t>
  </si>
  <si>
    <t>Tembe Sandy Bushveld</t>
  </si>
  <si>
    <t>SVl19</t>
  </si>
  <si>
    <t>Western Maputaland Sandy Bushveld</t>
  </si>
  <si>
    <t>SVl2</t>
  </si>
  <si>
    <t>Nwambyia-Pumbe Sandy Bushveld</t>
  </si>
  <si>
    <t>SVl20</t>
  </si>
  <si>
    <t>Western Maputaland Clay Bushveld</t>
  </si>
  <si>
    <t>SVl21</t>
  </si>
  <si>
    <t>Makatini Clay Thicket</t>
  </si>
  <si>
    <t>SVl22</t>
  </si>
  <si>
    <t>Northern Zululand Sourveld</t>
  </si>
  <si>
    <t>SVl23</t>
  </si>
  <si>
    <t>Zululand Lowveld</t>
  </si>
  <si>
    <t>SVl24</t>
  </si>
  <si>
    <t>Zululand Coastal Thornveld</t>
  </si>
  <si>
    <t>SVl25</t>
  </si>
  <si>
    <t>Maputaland Pallid Sandy Bushveld</t>
  </si>
  <si>
    <t>SVl26</t>
  </si>
  <si>
    <t>Muzi Palm Veld and Wooded Grassland</t>
  </si>
  <si>
    <t>SVl27</t>
  </si>
  <si>
    <t>Crocodile Gorge Mountain Bushveld</t>
  </si>
  <si>
    <t>SVl3</t>
  </si>
  <si>
    <t>Granite Lowveld</t>
  </si>
  <si>
    <t>SVl4</t>
  </si>
  <si>
    <t>Delagoa Lowveld</t>
  </si>
  <si>
    <t>SVl5</t>
  </si>
  <si>
    <t>Tshokwane-Hlane Basalt Lowveld</t>
  </si>
  <si>
    <t>SVl6</t>
  </si>
  <si>
    <t>Gabbro Grassy Bushveld</t>
  </si>
  <si>
    <t>SVl7</t>
  </si>
  <si>
    <t>Gravelotte Rocky Bushveld</t>
  </si>
  <si>
    <t>SVl8</t>
  </si>
  <si>
    <t>Tzaneen Sour Bushveld</t>
  </si>
  <si>
    <t>SVl9</t>
  </si>
  <si>
    <t>Legogote Sour Bushveld</t>
  </si>
  <si>
    <t>SVmp1</t>
  </si>
  <si>
    <t>Musina Mopane Bushveld</t>
  </si>
  <si>
    <t>SVmp2</t>
  </si>
  <si>
    <t>Limpopo Ridge Bushveld</t>
  </si>
  <si>
    <t>SVmp3</t>
  </si>
  <si>
    <t>Cathedral Mopane Bushveld</t>
  </si>
  <si>
    <t>SVmp4</t>
  </si>
  <si>
    <t>Mopane Basalt Shrubland</t>
  </si>
  <si>
    <t>SVmp5</t>
  </si>
  <si>
    <t>Tsende Mopaneveld</t>
  </si>
  <si>
    <t>SVmp6</t>
  </si>
  <si>
    <t>Lowveld Rugged Mopaneveld</t>
  </si>
  <si>
    <t>SVmp7</t>
  </si>
  <si>
    <t>Phalaborwa-Timbavati Mopaneveld</t>
  </si>
  <si>
    <t>SVmp8</t>
  </si>
  <si>
    <t>Mopane Gabbro Shrubland</t>
  </si>
  <si>
    <t>SVs1</t>
  </si>
  <si>
    <t>Thukela Valley Bushveld</t>
  </si>
  <si>
    <t>SVs2</t>
  </si>
  <si>
    <t>Thukela Thornveld</t>
  </si>
  <si>
    <t>SVs3</t>
  </si>
  <si>
    <t>KwaZulu-Natal Hinterland Thornveld</t>
  </si>
  <si>
    <t>SVs4</t>
  </si>
  <si>
    <t>Ngongoni Veld</t>
  </si>
  <si>
    <t>SVs5</t>
  </si>
  <si>
    <t>KwaZulu-Natal Sandstone Sourveld</t>
  </si>
  <si>
    <t>SVs6</t>
  </si>
  <si>
    <t>Eastern Valley Bushveld</t>
  </si>
  <si>
    <t>SVs7</t>
  </si>
  <si>
    <t>Bhisho Thornveld</t>
  </si>
  <si>
    <t>SVs8</t>
  </si>
  <si>
    <t>South Eastern Coastal Thornveld</t>
  </si>
  <si>
    <t>Row Labels</t>
  </si>
  <si>
    <t>Grand Total</t>
  </si>
  <si>
    <t>Sum of Nat2022_km2</t>
  </si>
  <si>
    <t>Column Labels</t>
  </si>
  <si>
    <t>Sum of Nat1750_km2</t>
  </si>
  <si>
    <t>Count of RLE_2025</t>
  </si>
  <si>
    <t>Total</t>
  </si>
  <si>
    <t>Category (IUCN RLE)</t>
  </si>
  <si>
    <t>Number of ecosystems</t>
  </si>
  <si>
    <t>Natural Extent Remaining within South Africa in 2022 (km2)</t>
  </si>
  <si>
    <t>Percentage of total terrestrial landmass extent</t>
  </si>
  <si>
    <t>Natural remaining ecosystem extent (km2)</t>
  </si>
  <si>
    <t>Percentage of the natural remaining ecosystem extent</t>
  </si>
  <si>
    <t>Count of EPL</t>
  </si>
  <si>
    <t>Percentage of the natural remaining extent</t>
  </si>
  <si>
    <t>Category (Protection Level)</t>
  </si>
  <si>
    <t>Not Protected</t>
  </si>
  <si>
    <t>Poorly Protected</t>
  </si>
  <si>
    <t>Moderately Protected</t>
  </si>
  <si>
    <t>Well Protected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</si>
</sst>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E19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670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wrapText="1"/>
    </xf>
    <xf numFmtId="0" fontId="3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0" fillId="0" borderId="0" xfId="0" applyNumberFormat="1"/>
    <xf numFmtId="0" fontId="3" fillId="3" borderId="0" xfId="0" applyFont="1" applyFill="1"/>
    <xf numFmtId="0" fontId="0" fillId="3" borderId="0" xfId="0" applyFill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D670D"/>
      <color rgb="FF2A60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phale Monyeki" refreshedDate="46222.573512499999" createdVersion="8" refreshedVersion="8" minRefreshableVersion="3" recordCount="463" xr:uid="{AC56E078-DF43-4A5C-9043-8D95CAC7D172}">
  <cacheSource type="worksheet">
    <worksheetSource ref="A1:M464" sheet="Sheet1"/>
  </cacheSource>
  <cacheFields count="13">
    <cacheField name="MapCode" numFmtId="0">
      <sharedItems/>
    </cacheField>
    <cacheField name="Biome" numFmtId="0">
      <sharedItems count="10">
        <s v="Albany Thicket"/>
        <s v="Azonal Vegetation"/>
        <s v="Indian Ocean Coastal Belt"/>
        <s v="Desert"/>
        <s v="Fynbos"/>
        <s v="Forests"/>
        <s v="Grassland"/>
        <s v="Nama-Karoo"/>
        <s v="Succulent Karoo"/>
        <s v="Savanna"/>
      </sharedItems>
    </cacheField>
    <cacheField name="T_Name" numFmtId="0">
      <sharedItems/>
    </cacheField>
    <cacheField name="get" numFmtId="0">
      <sharedItems containsBlank="1"/>
    </cacheField>
    <cacheField name="Nat1750_km2" numFmtId="0">
      <sharedItems containsSemiMixedTypes="0" containsString="0" containsNumber="1" minValue="0.60199999999999998" maxValue="49834.434399999998"/>
    </cacheField>
    <cacheField name="Nat2022_km2" numFmtId="0">
      <sharedItems containsSemiMixedTypes="0" containsString="0" containsNumber="1" minValue="0.31719999999999998" maxValue="48084.245199999998"/>
    </cacheField>
    <cacheField name="RoD" numFmtId="0">
      <sharedItems containsSemiMixedTypes="0" containsString="0" containsNumber="1" minValue="0" maxValue="1.9"/>
    </cacheField>
    <cacheField name="ROD9022" numFmtId="0">
      <sharedItems containsSemiMixedTypes="0" containsString="0" containsNumber="1" minValue="0" maxValue="1.9039690894666199"/>
    </cacheField>
    <cacheField name="pnat_2022" numFmtId="0">
      <sharedItems containsSemiMixedTypes="0" containsString="0" containsNumber="1" minValue="4.9251599279547899E-2" maxValue="1.0120702944350199"/>
    </cacheField>
    <cacheField name="RLE_2025" numFmtId="0">
      <sharedItems count="4">
        <s v="Least Concern"/>
        <s v="Critically Endangered"/>
        <s v="Endangered"/>
        <s v="Vulnerable"/>
      </sharedItems>
    </cacheField>
    <cacheField name="Criteria_triggered" numFmtId="0">
      <sharedItems containsBlank="1"/>
    </cacheField>
    <cacheField name="expert_change" numFmtId="0">
      <sharedItems/>
    </cacheField>
    <cacheField name="EPL" numFmtId="0">
      <sharedItems count="4">
        <s v="PP"/>
        <s v="MP"/>
        <s v="WP"/>
        <s v="N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">
  <r>
    <s v="AT15"/>
    <x v="0"/>
    <s v="Albany Arid Thicket"/>
    <s v="T1.2"/>
    <n v="14.6008"/>
    <n v="14.5748"/>
    <n v="0"/>
    <n v="2.5708174513945099E-3"/>
    <n v="0.998219275656128"/>
    <x v="0"/>
    <m/>
    <s v="RLE not adjusted"/>
    <x v="0"/>
  </r>
  <r>
    <s v="AT16"/>
    <x v="0"/>
    <s v="Albany Bontveld"/>
    <s v="T1.2"/>
    <n v="53.769199999999998"/>
    <n v="51.1648"/>
    <n v="0"/>
    <n v="3.0602390518435999E-2"/>
    <n v="0.95156334853410496"/>
    <x v="0"/>
    <m/>
    <s v="RLE not adjusted"/>
    <x v="0"/>
  </r>
  <r>
    <s v="AT17"/>
    <x v="0"/>
    <s v="Albany Mesic Thicket"/>
    <s v="T1.2"/>
    <n v="729.20280000000002"/>
    <n v="576.74"/>
    <n v="0.1"/>
    <n v="0.104223443061363"/>
    <n v="0.79091852088335401"/>
    <x v="0"/>
    <m/>
    <s v="RLE not adjusted"/>
    <x v="1"/>
  </r>
  <r>
    <s v="AT18"/>
    <x v="0"/>
    <s v="Albany Valley Thicket"/>
    <s v="T1.2"/>
    <n v="1175.6312"/>
    <n v="1034.7103999999999"/>
    <n v="0.1"/>
    <n v="5.44672084756802E-2"/>
    <n v="0.88013179643411998"/>
    <x v="0"/>
    <m/>
    <s v="RLE not adjusted"/>
    <x v="1"/>
  </r>
  <r>
    <s v="AT19"/>
    <x v="0"/>
    <s v="Baviaans Valley Thicket"/>
    <s v="T1.2"/>
    <n v="1077.8671999999999"/>
    <n v="1061.8263999999999"/>
    <n v="0"/>
    <n v="1.30080257737102E-2"/>
    <n v="0.98511801824937295"/>
    <x v="0"/>
    <m/>
    <s v="RLE not adjusted"/>
    <x v="2"/>
  </r>
  <r>
    <s v="AT20"/>
    <x v="0"/>
    <s v="Bethelsdorp Bontveld"/>
    <s v="T1.2"/>
    <n v="35.516399999999997"/>
    <n v="20.0016"/>
    <n v="0.3"/>
    <n v="0.31123390654542199"/>
    <n v="0.56316518566070894"/>
    <x v="0"/>
    <m/>
    <s v="RLE not adjusted"/>
    <x v="3"/>
  </r>
  <r>
    <s v="AT21"/>
    <x v="0"/>
    <s v="Buffels Mesic Thicket"/>
    <s v="T1.2"/>
    <n v="386.30680000000001"/>
    <n v="310.89760000000001"/>
    <n v="0.1"/>
    <n v="9.9536474779369694E-2"/>
    <n v="0.80479453118609401"/>
    <x v="0"/>
    <m/>
    <s v="RLE not adjusted"/>
    <x v="0"/>
  </r>
  <r>
    <s v="AT22"/>
    <x v="0"/>
    <s v="Buffels Valley Thicket"/>
    <s v="T1.2"/>
    <n v="215.488"/>
    <n v="92.396799999999999"/>
    <n v="0.5"/>
    <n v="0.48852878441455999"/>
    <n v="0.42877932877932901"/>
    <x v="1"/>
    <s v="B1i_rod"/>
    <s v="RLE not adjusted"/>
    <x v="3"/>
  </r>
  <r>
    <s v="AT23"/>
    <x v="0"/>
    <s v="Crossroads Grassland Thicket"/>
    <s v="T1.2"/>
    <n v="311.19279999999998"/>
    <n v="268.27960000000002"/>
    <n v="0"/>
    <n v="4.8371985661524598E-2"/>
    <n v="0.86210092264345495"/>
    <x v="0"/>
    <m/>
    <s v="RLE not adjusted"/>
    <x v="1"/>
  </r>
  <r>
    <s v="AT24"/>
    <x v="0"/>
    <s v="Doubledrift Karroid Thicket"/>
    <s v="T1.2"/>
    <n v="2976.1347999999998"/>
    <n v="2598.0464000000002"/>
    <n v="0"/>
    <n v="4.00021369937631E-2"/>
    <n v="0.87295992103583497"/>
    <x v="0"/>
    <m/>
    <s v="RLE not adjusted"/>
    <x v="0"/>
  </r>
  <r>
    <s v="AT25"/>
    <x v="0"/>
    <s v="Eastern Gwarrieveld"/>
    <s v="T1.2"/>
    <n v="2128.9656"/>
    <n v="2109.2204000000002"/>
    <n v="0"/>
    <n v="1.1282613822186901E-2"/>
    <n v="0.99072544901617998"/>
    <x v="0"/>
    <m/>
    <s v="RLE not adjusted"/>
    <x v="1"/>
  </r>
  <r>
    <s v="AT26"/>
    <x v="0"/>
    <s v="Elands Forest Thicket"/>
    <s v="T1.2"/>
    <n v="40.482399999999998"/>
    <n v="30.173999999999999"/>
    <n v="0.2"/>
    <n v="0.212253805664014"/>
    <n v="0.74536094697942801"/>
    <x v="0"/>
    <m/>
    <s v="RLE not adjusted"/>
    <x v="0"/>
  </r>
  <r>
    <s v="AT27"/>
    <x v="0"/>
    <s v="Escarpment Arid Thicket"/>
    <s v="T1.2"/>
    <n v="1239.9792"/>
    <n v="1230.8535999999999"/>
    <n v="0"/>
    <n v="9.1002183647370307E-3"/>
    <n v="0.99264052171197703"/>
    <x v="0"/>
    <m/>
    <s v="RLE not adjusted"/>
    <x v="2"/>
  </r>
  <r>
    <s v="AT28"/>
    <x v="0"/>
    <s v="Escarpment Mesic Thicket"/>
    <s v="T1.2"/>
    <n v="1030.5103999999999"/>
    <n v="908.23199999999997"/>
    <n v="0"/>
    <n v="4.0852478597408703E-2"/>
    <n v="0.88134190591380701"/>
    <x v="0"/>
    <m/>
    <s v="RLE not adjusted"/>
    <x v="0"/>
  </r>
  <r>
    <s v="AT29"/>
    <x v="0"/>
    <s v="Escarpment Valley Thicket"/>
    <s v="T1.2"/>
    <n v="784.61400000000003"/>
    <n v="768.05600000000004"/>
    <n v="0"/>
    <n v="1.4943380364326801E-2"/>
    <n v="0.97889662942542399"/>
    <x v="0"/>
    <m/>
    <s v="RLE not adjusted"/>
    <x v="2"/>
  </r>
  <r>
    <s v="AT30"/>
    <x v="0"/>
    <s v="Fish Arid Thicket"/>
    <s v="T1.2"/>
    <n v="674.05840000000001"/>
    <n v="625.32560000000001"/>
    <n v="0"/>
    <n v="4.1645523403068402E-2"/>
    <n v="0.92770240679442595"/>
    <x v="0"/>
    <m/>
    <s v="RLE not adjusted"/>
    <x v="2"/>
  </r>
  <r>
    <s v="AT31"/>
    <x v="0"/>
    <s v="Fish Mesic Thicket"/>
    <s v="T1.2"/>
    <n v="240.80160000000001"/>
    <n v="210.196"/>
    <n v="0"/>
    <n v="3.01714714867523E-2"/>
    <n v="0.87290117673636702"/>
    <x v="0"/>
    <m/>
    <s v="RLE not adjusted"/>
    <x v="0"/>
  </r>
  <r>
    <s v="AT32"/>
    <x v="0"/>
    <s v="Fish Valley Thicket"/>
    <s v="T1.2"/>
    <n v="3596.1840000000002"/>
    <n v="3450.6651999999999"/>
    <n v="0"/>
    <n v="3.43389546128351E-2"/>
    <n v="0.95953521844265999"/>
    <x v="0"/>
    <m/>
    <s v="RLE not adjusted"/>
    <x v="1"/>
  </r>
  <r>
    <s v="AT33"/>
    <x v="0"/>
    <s v="Gamka Arid Thicket"/>
    <s v="T1.2"/>
    <n v="491.80560000000003"/>
    <n v="484.07040000000001"/>
    <n v="0"/>
    <n v="1.55782498341199E-2"/>
    <n v="0.98427183423694198"/>
    <x v="0"/>
    <m/>
    <s v="RLE not adjusted"/>
    <x v="0"/>
  </r>
  <r>
    <s v="AT34"/>
    <x v="0"/>
    <s v="Gamka Valley Thicket"/>
    <s v="T1.2"/>
    <n v="167.52680000000001"/>
    <n v="161.67400000000001"/>
    <n v="0"/>
    <n v="3.5384367952173701E-2"/>
    <n v="0.96506350028771504"/>
    <x v="0"/>
    <m/>
    <s v="RLE not adjusted"/>
    <x v="3"/>
  </r>
  <r>
    <s v="AT35"/>
    <x v="0"/>
    <s v="Geluk Grassland Thicket"/>
    <s v="T1.2"/>
    <n v="30.147600000000001"/>
    <n v="18.374400000000001"/>
    <n v="0.2"/>
    <n v="0.18231622319707999"/>
    <n v="0.609481351749393"/>
    <x v="0"/>
    <m/>
    <s v="RLE not adjusted"/>
    <x v="1"/>
  </r>
  <r>
    <s v="AT36"/>
    <x v="0"/>
    <s v="Goukamma Dune Thicket"/>
    <s v="MT2.1"/>
    <n v="51.4116"/>
    <n v="29.764399999999998"/>
    <n v="0.4"/>
    <n v="0.35102055423670198"/>
    <n v="0.57894327350247798"/>
    <x v="1"/>
    <s v="B1i_rod"/>
    <s v="RLE not adjusted"/>
    <x v="2"/>
  </r>
  <r>
    <s v="AT37"/>
    <x v="0"/>
    <s v="Gouritz Valley Thicket"/>
    <s v="T1.2"/>
    <n v="176.6464"/>
    <n v="106.1272"/>
    <n v="0.4"/>
    <n v="0.41707219888824298"/>
    <n v="0.60078892069127898"/>
    <x v="1"/>
    <s v="B1i_rod"/>
    <s v="RLE not adjusted"/>
    <x v="3"/>
  </r>
  <r>
    <s v="AT38"/>
    <x v="0"/>
    <s v="Grahamstown Grassland Thicket"/>
    <s v="T1.2"/>
    <n v="1290.854"/>
    <n v="849.76520000000005"/>
    <n v="0.2"/>
    <n v="0.204659056267714"/>
    <n v="0.65829691041744498"/>
    <x v="0"/>
    <m/>
    <s v="RLE not adjusted"/>
    <x v="1"/>
  </r>
  <r>
    <s v="AT39"/>
    <x v="0"/>
    <s v="Grassridge Bontveld"/>
    <s v="T1.2"/>
    <n v="245.8596"/>
    <n v="216.98400000000001"/>
    <n v="0.1"/>
    <n v="0.121611595871905"/>
    <n v="0.88255248117218099"/>
    <x v="0"/>
    <m/>
    <s v="RLE not adjusted"/>
    <x v="0"/>
  </r>
  <r>
    <s v="AT40"/>
    <x v="0"/>
    <s v="Hartenbos Dune Thicket"/>
    <s v="MT2.1"/>
    <n v="596.31719999999996"/>
    <n v="463.16"/>
    <n v="0.2"/>
    <n v="0.24190462474493099"/>
    <n v="0.77670072236722298"/>
    <x v="2"/>
    <s v="B1iii_sp"/>
    <s v="RLE not adjusted"/>
    <x v="0"/>
  </r>
  <r>
    <s v="AT41"/>
    <x v="0"/>
    <s v="Kasouga Dune Thicket"/>
    <s v="T1.2"/>
    <n v="307.52159999999998"/>
    <n v="207.8656"/>
    <n v="0.2"/>
    <n v="0.177893479870498"/>
    <n v="0.675938210519196"/>
    <x v="0"/>
    <m/>
    <s v="RLE not adjusted"/>
    <x v="1"/>
  </r>
  <r>
    <s v="AT42"/>
    <x v="0"/>
    <s v="Koedoeskloof Karroid Thicket"/>
    <s v="T1.2"/>
    <n v="59.856400000000001"/>
    <n v="51.730400000000003"/>
    <n v="0.2"/>
    <n v="0.16820398293862401"/>
    <n v="0.86424175192627695"/>
    <x v="0"/>
    <m/>
    <s v="RLE not adjusted"/>
    <x v="3"/>
  </r>
  <r>
    <s v="AT43"/>
    <x v="0"/>
    <s v="Mons Ruber Fynbos Thicket"/>
    <s v="T3.2"/>
    <n v="286.20319999999998"/>
    <n v="265.86"/>
    <n v="0.1"/>
    <n v="5.6680695731303903E-2"/>
    <n v="0.92892043135786095"/>
    <x v="0"/>
    <m/>
    <s v="RLE not adjusted"/>
    <x v="3"/>
  </r>
  <r>
    <s v="AT44"/>
    <x v="0"/>
    <s v="Motherwell Karroid Thicket"/>
    <s v="T1.2"/>
    <n v="163.45760000000001"/>
    <n v="63.255200000000002"/>
    <n v="0.9"/>
    <n v="0.89681043889154399"/>
    <n v="0.386982312232652"/>
    <x v="1"/>
    <s v="B1i_rod"/>
    <s v="RLE not adjusted"/>
    <x v="3"/>
  </r>
  <r>
    <s v="AT45"/>
    <x v="0"/>
    <s v="Nanaga Savanna Thicket"/>
    <s v="T1.2"/>
    <n v="697.02520000000004"/>
    <n v="430.49439999999998"/>
    <n v="0.1"/>
    <n v="0.14522392370610801"/>
    <n v="0.61761669448966805"/>
    <x v="0"/>
    <m/>
    <s v="RLE not adjusted"/>
    <x v="1"/>
  </r>
  <r>
    <s v="AT46"/>
    <x v="0"/>
    <s v="Oudtshoorn Karroid Thicket"/>
    <s v="T1.2"/>
    <n v="571.85760000000005"/>
    <n v="552.06880000000001"/>
    <n v="0"/>
    <n v="2.9322283589749101E-2"/>
    <n v="0.965395580997787"/>
    <x v="0"/>
    <m/>
    <s v="RLE not adjusted"/>
    <x v="2"/>
  </r>
  <r>
    <s v="AT47"/>
    <x v="0"/>
    <s v="Saltaire Karroid Thicket"/>
    <s v="T1.2"/>
    <n v="910.57560000000001"/>
    <n v="886.15359999999998"/>
    <n v="0"/>
    <n v="2.83209655379098E-2"/>
    <n v="0.97317960200119602"/>
    <x v="0"/>
    <m/>
    <s v="RLE not adjusted"/>
    <x v="0"/>
  </r>
  <r>
    <s v="AT48"/>
    <x v="0"/>
    <s v="Sardinia Forest Thicket"/>
    <s v="T1.2"/>
    <n v="20.376799999999999"/>
    <n v="11.6912"/>
    <n v="0.2"/>
    <n v="0.15564044213264"/>
    <n v="0.57375053982961"/>
    <x v="1"/>
    <s v="B1i_inv"/>
    <s v="RLE not adjusted"/>
    <x v="3"/>
  </r>
  <r>
    <s v="AT49"/>
    <x v="0"/>
    <s v="Sundays Arid Thicket"/>
    <s v="T1.2"/>
    <n v="5647.1167999999998"/>
    <n v="5524.0147999999999"/>
    <n v="0"/>
    <n v="2.11698181898472E-2"/>
    <n v="0.97820091130397702"/>
    <x v="3"/>
    <s v="D3_step; D3_inv"/>
    <s v="RLE not adjusted"/>
    <x v="1"/>
  </r>
  <r>
    <s v="AT50"/>
    <x v="0"/>
    <s v="Sundays Mesic Thicket"/>
    <s v="T1.2"/>
    <n v="577.54240000000004"/>
    <n v="515.44240000000002"/>
    <n v="0.1"/>
    <n v="6.6333308521045894E-2"/>
    <n v="0.89247542691237902"/>
    <x v="0"/>
    <m/>
    <s v="RLE not adjusted"/>
    <x v="2"/>
  </r>
  <r>
    <s v="AT51"/>
    <x v="0"/>
    <s v="Sundays Valley Thicket"/>
    <s v="T1.2"/>
    <n v="1963.4028000000001"/>
    <n v="1693.7084"/>
    <n v="0.2"/>
    <n v="0.16791322873207101"/>
    <n v="0.86263929133644901"/>
    <x v="0"/>
    <m/>
    <s v="RLE not adjusted"/>
    <x v="1"/>
  </r>
  <r>
    <s v="AT52"/>
    <x v="0"/>
    <s v="Thorndale Forest Thicket"/>
    <s v="T1.2"/>
    <n v="43.596800000000002"/>
    <n v="30.241599999999998"/>
    <n v="0.2"/>
    <n v="0.15452713831298701"/>
    <n v="0.69366559013505602"/>
    <x v="0"/>
    <m/>
    <s v="RLE not adjusted"/>
    <x v="0"/>
  </r>
  <r>
    <s v="AT53"/>
    <x v="0"/>
    <s v="Umtiza Forest Thicket"/>
    <s v="T1.2"/>
    <n v="27.102799999999998"/>
    <n v="16.549600000000002"/>
    <n v="0.5"/>
    <n v="0.47178643984322099"/>
    <n v="0.61062325663769101"/>
    <x v="1"/>
    <s v="B1i_rod"/>
    <s v="RLE not adjusted"/>
    <x v="2"/>
  </r>
  <r>
    <s v="AT54"/>
    <x v="0"/>
    <s v="Vanstadens Forest Thicket"/>
    <s v="T1.2"/>
    <n v="187.72040000000001"/>
    <n v="184.89920000000001"/>
    <n v="0"/>
    <n v="1.21417150270118E-2"/>
    <n v="0.98497126577612204"/>
    <x v="0"/>
    <m/>
    <s v="RLE not adjusted"/>
    <x v="2"/>
  </r>
  <r>
    <s v="AT55"/>
    <x v="0"/>
    <s v="Western Gwarrieveld"/>
    <s v="T1.2"/>
    <n v="760.38720000000001"/>
    <n v="741.59760000000006"/>
    <n v="0"/>
    <n v="3.30905426088514E-2"/>
    <n v="0.97528943148964098"/>
    <x v="0"/>
    <m/>
    <s v="RLE not adjusted"/>
    <x v="0"/>
  </r>
  <r>
    <s v="AT56"/>
    <x v="0"/>
    <s v="Hamburg Dune Thicket"/>
    <s v="T1.2"/>
    <n v="701.61760000000004"/>
    <n v="465.94920000000002"/>
    <n v="0.2"/>
    <n v="0.20862491918381901"/>
    <n v="0.66410705774769596"/>
    <x v="0"/>
    <m/>
    <s v="RLE not adjusted"/>
    <x v="0"/>
  </r>
  <r>
    <s v="AT57"/>
    <x v="0"/>
    <s v="St Francis Dune Thicket"/>
    <s v="MT2.1"/>
    <n v="137.06479999999999"/>
    <n v="105.50960000000001"/>
    <n v="0.2"/>
    <n v="0.18206071576482"/>
    <n v="0.76977896586140304"/>
    <x v="2"/>
    <s v="B1iii_sp, B2iii_sp"/>
    <s v="RLE not adjusted"/>
    <x v="0"/>
  </r>
  <r>
    <s v="AT58"/>
    <x v="0"/>
    <s v="Willowmore Gwarrieveld"/>
    <s v="T1.2"/>
    <n v="2252.3447999999999"/>
    <n v="2221.2952"/>
    <n v="0"/>
    <n v="1.4390642899381099E-2"/>
    <n v="0.98621454406092701"/>
    <x v="0"/>
    <m/>
    <s v="RLE not adjusted"/>
    <x v="3"/>
  </r>
  <r>
    <s v="AZa1"/>
    <x v="1"/>
    <s v="Fynbos Riparian Vegetation"/>
    <s v="T3.2"/>
    <n v="18.7044"/>
    <n v="18.186800000000002"/>
    <n v="0"/>
    <n v="2.2111331921119901E-2"/>
    <n v="0.97232736682277998"/>
    <x v="0"/>
    <m/>
    <s v="RLE not adjusted"/>
    <x v="2"/>
  </r>
  <r>
    <s v="AZa2"/>
    <x v="1"/>
    <s v="Cape Lowland Alluvial Vegetation"/>
    <s v="T3.2"/>
    <n v="350.79599999999999"/>
    <n v="116.1724"/>
    <n v="0.8"/>
    <n v="0.810900222588813"/>
    <n v="0.33116797226878297"/>
    <x v="2"/>
    <s v="B1i_rod, B1i_inv"/>
    <s v="RLE not adjusted"/>
    <x v="3"/>
  </r>
  <r>
    <s v="AZa3"/>
    <x v="1"/>
    <s v="Lower Gariep Alluvial Vegetation"/>
    <s v="T5.2"/>
    <n v="867.58720000000005"/>
    <n v="530.98360000000002"/>
    <n v="0.3"/>
    <n v="0.32869547427463602"/>
    <n v="0.61202332169031504"/>
    <x v="0"/>
    <m/>
    <s v="RLE not adjusted"/>
    <x v="0"/>
  </r>
  <r>
    <s v="AZa4"/>
    <x v="1"/>
    <s v="Upper Gariep Alluvial Vegetation"/>
    <s v="T5.1"/>
    <n v="1787.3463999999999"/>
    <n v="1248.4128000000001"/>
    <n v="0.3"/>
    <n v="0.26643964013393001"/>
    <n v="0.69847277505915994"/>
    <x v="0"/>
    <m/>
    <s v="RLE not adjusted"/>
    <x v="0"/>
  </r>
  <r>
    <s v="AZa5"/>
    <x v="1"/>
    <s v="Highveld Alluvial Vegetation"/>
    <s v="T4.5"/>
    <n v="3235.1676000000002"/>
    <n v="2106.6480000000001"/>
    <n v="0.2"/>
    <n v="0.24364901577722101"/>
    <n v="0.65117120980069199"/>
    <x v="0"/>
    <m/>
    <s v="RLE not adjusted"/>
    <x v="0"/>
  </r>
  <r>
    <s v="AZa6"/>
    <x v="1"/>
    <s v="Albany Alluvial Vegetation"/>
    <s v="T4.1"/>
    <n v="653.40639999999996"/>
    <n v="286.02960000000002"/>
    <n v="0.5"/>
    <n v="0.48977032314669999"/>
    <n v="0.43775145147032501"/>
    <x v="2"/>
    <s v="B1i_rod"/>
    <s v="RLE not adjusted"/>
    <x v="0"/>
  </r>
  <r>
    <s v="AZa7"/>
    <x v="1"/>
    <s v="Subtropical Alluvial Vegetation"/>
    <s v="T3.1"/>
    <n v="1274.7652"/>
    <n v="859.36440000000005"/>
    <n v="0.3"/>
    <n v="0.31563835106850402"/>
    <n v="0.67413544078548704"/>
    <x v="0"/>
    <m/>
    <s v="RLE not adjusted"/>
    <x v="2"/>
  </r>
  <r>
    <s v="AZd1"/>
    <x v="1"/>
    <s v="Namib Seashore Vegetation"/>
    <s v="MT2.1"/>
    <n v="6.4404000000000003"/>
    <n v="0.31719999999999998"/>
    <n v="1.5"/>
    <n v="1.4935813034891401"/>
    <n v="4.9251599279547899E-2"/>
    <x v="1"/>
    <s v="A3_nat, B1i_rod, B2i_rod"/>
    <s v="RLE not adjusted"/>
    <x v="3"/>
  </r>
  <r>
    <s v="AZd2"/>
    <x v="1"/>
    <s v="Namaqualand Seashore Vegetation"/>
    <s v="MT2.1"/>
    <n v="13.215999999999999"/>
    <n v="9.5167999999999999"/>
    <n v="0.4"/>
    <n v="0.40534238056917099"/>
    <n v="0.72009685230024201"/>
    <x v="1"/>
    <s v="B2i_rod"/>
    <s v="RLE not adjusted"/>
    <x v="0"/>
  </r>
  <r>
    <s v="AZd3"/>
    <x v="1"/>
    <s v="Cape Seashore Vegetation"/>
    <s v="MT2.1"/>
    <n v="220.1216"/>
    <n v="215.21719999999999"/>
    <n v="0"/>
    <n v="2.24312784052643E-2"/>
    <n v="0.97771958771878797"/>
    <x v="0"/>
    <m/>
    <s v="RLE not adjusted"/>
    <x v="2"/>
  </r>
  <r>
    <s v="AZd4"/>
    <x v="1"/>
    <s v="Subtropical Seashore Vegetation"/>
    <s v="MT2.1"/>
    <n v="28.078800000000001"/>
    <n v="26.27"/>
    <n v="0.1"/>
    <n v="6.2440310979795098E-2"/>
    <n v="0.93558129264783396"/>
    <x v="0"/>
    <m/>
    <s v="RLE not adjusted"/>
    <x v="2"/>
  </r>
  <r>
    <s v="AZi1"/>
    <x v="1"/>
    <s v="Namaqualand Riviere"/>
    <s v="T5.2"/>
    <n v="1363.9048"/>
    <n v="1200.1276"/>
    <n v="0.1"/>
    <n v="7.1700140843923593E-2"/>
    <n v="0.87992035807777802"/>
    <x v="0"/>
    <m/>
    <s v="RLE not adjusted"/>
    <x v="0"/>
  </r>
  <r>
    <s v="AZi3"/>
    <x v="1"/>
    <s v="Southern Kalahari Mekgacha"/>
    <s v="T5.2"/>
    <n v="1919.2855999999999"/>
    <n v="1914.6164000000001"/>
    <n v="0"/>
    <n v="3.0426838253249599E-3"/>
    <n v="0.99756721980303498"/>
    <x v="0"/>
    <m/>
    <s v="RLE not adjusted"/>
    <x v="1"/>
  </r>
  <r>
    <s v="AZi5"/>
    <x v="1"/>
    <s v="Bushmanland Vloere"/>
    <s v="T5.1"/>
    <n v="5176.9952000000003"/>
    <n v="4815.0392000000002"/>
    <n v="0"/>
    <n v="3.6984060934340299E-2"/>
    <n v="0.930083767510544"/>
    <x v="0"/>
    <m/>
    <s v="RLE not adjusted"/>
    <x v="0"/>
  </r>
  <r>
    <s v="AZi6"/>
    <x v="1"/>
    <s v="Southern Karoo Riviere"/>
    <s v="T5.2"/>
    <n v="5302.9359999999997"/>
    <n v="4534.9768000000004"/>
    <n v="0.1"/>
    <n v="9.6192739207511396E-2"/>
    <n v="0.85518226129827002"/>
    <x v="0"/>
    <m/>
    <s v="RLE not adjusted"/>
    <x v="0"/>
  </r>
  <r>
    <s v="AZi7"/>
    <x v="1"/>
    <s v="Tanqua Wash Riviere"/>
    <s v="T5.2"/>
    <n v="2130.1055999999999"/>
    <n v="1983.6596"/>
    <n v="0"/>
    <n v="2.7559459577760299E-2"/>
    <n v="0.93124941786923598"/>
    <x v="0"/>
    <m/>
    <s v="RLE not adjusted"/>
    <x v="1"/>
  </r>
  <r>
    <s v="AZi8"/>
    <x v="1"/>
    <s v="Muscadel Riviere"/>
    <s v="T5.2"/>
    <n v="407.17919999999998"/>
    <n v="143.76679999999999"/>
    <n v="0.7"/>
    <n v="0.65560286167193205"/>
    <n v="0.35307992156770301"/>
    <x v="2"/>
    <s v="B1i_rod"/>
    <s v="RLE not adjusted"/>
    <x v="3"/>
  </r>
  <r>
    <s v="AZs3"/>
    <x v="1"/>
    <s v="Subtropical Dune Thicket"/>
    <s v="MT2.1"/>
    <n v="12.9664"/>
    <n v="11.972"/>
    <n v="0"/>
    <n v="2.6604995527876301E-2"/>
    <n v="0.92330947680157904"/>
    <x v="0"/>
    <m/>
    <s v="RLE not adjusted"/>
    <x v="2"/>
  </r>
  <r>
    <s v="CB1"/>
    <x v="2"/>
    <s v="Maputaland Coastal Belt"/>
    <s v="T4.2"/>
    <n v="2355.4843999999998"/>
    <n v="832.548"/>
    <n v="0.6"/>
    <n v="0.64550006804606397"/>
    <n v="0.35345086556293898"/>
    <x v="2"/>
    <s v="B1i_rod"/>
    <s v="RLE not adjusted"/>
    <x v="1"/>
  </r>
  <r>
    <s v="CB2"/>
    <x v="2"/>
    <s v="Maputaland Wooded Grassland"/>
    <s v="T4.2"/>
    <n v="1122.1012000000001"/>
    <n v="401.05160000000001"/>
    <n v="0.6"/>
    <n v="0.62493566747044105"/>
    <n v="0.35741125666740198"/>
    <x v="2"/>
    <s v="B1i_rod"/>
    <s v="RLE not adjusted"/>
    <x v="1"/>
  </r>
  <r>
    <s v="CB3"/>
    <x v="2"/>
    <s v="KwaZulu-Natal Coastal Belt Grassland"/>
    <s v="T4.2"/>
    <n v="4141.8068000000003"/>
    <n v="672.31399999999996"/>
    <n v="1.3"/>
    <n v="1.25774061909311"/>
    <n v="0.16232384378720899"/>
    <x v="2"/>
    <s v="A3_nat, A3_kzn, A2b, B1i_rod"/>
    <s v="RLE not adjusted"/>
    <x v="3"/>
  </r>
  <r>
    <s v="CB4"/>
    <x v="2"/>
    <s v="Pondoland-Ugu Sandstone Coastal Sourveld"/>
    <s v="T4.2"/>
    <n v="1299.9023999999999"/>
    <n v="641.09040000000005"/>
    <n v="0.3"/>
    <n v="0.295742388543145"/>
    <n v="0.49318348823727098"/>
    <x v="3"/>
    <s v="A3_nat"/>
    <s v="RLE not adjusted"/>
    <x v="0"/>
  </r>
  <r>
    <s v="CB5"/>
    <x v="2"/>
    <s v="Transkei Coastal Belt"/>
    <s v="T4.2"/>
    <n v="1650.386"/>
    <n v="899.23320000000001"/>
    <n v="0.4"/>
    <n v="0.36168687842500502"/>
    <n v="0.54486235341307998"/>
    <x v="2"/>
    <s v="B1i_rod"/>
    <s v="RLE not adjusted"/>
    <x v="0"/>
  </r>
  <r>
    <s v="CB6"/>
    <x v="2"/>
    <s v="KwaZulu-Natal Coastal Belt Thornveld"/>
    <s v="T4.2"/>
    <n v="1121.1792"/>
    <n v="411.51119999999997"/>
    <n v="0.5"/>
    <n v="0.46407362191690099"/>
    <n v="0.36703427962273999"/>
    <x v="2"/>
    <s v="B1i_rod, B1i_inv"/>
    <s v="RLE not adjusted"/>
    <x v="3"/>
  </r>
  <r>
    <s v="Dg1"/>
    <x v="3"/>
    <s v="Noms Mountain Desert"/>
    <s v="T5.5"/>
    <n v="335.9332"/>
    <n v="332.89760000000001"/>
    <n v="0"/>
    <n v="2.5581328140548198E-2"/>
    <n v="0.99096367968393695"/>
    <x v="0"/>
    <m/>
    <s v="RLE not adjusted"/>
    <x v="2"/>
  </r>
  <r>
    <s v="Dg10"/>
    <x v="3"/>
    <s v="Eastern Gariep Rocky Desert"/>
    <s v="T5.5"/>
    <n v="2094.6480000000001"/>
    <n v="2084.2795999999998"/>
    <n v="0"/>
    <n v="1.1159916081734099E-2"/>
    <n v="0.99505005136901303"/>
    <x v="0"/>
    <m/>
    <s v="RLE not adjusted"/>
    <x v="3"/>
  </r>
  <r>
    <s v="Dg2"/>
    <x v="3"/>
    <s v="Richtersberg Mountain Desert"/>
    <s v="T5.5"/>
    <n v="361.43"/>
    <n v="361.39319999999998"/>
    <n v="0"/>
    <n v="2.9743162946055E-4"/>
    <n v="0.99989818222062399"/>
    <x v="0"/>
    <m/>
    <s v="RLE not adjusted"/>
    <x v="2"/>
  </r>
  <r>
    <s v="Dg3"/>
    <x v="3"/>
    <s v="Richtersveld Sheet Wash Desert"/>
    <s v="T5.5"/>
    <n v="160.0684"/>
    <n v="156.46879999999999"/>
    <n v="0.1"/>
    <n v="6.3105221499171193E-2"/>
    <n v="0.97751211357144796"/>
    <x v="0"/>
    <m/>
    <s v="RLE not adjusted"/>
    <x v="2"/>
  </r>
  <r>
    <s v="Dg4"/>
    <x v="3"/>
    <s v="Kwaggarug Mountain Desert"/>
    <s v="T5.5"/>
    <n v="107.7996"/>
    <n v="107.19280000000001"/>
    <n v="0"/>
    <n v="9.5098586309521095E-3"/>
    <n v="0.99437103662722304"/>
    <x v="0"/>
    <m/>
    <s v="RLE not adjusted"/>
    <x v="2"/>
  </r>
  <r>
    <s v="Dg5"/>
    <x v="3"/>
    <s v="Kahams Mountain Desert"/>
    <s v="T5.5"/>
    <n v="592.28599999999994"/>
    <n v="591.93439999999998"/>
    <n v="0"/>
    <n v="1.85510040757317E-3"/>
    <n v="0.99940636786957704"/>
    <x v="0"/>
    <m/>
    <s v="RLE not adjusted"/>
    <x v="2"/>
  </r>
  <r>
    <s v="Dg6"/>
    <x v="3"/>
    <s v="Helskloof Canyon Desert"/>
    <s v="T5.5"/>
    <n v="8.2235999999999994"/>
    <n v="8.1067999999999998"/>
    <n v="0"/>
    <n v="4.4384454496813899E-2"/>
    <n v="0.98579697456102"/>
    <x v="0"/>
    <m/>
    <s v="RLE not adjusted"/>
    <x v="2"/>
  </r>
  <r>
    <s v="Dg7"/>
    <x v="3"/>
    <s v="Northern Nababiepsberge Mountain Desert"/>
    <s v="T5.5"/>
    <n v="247.00479999999999"/>
    <n v="244.04519999999999"/>
    <n v="0"/>
    <n v="2.4892806969619999E-2"/>
    <n v="0.98801804661285897"/>
    <x v="0"/>
    <m/>
    <s v="RLE not adjusted"/>
    <x v="3"/>
  </r>
  <r>
    <s v="Dg8"/>
    <x v="3"/>
    <s v="Southern Nababiepsberge Mountain Desert"/>
    <s v="T5.5"/>
    <n v="343.19920000000002"/>
    <n v="342.92439999999999"/>
    <n v="0"/>
    <n v="2.36025264610566E-3"/>
    <n v="0.99919929883286396"/>
    <x v="0"/>
    <m/>
    <s v="RLE not adjusted"/>
    <x v="3"/>
  </r>
  <r>
    <s v="Dg9"/>
    <x v="3"/>
    <s v="Eastern Gariep Plains Desert"/>
    <s v="T5.5"/>
    <n v="1217.99"/>
    <n v="1198.2608"/>
    <n v="0"/>
    <n v="3.2934937705610803E-2"/>
    <n v="0.98380183745350902"/>
    <x v="0"/>
    <m/>
    <s v="RLE not adjusted"/>
    <x v="0"/>
  </r>
  <r>
    <s v="Dn1"/>
    <x v="3"/>
    <s v="Alexander Bay Coastal Duneveld"/>
    <s v="MT2.1"/>
    <n v="17.0928"/>
    <n v="1.3532"/>
    <n v="1.2"/>
    <n v="1.21430507861919"/>
    <n v="7.91678367499766E-2"/>
    <x v="1"/>
    <s v="A3_nat, B1i_rod, B2i_rod"/>
    <s v="RLE not adjusted"/>
    <x v="3"/>
  </r>
  <r>
    <s v="Dn2"/>
    <x v="3"/>
    <s v="Namib Lichen Fields"/>
    <s v="T5.5"/>
    <n v="1.5427999999999999"/>
    <n v="1.01"/>
    <n v="0.6"/>
    <n v="0.59676385773790397"/>
    <n v="0.654653876069484"/>
    <x v="1"/>
    <s v="B1i_rod, B2i_rod"/>
    <s v="RLE not adjusted"/>
    <x v="2"/>
  </r>
  <r>
    <s v="Dn3"/>
    <x v="3"/>
    <s v="Western Gariep Plains Desert"/>
    <s v="T5.5"/>
    <n v="139.92240000000001"/>
    <n v="122.5984"/>
    <n v="0.1"/>
    <n v="0.11990156090673799"/>
    <n v="0.87618851592025304"/>
    <x v="0"/>
    <m/>
    <s v="RLE not adjusted"/>
    <x v="0"/>
  </r>
  <r>
    <s v="Dn4"/>
    <x v="3"/>
    <s v="Western Gariep Lowland Desert"/>
    <s v="T5.5"/>
    <n v="217.01480000000001"/>
    <n v="194.7612"/>
    <n v="0.1"/>
    <n v="9.8568206364455402E-2"/>
    <n v="0.89745584172139403"/>
    <x v="1"/>
    <s v="B1iii_sp"/>
    <s v="RLE not adjusted"/>
    <x v="3"/>
  </r>
  <r>
    <s v="Dn5"/>
    <x v="3"/>
    <s v="Western Gariep Hills Desert"/>
    <s v="T5.5"/>
    <n v="418.2756"/>
    <n v="384.40440000000001"/>
    <n v="0.1"/>
    <n v="6.2885739135577406E-2"/>
    <n v="0.919021812412677"/>
    <x v="0"/>
    <m/>
    <s v="RLE not adjusted"/>
    <x v="0"/>
  </r>
  <r>
    <s v="FFa1"/>
    <x v="4"/>
    <s v="Kouebokkeveld Alluvium Fynbos"/>
    <s v="T3.2"/>
    <n v="180.0652"/>
    <n v="52.962800000000001"/>
    <n v="0.8"/>
    <n v="0.83019402910575202"/>
    <n v="0.29413123690752002"/>
    <x v="1"/>
    <s v="B1i_rod"/>
    <s v="RLE not adjusted"/>
    <x v="0"/>
  </r>
  <r>
    <s v="FFa2"/>
    <x v="4"/>
    <s v="Breede Alluvium Fynbos"/>
    <s v="T3.2"/>
    <n v="501.64960000000002"/>
    <n v="168.94800000000001"/>
    <n v="0.9"/>
    <n v="0.87895128450780002"/>
    <n v="0.336784879326127"/>
    <x v="2"/>
    <s v="B1i_rod, B1iii_sp, B2i_rod, B2iii_sp"/>
    <s v="RLE not adjusted"/>
    <x v="0"/>
  </r>
  <r>
    <s v="FFa3"/>
    <x v="4"/>
    <s v="Swartland Alluvium Fynbos"/>
    <s v="T3.2"/>
    <n v="477.154"/>
    <n v="136.99959999999999"/>
    <n v="0.9"/>
    <n v="0.867968056413707"/>
    <n v="0.28711820502395502"/>
    <x v="2"/>
    <s v="A3_nat, B1i_rod, B1iii_sp"/>
    <s v="RLE not adjusted"/>
    <x v="0"/>
  </r>
  <r>
    <s v="FFa4"/>
    <x v="4"/>
    <s v="Lourensford Alluvium Fynbos"/>
    <s v="T3.2"/>
    <n v="35.839199999999998"/>
    <n v="5.1219999999999999"/>
    <n v="1.9"/>
    <n v="1.9039690894666199"/>
    <n v="0.14291613652090401"/>
    <x v="1"/>
    <s v="A3_coct, A2b, B1i_rod, B1iii_sp"/>
    <s v="RLE not adjusted"/>
    <x v="0"/>
  </r>
  <r>
    <s v="FFb1"/>
    <x v="4"/>
    <s v="Northern Inland Shale Band Vegetation"/>
    <s v="T3.2"/>
    <n v="279.06880000000001"/>
    <n v="258.22519999999997"/>
    <n v="0.1"/>
    <n v="6.4276042298823305E-2"/>
    <n v="0.92531017440860497"/>
    <x v="0"/>
    <m/>
    <s v="RLE not adjusted"/>
    <x v="2"/>
  </r>
  <r>
    <s v="FFb2"/>
    <x v="4"/>
    <s v="Western Coastal Shale Band Vegetation"/>
    <s v="T3.2"/>
    <n v="134.5308"/>
    <n v="128.20679999999999"/>
    <n v="0"/>
    <n v="2.62102138428605E-2"/>
    <n v="0.952992177256063"/>
    <x v="2"/>
    <s v="B1iii_sp"/>
    <s v="RLE not adjusted"/>
    <x v="2"/>
  </r>
  <r>
    <s v="FFb3"/>
    <x v="4"/>
    <s v="Central Inland Shale Band Vegetation"/>
    <s v="T3.2"/>
    <n v="97.877600000000001"/>
    <n v="97.706800000000001"/>
    <n v="0"/>
    <n v="3.37380536619065E-3"/>
    <n v="0.99825496334196995"/>
    <x v="0"/>
    <m/>
    <s v="RLE not adjusted"/>
    <x v="2"/>
  </r>
  <r>
    <s v="FFb4"/>
    <x v="4"/>
    <s v="Central Coastal Shale Band Vegetation"/>
    <s v="T3.2"/>
    <n v="61.962400000000002"/>
    <n v="54.056800000000003"/>
    <n v="0.1"/>
    <n v="7.8472728190848301E-2"/>
    <n v="0.87241294720669305"/>
    <x v="0"/>
    <m/>
    <s v="RLE not adjusted"/>
    <x v="2"/>
  </r>
  <r>
    <s v="FFb5"/>
    <x v="4"/>
    <s v="Eastern Inland Shale Band Vegetation"/>
    <s v="T3.2"/>
    <n v="108.3896"/>
    <n v="95.825599999999994"/>
    <n v="0.1"/>
    <n v="5.0273429959627303E-2"/>
    <n v="0.884084819945825"/>
    <x v="0"/>
    <m/>
    <s v="RLE not adjusted"/>
    <x v="2"/>
  </r>
  <r>
    <s v="FFb6"/>
    <x v="4"/>
    <s v="Eastern Coastal Shale Band Vegetation"/>
    <s v="T3.2"/>
    <n v="78.044399999999996"/>
    <n v="29.268000000000001"/>
    <n v="0.5"/>
    <n v="0.47667651146629603"/>
    <n v="0.37501729784584198"/>
    <x v="2"/>
    <s v="B1i_rod, B2i_rod"/>
    <s v="RLE not adjusted"/>
    <x v="0"/>
  </r>
  <r>
    <s v="FFc1"/>
    <x v="4"/>
    <s v="Swellendam Silcrete Fynbos"/>
    <s v="T3.2"/>
    <n v="869.16480000000001"/>
    <n v="388.6148"/>
    <n v="0.6"/>
    <n v="0.55428052019749097"/>
    <n v="0.447112906551209"/>
    <x v="2"/>
    <s v="B1i_rod, B1iii_sp"/>
    <s v="RLE not adjusted"/>
    <x v="0"/>
  </r>
  <r>
    <s v="FFd1"/>
    <x v="4"/>
    <s v="Namaqualand Sand Fynbos"/>
    <s v="T3.2"/>
    <n v="1300.9767999999999"/>
    <n v="1106.6751999999999"/>
    <n v="0.1"/>
    <n v="5.6699537300901097E-2"/>
    <n v="0.85064945047444396"/>
    <x v="0"/>
    <m/>
    <s v="RLE not adjusted"/>
    <x v="0"/>
  </r>
  <r>
    <s v="FFd10"/>
    <x v="4"/>
    <s v="Knysna Sand Fynbos"/>
    <s v="T3.2"/>
    <n v="151.6788"/>
    <n v="29.776"/>
    <n v="0.7"/>
    <n v="0.668766102124425"/>
    <n v="0.19630956995967799"/>
    <x v="1"/>
    <s v="B1i_rod"/>
    <s v="RLE not adjusted"/>
    <x v="0"/>
  </r>
  <r>
    <s v="FFd11"/>
    <x v="4"/>
    <s v="Southern Cape Dune Fynbos"/>
    <s v="T3.2"/>
    <n v="76.61"/>
    <n v="60.018799999999999"/>
    <n v="0.2"/>
    <n v="0.241095755607629"/>
    <n v="0.78343297219684105"/>
    <x v="1"/>
    <s v="B1i_inv"/>
    <s v="RLE not adjusted"/>
    <x v="0"/>
  </r>
  <r>
    <s v="FFd2"/>
    <x v="4"/>
    <s v="Leipoldtville Sand Fynbos"/>
    <s v="T3.2"/>
    <n v="2055.6608000000001"/>
    <n v="756.9556"/>
    <n v="0.8"/>
    <n v="0.82335673099564299"/>
    <n v="0.36822981690364498"/>
    <x v="2"/>
    <s v="B1i_rod"/>
    <s v="RLE not adjusted"/>
    <x v="3"/>
  </r>
  <r>
    <s v="FFd3"/>
    <x v="4"/>
    <s v="Hopefield Sand Fynbos"/>
    <s v="T3.2"/>
    <n v="1009.5924"/>
    <n v="638.29679999999996"/>
    <n v="0.3"/>
    <n v="0.29920706338619601"/>
    <n v="0.63223217607422599"/>
    <x v="2"/>
    <s v="B1iii_sp"/>
    <s v="RLE not adjusted"/>
    <x v="0"/>
  </r>
  <r>
    <s v="FFd4"/>
    <x v="4"/>
    <s v="Atlantis Sand Fynbos"/>
    <s v="T3.2"/>
    <n v="689.04359999999997"/>
    <n v="330.84399999999999"/>
    <n v="0.4"/>
    <n v="0.352681209784937"/>
    <n v="0.48014958705080502"/>
    <x v="2"/>
    <s v="B1i_rod, B1i_inv, B1iii_sp"/>
    <s v="RLE not adjusted"/>
    <x v="0"/>
  </r>
  <r>
    <s v="FFd5"/>
    <x v="4"/>
    <s v="Cape Flats Sand Fynbos"/>
    <s v="T3.2"/>
    <n v="556.93359999999996"/>
    <n v="88.866"/>
    <n v="1.5"/>
    <n v="1.5127384374941899"/>
    <n v="0.15956300715201999"/>
    <x v="1"/>
    <s v="A3_nat, A3_wc, B1i_rod, B1i_inv, B1iii_sp"/>
    <s v="RLE not adjusted"/>
    <x v="3"/>
  </r>
  <r>
    <s v="FFd6"/>
    <x v="4"/>
    <s v="Hangklip Sand Fynbos"/>
    <s v="T3.2"/>
    <n v="88.580799999999996"/>
    <n v="51.416800000000002"/>
    <n v="0.5"/>
    <n v="0.45663000949919902"/>
    <n v="0.58045084262052304"/>
    <x v="1"/>
    <s v="B1i_rod, B1iii_sp"/>
    <s v="RLE not adjusted"/>
    <x v="1"/>
  </r>
  <r>
    <s v="FFd7"/>
    <x v="4"/>
    <s v="Agulhas Sand Fynbos"/>
    <s v="T3.2"/>
    <n v="247.44479999999999"/>
    <n v="119.5484"/>
    <n v="0.3"/>
    <n v="0.31655192477703098"/>
    <n v="0.48313159136906503"/>
    <x v="1"/>
    <s v="B1iii_sp"/>
    <s v="RLE not adjusted"/>
    <x v="0"/>
  </r>
  <r>
    <s v="FFd8"/>
    <x v="4"/>
    <s v="Breede Sand Fynbos"/>
    <s v="T3.2"/>
    <n v="97.686000000000007"/>
    <n v="43.419199999999996"/>
    <n v="0.2"/>
    <n v="0.23668396583874801"/>
    <n v="0.44447720246504102"/>
    <x v="1"/>
    <s v="B1iii_sp"/>
    <s v="RLE not adjusted"/>
    <x v="0"/>
  </r>
  <r>
    <s v="FFd9"/>
    <x v="4"/>
    <s v="Albertinia Sand Fynbos"/>
    <s v="T3.2"/>
    <n v="517.29"/>
    <n v="264.14319999999998"/>
    <n v="0.3"/>
    <n v="0.33262800736109999"/>
    <n v="0.51062885422103699"/>
    <x v="2"/>
    <s v="B1iii_sp"/>
    <s v="RLE not adjusted"/>
    <x v="0"/>
  </r>
  <r>
    <s v="FFf1"/>
    <x v="4"/>
    <s v="Elim Ferricrete Fynbos"/>
    <s v="T3.2"/>
    <n v="694.00160000000005"/>
    <n v="233.50720000000001"/>
    <n v="0.5"/>
    <n v="0.52611774979841697"/>
    <n v="0.33646493034021802"/>
    <x v="2"/>
    <s v="B1i_rod, B1iii_sp"/>
    <s v="RLE not adjusted"/>
    <x v="0"/>
  </r>
  <r>
    <s v="FFf2"/>
    <x v="4"/>
    <s v="Potberg Ferricrete Fynbos"/>
    <s v="T3.2"/>
    <n v="40.588000000000001"/>
    <n v="19.376000000000001"/>
    <n v="0.3"/>
    <n v="0.25794064169097303"/>
    <n v="0.47738247757958002"/>
    <x v="1"/>
    <s v="B1iii_sp"/>
    <s v="RLE not adjusted"/>
    <x v="0"/>
  </r>
  <r>
    <s v="FFg1"/>
    <x v="4"/>
    <s v="Kamiesberg Granite Fynbos"/>
    <s v="T3.2"/>
    <n v="64.817599999999999"/>
    <n v="64.022400000000005"/>
    <n v="0"/>
    <n v="6.8380743982494304E-3"/>
    <n v="0.98773172718520896"/>
    <x v="0"/>
    <m/>
    <s v="RLE not adjusted"/>
    <x v="3"/>
  </r>
  <r>
    <s v="FFg2"/>
    <x v="4"/>
    <s v="Boland Granite Fynbos"/>
    <s v="T3.2"/>
    <n v="523.98919999999998"/>
    <n v="279.56720000000001"/>
    <n v="0.4"/>
    <n v="0.422116895813481"/>
    <n v="0.53353618738706798"/>
    <x v="2"/>
    <s v="B1i_rod, B1iii_sp"/>
    <s v="RLE not adjusted"/>
    <x v="1"/>
  </r>
  <r>
    <s v="FFg3"/>
    <x v="4"/>
    <s v="Peninsula Granite Fynbos"/>
    <s v="T3.2"/>
    <n v="91.795599999999993"/>
    <n v="31.213200000000001"/>
    <n v="0.5"/>
    <n v="0.53302375637755095"/>
    <n v="0.34002936959941399"/>
    <x v="1"/>
    <s v="B1i_rod, B1iii_sp"/>
    <s v="RLE not adjusted"/>
    <x v="1"/>
  </r>
  <r>
    <s v="FFg4"/>
    <x v="4"/>
    <s v="Robertson Granite Fynbos"/>
    <s v="T3.2"/>
    <n v="16.934000000000001"/>
    <n v="14.134399999999999"/>
    <n v="0.1"/>
    <n v="0.12652062345561699"/>
    <n v="0.83467580016534804"/>
    <x v="0"/>
    <m/>
    <s v="RLE not adjusted"/>
    <x v="2"/>
  </r>
  <r>
    <s v="FFg5"/>
    <x v="4"/>
    <s v="Garden Route Granite Fynbos"/>
    <s v="T3.2"/>
    <n v="498.22239999999999"/>
    <n v="177.678"/>
    <n v="0.8"/>
    <n v="0.76469125411278605"/>
    <n v="0.35662386917970801"/>
    <x v="1"/>
    <s v="B1i_rod, B1i_inv"/>
    <s v="RLE not adjusted"/>
    <x v="3"/>
  </r>
  <r>
    <s v="FFh1"/>
    <x v="4"/>
    <s v="Kouebokkeveld Shale Fynbos"/>
    <s v="T3.2"/>
    <n v="427.97719999999998"/>
    <n v="198.7996"/>
    <n v="0.4"/>
    <n v="0.41799130618170899"/>
    <n v="0.46450979164310602"/>
    <x v="1"/>
    <s v="B1i_rod"/>
    <s v="RLE not adjusted"/>
    <x v="1"/>
  </r>
  <r>
    <s v="FFh10"/>
    <x v="4"/>
    <s v="Suurberg Shale Fynbos"/>
    <s v="T3.2"/>
    <n v="283.26760000000002"/>
    <n v="277.94839999999999"/>
    <n v="0"/>
    <n v="1.1626910845833499E-2"/>
    <n v="0.98122199644435104"/>
    <x v="0"/>
    <m/>
    <s v="RLE not adjusted"/>
    <x v="2"/>
  </r>
  <r>
    <s v="FFh11"/>
    <x v="4"/>
    <s v="Peninsula Shale Fynbos"/>
    <s v="T3.2"/>
    <n v="12.629200000000001"/>
    <n v="5.3667999999999996"/>
    <n v="0.4"/>
    <n v="0.38871304574822202"/>
    <n v="0.42495169923669002"/>
    <x v="1"/>
    <s v="B1i_rod, B2i_rod"/>
    <s v="RLE not adjusted"/>
    <x v="2"/>
  </r>
  <r>
    <s v="FFh2"/>
    <x v="4"/>
    <s v="Matjiesfontein Shale Fynbos"/>
    <s v="T3.2"/>
    <n v="106.53400000000001"/>
    <n v="101.2808"/>
    <n v="0"/>
    <n v="2.36032556079472E-2"/>
    <n v="0.95068992058873203"/>
    <x v="0"/>
    <m/>
    <s v="RLE not adjusted"/>
    <x v="2"/>
  </r>
  <r>
    <s v="FFh3"/>
    <x v="4"/>
    <s v="Swartberg Shale Fynbos"/>
    <s v="T3.2"/>
    <n v="75.126800000000003"/>
    <n v="63.685200000000002"/>
    <n v="0.1"/>
    <n v="9.4855569833796893E-2"/>
    <n v="0.84770281710388296"/>
    <x v="0"/>
    <m/>
    <s v="RLE not adjusted"/>
    <x v="0"/>
  </r>
  <r>
    <s v="FFh4"/>
    <x v="4"/>
    <s v="Breede Shale Fynbos"/>
    <s v="T3.2"/>
    <n v="316.87599999999998"/>
    <n v="203.61240000000001"/>
    <n v="0.4"/>
    <n v="0.36732774536912599"/>
    <n v="0.64256175917393599"/>
    <x v="2"/>
    <s v="B1i_rod, B1iii_sp"/>
    <s v="RLE not adjusted"/>
    <x v="1"/>
  </r>
  <r>
    <s v="FFh5"/>
    <x v="4"/>
    <s v="Cape Winelands Shale Fynbos"/>
    <s v="T3.2"/>
    <n v="84.004400000000004"/>
    <n v="35.802799999999998"/>
    <n v="0.4"/>
    <n v="0.44003057326063599"/>
    <n v="0.42620148468413599"/>
    <x v="1"/>
    <s v="B1i_rod, B2i_rod, B1iii_sp, B2iii_sp"/>
    <s v="RLE adjusted"/>
    <x v="1"/>
  </r>
  <r>
    <s v="FFh6"/>
    <x v="4"/>
    <s v="Elgin Shale Fynbos"/>
    <s v="T3.2"/>
    <n v="279.49160000000001"/>
    <n v="67.108000000000004"/>
    <n v="1"/>
    <n v="0.99507414178346498"/>
    <n v="0.24010739499863301"/>
    <x v="1"/>
    <s v="B1i_rod, B1iii_sp"/>
    <s v="RLE not adjusted"/>
    <x v="0"/>
  </r>
  <r>
    <s v="FFh7"/>
    <x v="4"/>
    <s v="Greyton Shale Fynbos"/>
    <s v="T3.2"/>
    <n v="266.61799999999999"/>
    <n v="148.17599999999999"/>
    <n v="0.3"/>
    <n v="0.32626249927470402"/>
    <n v="0.555761426460329"/>
    <x v="1"/>
    <s v="B1iii_sp"/>
    <s v="RLE not adjusted"/>
    <x v="0"/>
  </r>
  <r>
    <s v="FFh8"/>
    <x v="4"/>
    <s v="Montagu Shale Fynbos"/>
    <s v="T3.2"/>
    <n v="186.76759999999999"/>
    <n v="144.44319999999999"/>
    <n v="0.1"/>
    <n v="0.13207213766069201"/>
    <n v="0.77338467699965097"/>
    <x v="0"/>
    <m/>
    <s v="RLE not adjusted"/>
    <x v="0"/>
  </r>
  <r>
    <s v="FFh9"/>
    <x v="4"/>
    <s v="Garden Route Shale Fynbos"/>
    <s v="T3.2"/>
    <n v="563.63919999999996"/>
    <n v="243.76679999999999"/>
    <n v="0.6"/>
    <n v="0.55739560666240695"/>
    <n v="0.432487307483227"/>
    <x v="2"/>
    <s v="B1i_rod, B1i_inv"/>
    <s v="RLE not adjusted"/>
    <x v="0"/>
  </r>
  <r>
    <s v="FFl1"/>
    <x v="4"/>
    <s v="Agulhas Limestone Fynbos"/>
    <s v="T3.2"/>
    <n v="286.9588"/>
    <n v="257.45240000000001"/>
    <n v="0.1"/>
    <n v="8.7179732125865703E-2"/>
    <n v="0.89717548303101402"/>
    <x v="1"/>
    <s v="B1i_inv, B1iii_sp"/>
    <s v="RLE not adjusted"/>
    <x v="0"/>
  </r>
  <r>
    <s v="FFl2"/>
    <x v="4"/>
    <s v="De Hoop Limestone Fynbos"/>
    <s v="T3.2"/>
    <n v="694.2568"/>
    <n v="661.61040000000003"/>
    <n v="0"/>
    <n v="3.2713410037785801E-2"/>
    <n v="0.952976477868132"/>
    <x v="0"/>
    <m/>
    <s v="RLE not adjusted"/>
    <x v="1"/>
  </r>
  <r>
    <s v="FFl3"/>
    <x v="4"/>
    <s v="Canca Limestone Fynbos"/>
    <s v="T3.2"/>
    <n v="791.67359999999996"/>
    <n v="622.36440000000005"/>
    <n v="0.1"/>
    <n v="0.139972419530103"/>
    <n v="0.78613762035263002"/>
    <x v="0"/>
    <m/>
    <s v="RLE not adjusted"/>
    <x v="3"/>
  </r>
  <r>
    <s v="FFq1"/>
    <x v="4"/>
    <s v="Stinkfonteinberge Quartzite Fynbos"/>
    <s v="T3.2"/>
    <n v="49.024000000000001"/>
    <n v="49.024000000000001"/>
    <n v="0"/>
    <n v="0"/>
    <n v="1"/>
    <x v="0"/>
    <m/>
    <s v="RLE not adjusted"/>
    <x v="2"/>
  </r>
  <r>
    <s v="FFq2"/>
    <x v="4"/>
    <s v="Swartruggens Quartzite Fynbos"/>
    <s v="T3.2"/>
    <n v="1646.1872000000001"/>
    <n v="1617.4104"/>
    <n v="0"/>
    <n v="1.29545227292766E-2"/>
    <n v="0.98251912054716495"/>
    <x v="0"/>
    <m/>
    <s v="RLE not adjusted"/>
    <x v="1"/>
  </r>
  <r>
    <s v="FFq3"/>
    <x v="4"/>
    <s v="Matjiesfontein Quartzite Fynbos"/>
    <s v="T3.2"/>
    <n v="1268.0852"/>
    <n v="1249.8040000000001"/>
    <n v="0"/>
    <n v="6.3958877236639997E-3"/>
    <n v="0.98558361851396104"/>
    <x v="0"/>
    <m/>
    <s v="RLE not adjusted"/>
    <x v="0"/>
  </r>
  <r>
    <s v="FFq4"/>
    <x v="4"/>
    <s v="Breede Quartzite Fynbos"/>
    <s v="T3.2"/>
    <n v="97.855999999999995"/>
    <n v="91.320800000000006"/>
    <n v="0"/>
    <n v="4.91485233886612E-2"/>
    <n v="0.93321615434924798"/>
    <x v="0"/>
    <m/>
    <s v="RLE not adjusted"/>
    <x v="0"/>
  </r>
  <r>
    <s v="FFq5"/>
    <x v="4"/>
    <s v="Grootrivier Quartzite Fynbos"/>
    <s v="T3.2"/>
    <n v="388.81079999999997"/>
    <n v="388.31599999999997"/>
    <n v="0"/>
    <n v="1.4736195080967899E-3"/>
    <n v="0.99872740160509899"/>
    <x v="0"/>
    <m/>
    <s v="RLE not adjusted"/>
    <x v="3"/>
  </r>
  <r>
    <s v="FFq6"/>
    <x v="4"/>
    <s v="Suurberg Quartzite Fynbos"/>
    <s v="T3.2"/>
    <n v="683.27760000000001"/>
    <n v="668.57399999999996"/>
    <n v="0"/>
    <n v="2.1532938767652901E-2"/>
    <n v="0.97848078145690698"/>
    <x v="0"/>
    <m/>
    <s v="RLE not adjusted"/>
    <x v="1"/>
  </r>
  <r>
    <s v="FFs1"/>
    <x v="4"/>
    <s v="Bokkeveld Sandstone Fynbos"/>
    <s v="T3.2"/>
    <n v="1014.1516"/>
    <n v="800.52"/>
    <n v="0.2"/>
    <n v="0.17293331435797499"/>
    <n v="0.78934944243050098"/>
    <x v="0"/>
    <m/>
    <s v="RLE not adjusted"/>
    <x v="0"/>
  </r>
  <r>
    <s v="FFs10"/>
    <x v="4"/>
    <s v="Hawequas Sandstone Fynbos"/>
    <s v="T3.2"/>
    <n v="1050.6224"/>
    <n v="1008.654"/>
    <n v="0"/>
    <n v="2.21867265223065E-2"/>
    <n v="0.96005377383920198"/>
    <x v="0"/>
    <m/>
    <s v="RLE not adjusted"/>
    <x v="2"/>
  </r>
  <r>
    <s v="FFs11"/>
    <x v="4"/>
    <s v="Kogelberg Sandstone Fynbos"/>
    <s v="T3.2"/>
    <n v="914.23479999999995"/>
    <n v="763.51959999999997"/>
    <n v="0.1"/>
    <n v="6.6264099549214403E-2"/>
    <n v="0.83514606969675598"/>
    <x v="1"/>
    <s v="B1iii_sp"/>
    <s v="RLE not adjusted"/>
    <x v="2"/>
  </r>
  <r>
    <s v="FFs12"/>
    <x v="4"/>
    <s v="Overberg Sandstone Fynbos"/>
    <s v="T3.2"/>
    <n v="1179.4079999999999"/>
    <n v="1049.864"/>
    <n v="0.1"/>
    <n v="7.1760992991227998E-2"/>
    <n v="0.89016184390813002"/>
    <x v="2"/>
    <s v="B1iii_sp"/>
    <s v="RLE not adjusted"/>
    <x v="0"/>
  </r>
  <r>
    <s v="FFs13"/>
    <x v="4"/>
    <s v="North Sonderend Sandstone Fynbos"/>
    <s v="T3.2"/>
    <n v="531.50400000000002"/>
    <n v="520.87599999999998"/>
    <n v="0"/>
    <n v="1.86093835759178E-2"/>
    <n v="0.98000391342304105"/>
    <x v="0"/>
    <m/>
    <s v="RLE not adjusted"/>
    <x v="2"/>
  </r>
  <r>
    <s v="FFs14"/>
    <x v="4"/>
    <s v="South Sonderend Sandstone Fynbos"/>
    <s v="T3.2"/>
    <n v="358.88279999999997"/>
    <n v="333.10520000000002"/>
    <n v="0.1"/>
    <n v="5.1297095295519499E-2"/>
    <n v="0.92817265135024596"/>
    <x v="1"/>
    <s v="B1iii_sp"/>
    <s v="RLE not adjusted"/>
    <x v="2"/>
  </r>
  <r>
    <s v="FFs15"/>
    <x v="4"/>
    <s v="North Langeberg Sandstone Fynbos"/>
    <s v="T3.2"/>
    <n v="993.57759999999996"/>
    <n v="906.35680000000002"/>
    <n v="0.1"/>
    <n v="6.8567967713043299E-2"/>
    <n v="0.91221541226372305"/>
    <x v="0"/>
    <m/>
    <s v="RLE not adjusted"/>
    <x v="2"/>
  </r>
  <r>
    <s v="FFs16"/>
    <x v="4"/>
    <s v="South Langeberg Sandstone Fynbos"/>
    <s v="T3.2"/>
    <n v="1215.3227999999999"/>
    <n v="1173.3119999999999"/>
    <n v="0"/>
    <n v="2.1103003396628101E-2"/>
    <n v="0.96543239376402701"/>
    <x v="0"/>
    <m/>
    <s v="RLE not adjusted"/>
    <x v="2"/>
  </r>
  <r>
    <s v="FFs17"/>
    <x v="4"/>
    <s v="Potberg Sandstone Fynbos"/>
    <s v="T3.2"/>
    <n v="107.4468"/>
    <n v="100.29600000000001"/>
    <n v="0"/>
    <n v="3.9209257815269002E-2"/>
    <n v="0.933447994728554"/>
    <x v="1"/>
    <s v="B1iii_sp"/>
    <s v="RLE not adjusted"/>
    <x v="2"/>
  </r>
  <r>
    <s v="FFs18"/>
    <x v="4"/>
    <s v="North Outeniqua Sandstone Fynbos"/>
    <s v="T3.2"/>
    <n v="878.80520000000001"/>
    <n v="732.31640000000004"/>
    <n v="0.1"/>
    <n v="8.8077489213796004E-2"/>
    <n v="0.83330913381031402"/>
    <x v="0"/>
    <m/>
    <s v="RLE not adjusted"/>
    <x v="0"/>
  </r>
  <r>
    <s v="FFs19"/>
    <x v="4"/>
    <s v="South Outeniqua Sandstone Fynbos"/>
    <s v="T3.2"/>
    <n v="1571.0644"/>
    <n v="1047.7295999999999"/>
    <n v="0.2"/>
    <n v="0.153444445251182"/>
    <n v="0.66689156727120802"/>
    <x v="0"/>
    <m/>
    <s v="RLE not adjusted"/>
    <x v="2"/>
  </r>
  <r>
    <s v="FFs2"/>
    <x v="4"/>
    <s v="Graafwater Sandstone Fynbos"/>
    <s v="T3.2"/>
    <n v="1343.1468"/>
    <n v="937.77800000000002"/>
    <n v="0.3"/>
    <n v="0.28220426567353901"/>
    <n v="0.698194717062945"/>
    <x v="0"/>
    <m/>
    <s v="RLE not adjusted"/>
    <x v="0"/>
  </r>
  <r>
    <s v="FFs20"/>
    <x v="4"/>
    <s v="Tsitsikamma Sandstone Fynbos"/>
    <s v="T3.2"/>
    <n v="2298.4987999999998"/>
    <n v="1567.7116000000001"/>
    <n v="0.2"/>
    <n v="0.17041730483321099"/>
    <n v="0.68205891601944701"/>
    <x v="0"/>
    <m/>
    <s v="RLE not adjusted"/>
    <x v="2"/>
  </r>
  <r>
    <s v="FFs21"/>
    <x v="4"/>
    <s v="North Rooiberg Sandstone Fynbos"/>
    <s v="T3.2"/>
    <n v="318.33960000000002"/>
    <n v="318.03879999999998"/>
    <n v="0"/>
    <n v="2.0502904028183999E-3"/>
    <n v="0.99905509713525997"/>
    <x v="0"/>
    <m/>
    <s v="RLE not adjusted"/>
    <x v="2"/>
  </r>
  <r>
    <s v="FFs22"/>
    <x v="4"/>
    <s v="South Rooiberg Sandstone Fynbos"/>
    <s v="T3.2"/>
    <n v="388.32560000000001"/>
    <n v="385.3768"/>
    <n v="0"/>
    <n v="3.6965455538816201E-3"/>
    <n v="0.99240637238441098"/>
    <x v="0"/>
    <m/>
    <s v="RLE not adjusted"/>
    <x v="2"/>
  </r>
  <r>
    <s v="FFs23"/>
    <x v="4"/>
    <s v="North Swartberg Sandstone Fynbos"/>
    <s v="T3.2"/>
    <n v="852.19240000000002"/>
    <n v="846.10799999999995"/>
    <n v="0"/>
    <n v="6.4647902606792904E-3"/>
    <n v="0.99286029774496898"/>
    <x v="0"/>
    <m/>
    <s v="RLE not adjusted"/>
    <x v="2"/>
  </r>
  <r>
    <s v="FFs24"/>
    <x v="4"/>
    <s v="South Swartberg Sandstone Fynbos"/>
    <s v="T3.2"/>
    <n v="1084.7883999999999"/>
    <n v="1082.2572"/>
    <n v="0"/>
    <n v="3.71235364236108E-3"/>
    <n v="0.99766664171556396"/>
    <x v="0"/>
    <m/>
    <s v="RLE not adjusted"/>
    <x v="2"/>
  </r>
  <r>
    <s v="FFs25"/>
    <x v="4"/>
    <s v="North Kammanassie Sandstone Fynbos"/>
    <s v="T3.2"/>
    <n v="332.5684"/>
    <n v="330.90519999999998"/>
    <n v="0"/>
    <n v="3.6259816184996099E-3"/>
    <n v="0.99499892352971597"/>
    <x v="0"/>
    <m/>
    <s v="RLE not adjusted"/>
    <x v="2"/>
  </r>
  <r>
    <s v="FFs26"/>
    <x v="4"/>
    <s v="South Kammanassie Sandstone Fynbos"/>
    <s v="T3.2"/>
    <n v="304.18439999999998"/>
    <n v="287.084"/>
    <n v="0"/>
    <n v="3.2271314494366599E-2"/>
    <n v="0.94378278438999497"/>
    <x v="0"/>
    <m/>
    <s v="RLE not adjusted"/>
    <x v="2"/>
  </r>
  <r>
    <s v="FFs27"/>
    <x v="4"/>
    <s v="Kouga Sandstone Fynbos"/>
    <s v="T3.2"/>
    <n v="2402.9412000000002"/>
    <n v="2155.9756000000002"/>
    <n v="0.1"/>
    <n v="5.87123922110903E-2"/>
    <n v="0.897223619121433"/>
    <x v="0"/>
    <m/>
    <s v="RLE not adjusted"/>
    <x v="2"/>
  </r>
  <r>
    <s v="FFs28"/>
    <x v="4"/>
    <s v="Kouga Grassy Sandstone Fynbos"/>
    <s v="T3.2"/>
    <n v="4052.18"/>
    <n v="3696.5036"/>
    <n v="0"/>
    <n v="4.6238102939345403E-2"/>
    <n v="0.91222591296536704"/>
    <x v="0"/>
    <m/>
    <s v="RLE not adjusted"/>
    <x v="2"/>
  </r>
  <r>
    <s v="FFs29"/>
    <x v="4"/>
    <s v="Algoa Sandstone Fynbos"/>
    <s v="T3.2"/>
    <n v="334.19639999999998"/>
    <n v="131.68119999999999"/>
    <n v="0.6"/>
    <n v="0.61709086410242697"/>
    <n v="0.39402339462663299"/>
    <x v="1"/>
    <s v="B1i_rod, B1iii_sp"/>
    <s v="RLE not adjusted"/>
    <x v="0"/>
  </r>
  <r>
    <s v="FFs3"/>
    <x v="4"/>
    <s v="Olifants Sandstone Fynbos"/>
    <s v="T3.2"/>
    <n v="498.23840000000001"/>
    <n v="469.34280000000001"/>
    <n v="0"/>
    <n v="3.1998737237409397E-2"/>
    <n v="0.94200447014923006"/>
    <x v="0"/>
    <m/>
    <s v="RLE not adjusted"/>
    <x v="2"/>
  </r>
  <r>
    <s v="FFs30"/>
    <x v="4"/>
    <s v="Western Altimontane Sandstone Fynbos"/>
    <s v="T3.2"/>
    <n v="37.525199999999998"/>
    <n v="37.480400000000003"/>
    <n v="0"/>
    <n v="3.73082621811435E-3"/>
    <n v="0.99880613561020304"/>
    <x v="0"/>
    <m/>
    <s v="RLE not adjusted"/>
    <x v="2"/>
  </r>
  <r>
    <s v="FFs31"/>
    <x v="4"/>
    <s v="Swartberg Altimontane Sandstone Fynbos"/>
    <s v="T3.2"/>
    <n v="50.834800000000001"/>
    <n v="50.79"/>
    <n v="0"/>
    <n v="2.75401890043842E-3"/>
    <n v="0.99911871395186003"/>
    <x v="0"/>
    <m/>
    <s v="RLE not adjusted"/>
    <x v="2"/>
  </r>
  <r>
    <s v="FFs32"/>
    <x v="4"/>
    <s v="Nardouw Sandstone Fynbos"/>
    <s v="T3.2"/>
    <n v="547.94880000000001"/>
    <n v="354.31279999999998"/>
    <n v="0.4"/>
    <n v="0.44287459437252202"/>
    <n v="0.64661661819498495"/>
    <x v="1"/>
    <s v="B1i_rod"/>
    <s v="RLE not adjusted"/>
    <x v="3"/>
  </r>
  <r>
    <s v="FFs4"/>
    <x v="4"/>
    <s v="Cederberg Sandstone Fynbos"/>
    <s v="T3.2"/>
    <n v="2523.64"/>
    <n v="2232.7588000000001"/>
    <n v="0.1"/>
    <n v="7.0583922325214404E-2"/>
    <n v="0.88473744274143695"/>
    <x v="0"/>
    <m/>
    <s v="RLE not adjusted"/>
    <x v="2"/>
  </r>
  <r>
    <s v="FFs5"/>
    <x v="4"/>
    <s v="Winterhoek Sandstone Fynbos"/>
    <s v="T3.2"/>
    <n v="1135.9860000000001"/>
    <n v="1051.0576000000001"/>
    <n v="0"/>
    <n v="4.3603909371978E-2"/>
    <n v="0.92523816314637697"/>
    <x v="0"/>
    <m/>
    <s v="RLE not adjusted"/>
    <x v="2"/>
  </r>
  <r>
    <s v="FFs6"/>
    <x v="4"/>
    <s v="Piketberg Sandstone Fynbos"/>
    <s v="T3.2"/>
    <n v="422.87639999999999"/>
    <n v="370.70600000000002"/>
    <n v="0.1"/>
    <n v="0.102175837159518"/>
    <n v="0.87662967240545897"/>
    <x v="1"/>
    <s v="B1iii_sp"/>
    <s v="RLE not adjusted"/>
    <x v="0"/>
  </r>
  <r>
    <s v="FFs7"/>
    <x v="4"/>
    <s v="North Hex Sandstone Fynbos"/>
    <s v="T3.2"/>
    <n v="394.07119999999998"/>
    <n v="371.08280000000002"/>
    <n v="0"/>
    <n v="3.9334701388881302E-2"/>
    <n v="0.94166434898059004"/>
    <x v="0"/>
    <m/>
    <s v="RLE not adjusted"/>
    <x v="2"/>
  </r>
  <r>
    <s v="FFs8"/>
    <x v="4"/>
    <s v="South Hex Sandstone Fynbos"/>
    <s v="T3.2"/>
    <n v="319.74639999999999"/>
    <n v="315.73360000000002"/>
    <n v="0"/>
    <n v="1.2386037414429301E-2"/>
    <n v="0.98745005416792797"/>
    <x v="0"/>
    <m/>
    <s v="RLE not adjusted"/>
    <x v="2"/>
  </r>
  <r>
    <s v="FFs9"/>
    <x v="4"/>
    <s v="Peninsula Sandstone Fynbos"/>
    <s v="T3.2"/>
    <n v="219.44640000000001"/>
    <n v="203.27600000000001"/>
    <n v="0"/>
    <n v="4.9766272796631802E-2"/>
    <n v="0.92631275792175205"/>
    <x v="1"/>
    <s v="B1iii_sp"/>
    <s v="RLE not adjusted"/>
    <x v="2"/>
  </r>
  <r>
    <s v="FFt1"/>
    <x v="4"/>
    <s v="Kango Conglomerate Fynbos"/>
    <s v="T3.2"/>
    <n v="404.95440000000002"/>
    <n v="395.74160000000001"/>
    <n v="0"/>
    <n v="1.55855097941994E-2"/>
    <n v="0.97724978417323005"/>
    <x v="0"/>
    <m/>
    <s v="RLE not adjusted"/>
    <x v="0"/>
  </r>
  <r>
    <s v="FFt2"/>
    <x v="4"/>
    <s v="Loerie Conglomerate Fynbos"/>
    <s v="T3.2"/>
    <n v="211.16239999999999"/>
    <n v="181.57079999999999"/>
    <n v="0"/>
    <n v="4.7198288955234299E-2"/>
    <n v="0.85986330899819297"/>
    <x v="0"/>
    <m/>
    <s v="RLE not adjusted"/>
    <x v="0"/>
  </r>
  <r>
    <s v="FOa1"/>
    <x v="5"/>
    <s v="Lowveld Riverine Forest"/>
    <s v="T1.2"/>
    <n v="176.51240000000001"/>
    <n v="133.41679999999999"/>
    <n v="0.3"/>
    <n v="0.34894045282275199"/>
    <n v="0.75584944740426196"/>
    <x v="3"/>
    <s v="B2i_rod"/>
    <s v="RLE adjusted"/>
    <x v="2"/>
  </r>
  <r>
    <s v="FOz1"/>
    <x v="5"/>
    <s v="Southern Afrotemperate Forest"/>
    <s v="T2.4"/>
    <n v="788.08280000000002"/>
    <n v="632.21199999999999"/>
    <n v="0"/>
    <n v="3.4684008136302402E-2"/>
    <n v="0.80221519870754698"/>
    <x v="0"/>
    <m/>
    <s v="RLE not adjusted"/>
    <x v="2"/>
  </r>
  <r>
    <s v="FOz2"/>
    <x v="5"/>
    <s v="Northern Afrotemperate Forest"/>
    <s v="T2.4"/>
    <n v="214.07320000000001"/>
    <n v="182.42080000000001"/>
    <n v="0.1"/>
    <n v="5.1621480574149302E-2"/>
    <n v="0.85214216445589597"/>
    <x v="0"/>
    <m/>
    <s v="RLE not adjusted"/>
    <x v="2"/>
  </r>
  <r>
    <s v="FOz3"/>
    <x v="5"/>
    <s v="Southern Mistbelt Forest"/>
    <s v="T2.4"/>
    <n v="1062.2747999999999"/>
    <n v="884.35119999999995"/>
    <n v="0"/>
    <n v="3.05417904518256E-2"/>
    <n v="0.83250699348228896"/>
    <x v="0"/>
    <m/>
    <s v="RLE not adjusted"/>
    <x v="1"/>
  </r>
  <r>
    <s v="FOz4"/>
    <x v="5"/>
    <s v="Northern Mistbelt Forest"/>
    <s v="T2.4"/>
    <n v="389.35840000000002"/>
    <n v="288.91039999999998"/>
    <n v="0"/>
    <n v="2.87855062682533E-2"/>
    <n v="0.74201660988950002"/>
    <x v="0"/>
    <m/>
    <s v="RLE not adjusted"/>
    <x v="2"/>
  </r>
  <r>
    <s v="FOz5"/>
    <x v="5"/>
    <s v="Scarp Forest"/>
    <s v="T1.2"/>
    <n v="1029.4780000000001"/>
    <n v="946.18640000000005"/>
    <n v="0"/>
    <n v="2.60574312597362E-2"/>
    <n v="0.91909336576400902"/>
    <x v="0"/>
    <m/>
    <s v="RLE not adjusted"/>
    <x v="2"/>
  </r>
  <r>
    <s v="FOz6"/>
    <x v="5"/>
    <s v="Southern Coastal Forest"/>
    <s v="T1.2"/>
    <n v="185.23439999999999"/>
    <n v="150.9288"/>
    <n v="0.1"/>
    <n v="5.34738376257844E-2"/>
    <n v="0.81479897902333498"/>
    <x v="0"/>
    <m/>
    <s v="RLE not adjusted"/>
    <x v="2"/>
  </r>
  <r>
    <s v="FOz7"/>
    <x v="5"/>
    <s v="Northern Coastal Forest"/>
    <s v="T1.2"/>
    <n v="680.32079999999996"/>
    <n v="514.94839999999999"/>
    <n v="0.3"/>
    <n v="0.25290981371195398"/>
    <n v="0.756919970696177"/>
    <x v="0"/>
    <m/>
    <s v="RLE not adjusted"/>
    <x v="2"/>
  </r>
  <r>
    <s v="FOz8"/>
    <x v="5"/>
    <s v="Sand Forest"/>
    <s v="T4.2"/>
    <n v="265.43079999999998"/>
    <n v="244.24520000000001"/>
    <n v="0.1"/>
    <n v="8.8656749548884306E-2"/>
    <n v="0.92018409317984196"/>
    <x v="0"/>
    <m/>
    <s v="RLE not adjusted"/>
    <x v="2"/>
  </r>
  <r>
    <s v="FOz9"/>
    <x v="5"/>
    <s v="Ironwood Dry Forest"/>
    <s v="T4.2"/>
    <n v="81.642799999999994"/>
    <n v="81.260400000000004"/>
    <n v="0"/>
    <n v="4.4603307412152199E-4"/>
    <n v="0.995316182198553"/>
    <x v="0"/>
    <m/>
    <s v="RLE not adjusted"/>
    <x v="2"/>
  </r>
  <r>
    <s v="FRa1"/>
    <x v="4"/>
    <s v="Breede Alluvium Renosterveld"/>
    <s v="T3.2"/>
    <n v="497.67599999999999"/>
    <n v="174.4068"/>
    <n v="0.8"/>
    <n v="0.82312947580216"/>
    <n v="0.350442456537989"/>
    <x v="2"/>
    <s v="B1i_rod"/>
    <s v="RLE not adjusted"/>
    <x v="3"/>
  </r>
  <r>
    <s v="FRa2"/>
    <x v="4"/>
    <s v="Swartland Alluvium Renosterveld"/>
    <s v="T3.2"/>
    <n v="63.072000000000003"/>
    <n v="36.533200000000001"/>
    <n v="0.3"/>
    <n v="0.33146349221885102"/>
    <n v="0.57923008625063399"/>
    <x v="1"/>
    <s v="B1iii_sp"/>
    <s v="RLE not adjusted"/>
    <x v="3"/>
  </r>
  <r>
    <s v="FRc1"/>
    <x v="4"/>
    <s v="Swartland Silcrete Renosterveld"/>
    <s v="T3.2"/>
    <n v="101.0616"/>
    <n v="12.802"/>
    <n v="1.2"/>
    <n v="1.1911724898006499"/>
    <n v="0.126675215907921"/>
    <x v="1"/>
    <s v="B2i_rod, B2iii_sp"/>
    <s v="RLE not adjusted"/>
    <x v="3"/>
  </r>
  <r>
    <s v="FRc2"/>
    <x v="4"/>
    <s v="Ruens Silcrete Renosterveld"/>
    <s v="T3.2"/>
    <n v="209.756"/>
    <n v="28.494"/>
    <n v="1"/>
    <n v="1.0275827954962999"/>
    <n v="0.13584355155514"/>
    <x v="2"/>
    <s v="A3_nat, A3_wc, A2b, B1i_rod, B1iii_sp, B2i_rod, B2iii_sp"/>
    <s v="RLE not adjusted"/>
    <x v="3"/>
  </r>
  <r>
    <s v="FRd1"/>
    <x v="4"/>
    <s v="Nieuwoudtville-Roggeveld Dolerite Renosterveld"/>
    <s v="T3.2"/>
    <n v="219.49440000000001"/>
    <n v="197.23759999999999"/>
    <n v="0.1"/>
    <n v="8.0061069954294004E-2"/>
    <n v="0.89859969092605496"/>
    <x v="0"/>
    <m/>
    <s v="RLE not adjusted"/>
    <x v="0"/>
  </r>
  <r>
    <s v="FRd2"/>
    <x v="4"/>
    <s v="Hantam Plateau Dolerite Renosterveld"/>
    <s v="T3.2"/>
    <n v="578.92600000000004"/>
    <n v="565.32560000000001"/>
    <n v="0"/>
    <n v="7.0287680903636501E-3"/>
    <n v="0.97650753291439696"/>
    <x v="0"/>
    <m/>
    <s v="RLE not adjusted"/>
    <x v="3"/>
  </r>
  <r>
    <s v="FRg1"/>
    <x v="4"/>
    <s v="Namaqualand Granite Renosterveld"/>
    <s v="T3.2"/>
    <n v="305.53960000000001"/>
    <n v="252.78800000000001"/>
    <n v="0.1"/>
    <n v="0.110805522571665"/>
    <n v="0.82734938449876905"/>
    <x v="0"/>
    <m/>
    <s v="RLE not adjusted"/>
    <x v="3"/>
  </r>
  <r>
    <s v="FRg2"/>
    <x v="4"/>
    <s v="Swartland Granite Renosterveld"/>
    <s v="T3.2"/>
    <n v="951.34079999999994"/>
    <n v="153.8836"/>
    <n v="1.1000000000000001"/>
    <n v="1.05818681705967"/>
    <n v="0.161754441731081"/>
    <x v="2"/>
    <s v="A3_nat, A3_wc, A2b, B1i_rod, B1iii_sp"/>
    <s v="RLE not adjusted"/>
    <x v="3"/>
  </r>
  <r>
    <s v="FRg3"/>
    <x v="4"/>
    <s v="Robertson Granite Renosterveld"/>
    <s v="T3.2"/>
    <n v="19.175599999999999"/>
    <n v="18.833200000000001"/>
    <n v="0"/>
    <n v="2.71733409129188E-2"/>
    <n v="0.98214397463443104"/>
    <x v="0"/>
    <m/>
    <s v="RLE not adjusted"/>
    <x v="1"/>
  </r>
  <r>
    <s v="FRl1"/>
    <x v="4"/>
    <s v="Kango Limestone Renosterveld"/>
    <s v="T3.2"/>
    <n v="501.68880000000001"/>
    <n v="432.68119999999999"/>
    <n v="0.1"/>
    <n v="9.4929978881168206E-2"/>
    <n v="0.86244939093717099"/>
    <x v="0"/>
    <m/>
    <s v="RLE not adjusted"/>
    <x v="0"/>
  </r>
  <r>
    <s v="FRs1"/>
    <x v="4"/>
    <s v="Vanrhynsdorp Shale Renosterveld"/>
    <s v="T3.2"/>
    <n v="207.30600000000001"/>
    <n v="196.04640000000001"/>
    <n v="0.1"/>
    <n v="6.6595046207177502E-2"/>
    <n v="0.945686087233365"/>
    <x v="0"/>
    <m/>
    <s v="RLE not adjusted"/>
    <x v="0"/>
  </r>
  <r>
    <s v="FRs10"/>
    <x v="4"/>
    <s v="Peninsula Shale Renosterveld"/>
    <s v="T3.2"/>
    <n v="25.273599999999998"/>
    <n v="2.5131999999999999"/>
    <n v="1.2"/>
    <n v="1.2244700416223"/>
    <n v="9.9439731577614598E-2"/>
    <x v="1"/>
    <s v="A3_nat, A3_coct, B1i_rod, B1iii_sp, B2i_rod, B2iii_sp"/>
    <s v="RLE not adjusted"/>
    <x v="0"/>
  </r>
  <r>
    <s v="FRs11"/>
    <x v="4"/>
    <s v="Western Ruens Shale Renosterveld"/>
    <s v="T3.2"/>
    <n v="1193.6704"/>
    <n v="153.04920000000001"/>
    <n v="1.1000000000000001"/>
    <n v="1.0816430635566501"/>
    <n v="0.12821730353705699"/>
    <x v="1"/>
    <s v="B1i_rod, B1iii_sp"/>
    <s v="RLE not adjusted"/>
    <x v="3"/>
  </r>
  <r>
    <s v="FRs12"/>
    <x v="4"/>
    <s v="Central Ruens Shale Renosterveld"/>
    <s v="T3.2"/>
    <n v="2027.5060000000001"/>
    <n v="195.70519999999999"/>
    <n v="1.2"/>
    <n v="1.1639619155480201"/>
    <n v="9.6525090431298297E-2"/>
    <x v="1"/>
    <s v="A3_nat"/>
    <s v="RLE not adjusted"/>
    <x v="3"/>
  </r>
  <r>
    <s v="FRs13"/>
    <x v="4"/>
    <s v="Eastern Ruens Shale Renosterveld"/>
    <s v="T3.2"/>
    <n v="2762.57"/>
    <n v="397.76560000000001"/>
    <n v="1.1000000000000001"/>
    <n v="1.07282581562457"/>
    <n v="0.143983899050522"/>
    <x v="2"/>
    <s v="A3_nat, A3_wc, A2b, B1i_rod, B1iii_sp"/>
    <s v="RLE not adjusted"/>
    <x v="3"/>
  </r>
  <r>
    <s v="FRs14"/>
    <x v="4"/>
    <s v="Mossel Bay Shale Renosterveld"/>
    <s v="T3.2"/>
    <n v="866.5308"/>
    <n v="326.54520000000002"/>
    <n v="0.6"/>
    <n v="0.58949952095379898"/>
    <n v="0.37684200030743298"/>
    <x v="1"/>
    <s v="B1i_rod"/>
    <s v="RLE not adjusted"/>
    <x v="3"/>
  </r>
  <r>
    <s v="FRs15"/>
    <x v="4"/>
    <s v="Swartberg Shale Renosterveld"/>
    <s v="T3.2"/>
    <n v="276.41039999999998"/>
    <n v="264.24400000000003"/>
    <n v="0"/>
    <n v="2.6119145333529301E-2"/>
    <n v="0.95598429002671403"/>
    <x v="0"/>
    <m/>
    <s v="RLE not adjusted"/>
    <x v="0"/>
  </r>
  <r>
    <s v="FRs16"/>
    <x v="4"/>
    <s v="Uniondale Shale Renosterveld"/>
    <s v="T3.2"/>
    <n v="1347.8643999999999"/>
    <n v="1104.1168"/>
    <n v="0.1"/>
    <n v="9.4901216934581201E-2"/>
    <n v="0.81916014697027395"/>
    <x v="0"/>
    <m/>
    <s v="RLE not adjusted"/>
    <x v="0"/>
  </r>
  <r>
    <s v="FRs17"/>
    <x v="4"/>
    <s v="Langkloof Shale Renosterveld"/>
    <s v="T3.2"/>
    <n v="207.13839999999999"/>
    <n v="64.168800000000005"/>
    <n v="0.7"/>
    <n v="0.67924442005122498"/>
    <n v="0.309787079556471"/>
    <x v="2"/>
    <s v="B1i_rod"/>
    <s v="RLE not adjusted"/>
    <x v="3"/>
  </r>
  <r>
    <s v="FRs18"/>
    <x v="4"/>
    <s v="Baviaanskloof Shale Renosterveld"/>
    <s v="T3.2"/>
    <n v="118.72239999999999"/>
    <n v="118.6764"/>
    <n v="0"/>
    <n v="3.0542262065250299E-4"/>
    <n v="0.99961254152544099"/>
    <x v="0"/>
    <m/>
    <s v="RLE not adjusted"/>
    <x v="2"/>
  </r>
  <r>
    <s v="FRs19"/>
    <x v="4"/>
    <s v="Humansdorp Shale Renosterveld"/>
    <s v="T3.2"/>
    <n v="373.15"/>
    <n v="155.89080000000001"/>
    <n v="0.4"/>
    <n v="0.38235964734495298"/>
    <n v="0.41776979766849798"/>
    <x v="2"/>
    <s v="B1i_rod, B2i_rod"/>
    <s v="RLE not adjusted"/>
    <x v="3"/>
  </r>
  <r>
    <s v="FRs2"/>
    <x v="4"/>
    <s v="Nieuwoudtville Shale Renosterveld"/>
    <s v="T3.2"/>
    <n v="218.83680000000001"/>
    <n v="104.33839999999999"/>
    <n v="0.4"/>
    <n v="0.36985148481386598"/>
    <n v="0.47678635403186298"/>
    <x v="1"/>
    <s v="B1i_rod"/>
    <s v="RLE not adjusted"/>
    <x v="3"/>
  </r>
  <r>
    <s v="FRs20"/>
    <x v="4"/>
    <s v="Citrusdal Shale Renosterveld"/>
    <s v="T3.2"/>
    <n v="46.991199999999999"/>
    <n v="11.437200000000001"/>
    <n v="0.9"/>
    <n v="0.90051471320454102"/>
    <n v="0.243390251791825"/>
    <x v="1"/>
    <s v="B1i_rod"/>
    <s v="RLE not adjusted"/>
    <x v="3"/>
  </r>
  <r>
    <s v="FRs3"/>
    <x v="4"/>
    <s v="Roggeveld Shale Renosterveld"/>
    <s v="T3.2"/>
    <n v="3217.4720000000002"/>
    <n v="3148.2664"/>
    <n v="0"/>
    <n v="1.40766264286114E-2"/>
    <n v="0.97849069082807905"/>
    <x v="0"/>
    <m/>
    <s v="RLE not adjusted"/>
    <x v="0"/>
  </r>
  <r>
    <s v="FRs4"/>
    <x v="4"/>
    <s v="Ceres Shale Renosterveld"/>
    <s v="T3.2"/>
    <n v="491.74959999999999"/>
    <n v="211.3784"/>
    <n v="0.5"/>
    <n v="0.52469932827148802"/>
    <n v="0.42984966332458602"/>
    <x v="1"/>
    <s v="B1i_rod"/>
    <s v="RLE not adjusted"/>
    <x v="0"/>
  </r>
  <r>
    <s v="FRs5"/>
    <x v="4"/>
    <s v="Central Mountain Shale Renosterveld"/>
    <s v="T3.2"/>
    <n v="1236.5136"/>
    <n v="1199.1376"/>
    <n v="0"/>
    <n v="8.6343828484939603E-3"/>
    <n v="0.969773078112525"/>
    <x v="0"/>
    <m/>
    <s v="RLE not adjusted"/>
    <x v="3"/>
  </r>
  <r>
    <s v="FRs6"/>
    <x v="4"/>
    <s v="Matjiesfontein Shale Renosterveld"/>
    <s v="T3.2"/>
    <n v="2095.8456000000001"/>
    <n v="1809.9880000000001"/>
    <n v="0.1"/>
    <n v="5.1626229629339798E-2"/>
    <n v="0.86360751001886804"/>
    <x v="0"/>
    <m/>
    <s v="RLE not adjusted"/>
    <x v="0"/>
  </r>
  <r>
    <s v="FRs7"/>
    <x v="4"/>
    <s v="Montagu Shale Renosterveld"/>
    <s v="T3.2"/>
    <n v="1607.8492000000001"/>
    <n v="1293.4608000000001"/>
    <n v="0.1"/>
    <n v="0.114728451360096"/>
    <n v="0.80446648852392399"/>
    <x v="0"/>
    <m/>
    <s v="RLE not adjusted"/>
    <x v="0"/>
  </r>
  <r>
    <s v="FRs8"/>
    <x v="4"/>
    <s v="Breede Shale Renosterveld"/>
    <s v="T3.2"/>
    <n v="1049.7592"/>
    <n v="616.48119999999994"/>
    <n v="0.3"/>
    <n v="0.28187503615698301"/>
    <n v="0.58725963058956798"/>
    <x v="2"/>
    <s v="B1iii_sp"/>
    <s v="RLE not adjusted"/>
    <x v="0"/>
  </r>
  <r>
    <s v="FRs9"/>
    <x v="4"/>
    <s v="Swartland Shale Renosterveld"/>
    <s v="T3.2"/>
    <n v="4963.7543999999998"/>
    <n v="486.23759999999999"/>
    <n v="1.2"/>
    <n v="1.23950969813145"/>
    <n v="9.7957626590066599E-2"/>
    <x v="1"/>
    <s v="A3_nat"/>
    <s v="RLE not adjusted"/>
    <x v="3"/>
  </r>
  <r>
    <s v="FS1"/>
    <x v="4"/>
    <s v="Lambert's Bay Strandveld"/>
    <s v="T3.2"/>
    <n v="354.27760000000001"/>
    <n v="235.792"/>
    <n v="0.4"/>
    <n v="0.39325083526238303"/>
    <n v="0.66555717889022603"/>
    <x v="1"/>
    <s v="B1i_rod"/>
    <s v="RLE not adjusted"/>
    <x v="0"/>
  </r>
  <r>
    <s v="FS10"/>
    <x v="4"/>
    <s v="Southwestern Strandveld"/>
    <m/>
    <n v="322.87599999999998"/>
    <n v="305.54199999999997"/>
    <n v="0.1"/>
    <n v="6.2524055423696198E-2"/>
    <n v="0.94631375512580695"/>
    <x v="2"/>
    <s v="B1i_inv"/>
    <s v="RLE not adjusted"/>
    <x v="1"/>
  </r>
  <r>
    <s v="FS11"/>
    <x v="4"/>
    <s v="Grootbos Strandveld"/>
    <m/>
    <n v="39.6004"/>
    <n v="39.448"/>
    <n v="0"/>
    <n v="1.19635046818656E-2"/>
    <n v="0.99615155402470701"/>
    <x v="1"/>
    <s v="B1i_inv"/>
    <s v="RLE not adjusted"/>
    <x v="0"/>
  </r>
  <r>
    <s v="FS12"/>
    <x v="4"/>
    <s v="Southeastern Strandveld"/>
    <m/>
    <n v="119.0592"/>
    <n v="91.006399999999999"/>
    <n v="0.2"/>
    <n v="0.24311283739142101"/>
    <n v="0.76437940117185399"/>
    <x v="2"/>
    <s v="B1i_inv, B2i_inv"/>
    <s v="RLE not adjusted"/>
    <x v="0"/>
  </r>
  <r>
    <s v="FS13"/>
    <x v="4"/>
    <s v="Goukamma Strandveld"/>
    <m/>
    <n v="41.643999999999998"/>
    <n v="35.144399999999997"/>
    <n v="0.1"/>
    <n v="0.123757979537406"/>
    <n v="0.84392469503409895"/>
    <x v="0"/>
    <m/>
    <s v="RLE not adjusted"/>
    <x v="2"/>
  </r>
  <r>
    <s v="FS14"/>
    <x v="4"/>
    <s v="St Francis Strandveld"/>
    <m/>
    <n v="96.925200000000004"/>
    <n v="84.932400000000001"/>
    <n v="0.2"/>
    <n v="0.19077291983585101"/>
    <n v="0.87626747223632195"/>
    <x v="1"/>
    <s v="B1i_inv"/>
    <s v="RLE not adjusted"/>
    <x v="0"/>
  </r>
  <r>
    <s v="FS2"/>
    <x v="4"/>
    <s v="Saldanha Granite Strandveld"/>
    <s v="T3.2"/>
    <n v="298.82440000000003"/>
    <n v="78.304400000000001"/>
    <n v="0.6"/>
    <n v="0.59654077132595196"/>
    <n v="0.26204152003651598"/>
    <x v="1"/>
    <s v="B1i_rod, B1iii_sp"/>
    <s v="RLE not adjusted"/>
    <x v="0"/>
  </r>
  <r>
    <s v="FS3"/>
    <x v="4"/>
    <s v="Saldanha Flats Strandveld"/>
    <s v="T3.2"/>
    <n v="1643.4048"/>
    <n v="580.84879999999998"/>
    <n v="0.5"/>
    <n v="0.46337211211975698"/>
    <n v="0.35344231682906102"/>
    <x v="2"/>
    <s v="B1i_rod, B1iii_sp"/>
    <s v="RLE not adjusted"/>
    <x v="0"/>
  </r>
  <r>
    <s v="FS4"/>
    <x v="4"/>
    <s v="Saldanha Limestone Strandveld"/>
    <s v="T3.2"/>
    <n v="61.564"/>
    <n v="49.529600000000002"/>
    <n v="0.1"/>
    <n v="9.5183378486305203E-2"/>
    <n v="0.804522123318823"/>
    <x v="1"/>
    <s v="B1iii_sp"/>
    <s v="RLE adjusted"/>
    <x v="1"/>
  </r>
  <r>
    <s v="FS5"/>
    <x v="4"/>
    <s v="Langebaan Dune Strandveld"/>
    <s v="T3.2"/>
    <n v="342.2724"/>
    <n v="293.00080000000003"/>
    <n v="0.1"/>
    <n v="0.13217426377913599"/>
    <n v="0.856045652527052"/>
    <x v="2"/>
    <s v="B1iii_sp"/>
    <s v="RLE not adjusted"/>
    <x v="2"/>
  </r>
  <r>
    <s v="FS6"/>
    <x v="4"/>
    <s v="Cape Flats Dune Strandveld"/>
    <s v="T3.2"/>
    <n v="394.28919999999999"/>
    <n v="183.1524"/>
    <n v="1"/>
    <n v="0.96934559544667698"/>
    <n v="0.46451284995886299"/>
    <x v="2"/>
    <s v="B1i_rod, B1i_inv, B1iii_sp, B2i_rod, B2i_inv, B2iii_sp"/>
    <s v="RLE not adjusted"/>
    <x v="1"/>
  </r>
  <r>
    <s v="FS7"/>
    <x v="4"/>
    <s v="Overberg Dune Strandveld"/>
    <s v="T3.2"/>
    <n v="46.828800000000001"/>
    <n v="37.494799999999998"/>
    <n v="0.2"/>
    <n v="0.15089904866335699"/>
    <n v="0.80067821511548398"/>
    <x v="2"/>
    <s v="B1i_inv, B1iii_sp, B2i_inv, B2iii_sp"/>
    <s v="RLE not adjusted"/>
    <x v="1"/>
  </r>
  <r>
    <s v="FS9"/>
    <x v="4"/>
    <s v="Groot Brak Dune Strandveld"/>
    <s v="T3.2"/>
    <n v="27.99"/>
    <n v="12.3604"/>
    <n v="0.5"/>
    <n v="0.52418594629534898"/>
    <n v="0.44160057163272598"/>
    <x v="1"/>
    <s v="B1i_rod, B1i_inv, B2i_rod, B2i_inv"/>
    <s v="RLE not adjusted"/>
    <x v="3"/>
  </r>
  <r>
    <s v="Gd1"/>
    <x v="6"/>
    <s v="Amathole Montane Grassland"/>
    <s v="T4.5"/>
    <n v="5026.9467999999997"/>
    <n v="4202.9276"/>
    <n v="0.1"/>
    <n v="0.138188497281063"/>
    <n v="0.83607958612173905"/>
    <x v="0"/>
    <m/>
    <s v="RLE not adjusted"/>
    <x v="0"/>
  </r>
  <r>
    <s v="Gd10"/>
    <x v="6"/>
    <s v="Drakensberg Afroalpine Heathland"/>
    <s v="T4.5"/>
    <n v="2830.788"/>
    <n v="2753.2840000000001"/>
    <n v="0"/>
    <n v="2.77693831564525E-3"/>
    <n v="0.97262105109955299"/>
    <x v="0"/>
    <m/>
    <s v="RLE not adjusted"/>
    <x v="2"/>
  </r>
  <r>
    <s v="Gd2"/>
    <x v="6"/>
    <s v="Amathole Mistbelt Grassland"/>
    <s v="T4.5"/>
    <n v="158.3236"/>
    <n v="153.58600000000001"/>
    <n v="0.1"/>
    <n v="5.0391343675209199E-2"/>
    <n v="0.97007647628022597"/>
    <x v="0"/>
    <m/>
    <s v="RLE not adjusted"/>
    <x v="3"/>
  </r>
  <r>
    <s v="Gd3"/>
    <x v="6"/>
    <s v="Stormberg Plateau Grassland"/>
    <s v="T4.5"/>
    <n v="2966.1812"/>
    <n v="2409.2620000000002"/>
    <n v="0.1"/>
    <n v="8.8387696453626402E-2"/>
    <n v="0.812243702441375"/>
    <x v="0"/>
    <m/>
    <s v="RLE not adjusted"/>
    <x v="3"/>
  </r>
  <r>
    <s v="Gd4"/>
    <x v="6"/>
    <s v="Southern Drakensberg Highland Grassland"/>
    <s v="T4.5"/>
    <n v="6647.0259999999998"/>
    <n v="5993.8588"/>
    <n v="0.1"/>
    <n v="8.2778591780945293E-2"/>
    <n v="0.90173542272890195"/>
    <x v="0"/>
    <m/>
    <s v="RLE not adjusted"/>
    <x v="0"/>
  </r>
  <r>
    <s v="Gd5"/>
    <x v="6"/>
    <s v="Northern Drakensberg Highland Grassland"/>
    <s v="T4.5"/>
    <n v="1237.5219999999999"/>
    <n v="1116.0927999999999"/>
    <n v="0"/>
    <n v="3.5186615412364397E-2"/>
    <n v="0.90187713834582295"/>
    <x v="0"/>
    <m/>
    <s v="RLE not adjusted"/>
    <x v="2"/>
  </r>
  <r>
    <s v="Gd6"/>
    <x v="6"/>
    <s v="Drakensberg-Amathole Afromontane Fynbos"/>
    <s v="T4.5"/>
    <n v="21.6172"/>
    <n v="21.547599999999999"/>
    <n v="0"/>
    <n v="5.2201269534908005E-4"/>
    <n v="0.99678034157985296"/>
    <x v="0"/>
    <m/>
    <s v="RLE not adjusted"/>
    <x v="2"/>
  </r>
  <r>
    <s v="Gd7"/>
    <x v="6"/>
    <s v="uKhahlamba Basalt Grassland"/>
    <s v="T4.5"/>
    <n v="1346.9464"/>
    <n v="1345.922"/>
    <n v="0"/>
    <n v="1.0899503532253801E-3"/>
    <n v="0.99923946491115001"/>
    <x v="0"/>
    <m/>
    <s v="RLE not adjusted"/>
    <x v="2"/>
  </r>
  <r>
    <s v="Gd8"/>
    <x v="6"/>
    <s v="Lesotho Highland Basalt Grassland"/>
    <s v="T4.5"/>
    <n v="20169.288400000001"/>
    <n v="17291.366399999999"/>
    <n v="0"/>
    <n v="2.2803262544050101E-3"/>
    <n v="0.85731167392102903"/>
    <x v="0"/>
    <m/>
    <s v="RLE not adjusted"/>
    <x v="0"/>
  </r>
  <r>
    <s v="Gh1"/>
    <x v="6"/>
    <s v="Karoo Escarpment Grassland"/>
    <s v="T4.5"/>
    <n v="8370.6211999999996"/>
    <n v="8138.5331999999999"/>
    <n v="0"/>
    <n v="1.6774609812731701E-2"/>
    <n v="0.97227350342887298"/>
    <x v="0"/>
    <m/>
    <s v="RLE not adjusted"/>
    <x v="2"/>
  </r>
  <r>
    <s v="Gh10"/>
    <x v="6"/>
    <s v="Vaal-Vet Sandy Grassland"/>
    <s v="T4.5"/>
    <n v="25965.723999999998"/>
    <n v="5813.4168"/>
    <n v="0.6"/>
    <n v="0.62955403192985804"/>
    <n v="0.223888107260171"/>
    <x v="2"/>
    <s v="A3_nat"/>
    <s v="RLE not adjusted"/>
    <x v="3"/>
  </r>
  <r>
    <s v="Gh11"/>
    <x v="6"/>
    <s v="Vredefort Dome Granite Grassland"/>
    <s v="T4.5"/>
    <n v="923.55679999999995"/>
    <n v="416.97160000000002"/>
    <n v="0.4"/>
    <n v="0.40353066883208599"/>
    <n v="0.45148452158004798"/>
    <x v="1"/>
    <s v="B1i_rod"/>
    <s v="RLE not adjusted"/>
    <x v="3"/>
  </r>
  <r>
    <s v="Gh12"/>
    <x v="6"/>
    <s v="Vaal Reefs Dolomite Sinkhole Woodland"/>
    <s v="T4.5"/>
    <n v="329.49520000000001"/>
    <n v="221.12880000000001"/>
    <n v="0.3"/>
    <n v="0.31324309214220503"/>
    <n v="0.67111387358601904"/>
    <x v="0"/>
    <m/>
    <s v="RLE not adjusted"/>
    <x v="3"/>
  </r>
  <r>
    <s v="Gh13"/>
    <x v="6"/>
    <s v="Klerksdorp Thornveld"/>
    <s v="T4.5"/>
    <n v="3766.2224000000001"/>
    <n v="2123.7647999999999"/>
    <n v="0.2"/>
    <n v="0.247422640853663"/>
    <n v="0.56389787283937298"/>
    <x v="0"/>
    <m/>
    <s v="RLE not adjusted"/>
    <x v="0"/>
  </r>
  <r>
    <s v="Gh14"/>
    <x v="6"/>
    <s v="Western Highveld Sandy Grassland"/>
    <s v="T4.5"/>
    <n v="9187.4096000000009"/>
    <n v="3675.5048000000002"/>
    <n v="0.4"/>
    <n v="0.38196779868439001"/>
    <n v="0.40005888057935302"/>
    <x v="2"/>
    <s v="B1i_rod"/>
    <s v="RLE adjusted"/>
    <x v="3"/>
  </r>
  <r>
    <s v="Gh15"/>
    <x v="6"/>
    <s v="Carletonville Dolomite Grassland"/>
    <s v="T4.5"/>
    <n v="8598.4796000000006"/>
    <n v="5468.9772000000003"/>
    <n v="0.3"/>
    <n v="0.25276585169789401"/>
    <n v="0.636040027355534"/>
    <x v="0"/>
    <m/>
    <s v="RLE not adjusted"/>
    <x v="0"/>
  </r>
  <r>
    <s v="Gh2"/>
    <x v="6"/>
    <s v="Aliwal North Dry Grassland"/>
    <s v="T4.5"/>
    <n v="7163.2323999999999"/>
    <n v="5660.4315999999999"/>
    <n v="0.1"/>
    <n v="0.122440758485303"/>
    <n v="0.790206331990569"/>
    <x v="0"/>
    <m/>
    <s v="RLE not adjusted"/>
    <x v="3"/>
  </r>
  <r>
    <s v="Gh3"/>
    <x v="6"/>
    <s v="Xhariep Karroid Grassland"/>
    <s v="T4.5"/>
    <n v="13392.436799999999"/>
    <n v="12357.1816"/>
    <n v="0.1"/>
    <n v="5.5122337544690099E-2"/>
    <n v="0.92269851891330201"/>
    <x v="0"/>
    <m/>
    <s v="RLE not adjusted"/>
    <x v="0"/>
  </r>
  <r>
    <s v="Gh4"/>
    <x v="6"/>
    <s v="Besemkaree Koppies Shrubland"/>
    <s v="T4.5"/>
    <n v="9677.7703999999994"/>
    <n v="9249.2420000000002"/>
    <n v="0"/>
    <n v="2.9178484012046799E-2"/>
    <n v="0.95572033822997104"/>
    <x v="0"/>
    <m/>
    <s v="RLE not adjusted"/>
    <x v="0"/>
  </r>
  <r>
    <s v="Gh5"/>
    <x v="6"/>
    <s v="Bloemfontein Dry Grassland"/>
    <s v="T4.5"/>
    <n v="4949.5983999999999"/>
    <n v="2576.7764000000002"/>
    <n v="0.3"/>
    <n v="0.27234472308673502"/>
    <n v="0.52060312610412995"/>
    <x v="0"/>
    <m/>
    <s v="RLE not adjusted"/>
    <x v="0"/>
  </r>
  <r>
    <s v="Gh6"/>
    <x v="6"/>
    <s v="Central Free State Grassland"/>
    <s v="T4.5"/>
    <n v="16012.9004"/>
    <n v="10488.081200000001"/>
    <n v="0.2"/>
    <n v="0.210468453852763"/>
    <n v="0.65497698343268296"/>
    <x v="0"/>
    <m/>
    <s v="RLE not adjusted"/>
    <x v="0"/>
  </r>
  <r>
    <s v="Gh7"/>
    <x v="6"/>
    <s v="Winburg Grassy Shrubland"/>
    <s v="T4.5"/>
    <n v="1571.9508000000001"/>
    <n v="1286.1451999999999"/>
    <n v="0.1"/>
    <n v="0.116912066498799"/>
    <n v="0.81818413146263902"/>
    <x v="0"/>
    <m/>
    <s v="RLE not adjusted"/>
    <x v="0"/>
  </r>
  <r>
    <s v="Gh8"/>
    <x v="6"/>
    <s v="Bloemfontein Karroid Shrubland"/>
    <s v="T4.5"/>
    <n v="80.466800000000006"/>
    <n v="66.130799999999994"/>
    <n v="0.2"/>
    <n v="0.20333450204430201"/>
    <n v="0.82183956613162201"/>
    <x v="0"/>
    <m/>
    <s v="RLE not adjusted"/>
    <x v="1"/>
  </r>
  <r>
    <s v="Gh9"/>
    <x v="6"/>
    <s v="Western Free State Clay Grassland"/>
    <s v="T4.5"/>
    <n v="7074.3047999999999"/>
    <n v="5306.9971999999998"/>
    <n v="0.1"/>
    <n v="0.127391698427888"/>
    <n v="0.75017932504123896"/>
    <x v="0"/>
    <m/>
    <s v="RLE not adjusted"/>
    <x v="0"/>
  </r>
  <r>
    <s v="Gm1"/>
    <x v="6"/>
    <s v="Zastron Moist Grassland"/>
    <s v="T4.5"/>
    <n v="4268.0983999999999"/>
    <n v="2813.2064"/>
    <n v="0.2"/>
    <n v="0.150012947276632"/>
    <n v="0.65912407267836204"/>
    <x v="0"/>
    <m/>
    <s v="RLE not adjusted"/>
    <x v="3"/>
  </r>
  <r>
    <s v="Gm10"/>
    <x v="6"/>
    <s v="Egoli Granite Grassland"/>
    <s v="T4.5"/>
    <n v="1093.2008000000001"/>
    <n v="183.14320000000001"/>
    <n v="1.3"/>
    <n v="1.3395542270006899"/>
    <n v="0.16752933221417299"/>
    <x v="1"/>
    <s v="B1i_rod"/>
    <s v="RLE not adjusted"/>
    <x v="0"/>
  </r>
  <r>
    <s v="Gm11"/>
    <x v="6"/>
    <s v="Rand Highveld Grassland"/>
    <s v="T4.5"/>
    <n v="10508.8704"/>
    <n v="4209.3671999999997"/>
    <n v="0.5"/>
    <n v="0.502288703849193"/>
    <n v="0.40055372649756898"/>
    <x v="3"/>
    <s v="A3_nat"/>
    <s v="RLE not adjusted"/>
    <x v="0"/>
  </r>
  <r>
    <s v="Gm12"/>
    <x v="6"/>
    <s v="Eastern Highveld Grassland"/>
    <s v="T4.5"/>
    <n v="12772.3408"/>
    <n v="3707.4124000000002"/>
    <n v="0.7"/>
    <n v="0.69961067666180998"/>
    <n v="0.29026882840457902"/>
    <x v="2"/>
    <s v="A3_nat"/>
    <s v="RLE not adjusted"/>
    <x v="0"/>
  </r>
  <r>
    <s v="Gm13"/>
    <x v="6"/>
    <s v="Amersfoort Highveld Clay Grassland"/>
    <s v="T4.5"/>
    <n v="3927.0520000000001"/>
    <n v="2126.2595999999999"/>
    <n v="0.3"/>
    <n v="0.256715961817921"/>
    <n v="0.54143912532861804"/>
    <x v="0"/>
    <m/>
    <s v="RLE not adjusted"/>
    <x v="0"/>
  </r>
  <r>
    <s v="Gm14"/>
    <x v="6"/>
    <s v="Wakkerstroom Montane Grassland"/>
    <s v="T4.5"/>
    <n v="3750.41"/>
    <n v="2950.1124"/>
    <n v="0.2"/>
    <n v="0.19322279392150901"/>
    <n v="0.78661063723699498"/>
    <x v="0"/>
    <m/>
    <s v="RLE not adjusted"/>
    <x v="0"/>
  </r>
  <r>
    <s v="Gm15"/>
    <x v="6"/>
    <s v="Paulpietersburg Moist Grassland"/>
    <s v="T4.5"/>
    <n v="4216.8495999999996"/>
    <n v="1967.0735999999999"/>
    <n v="0.8"/>
    <n v="0.78257216589364398"/>
    <n v="0.46647943052083202"/>
    <x v="2"/>
    <s v="B1i_rod"/>
    <s v="RLE not adjusted"/>
    <x v="0"/>
  </r>
  <r>
    <s v="Gm16"/>
    <x v="6"/>
    <s v="KaNgwane Montane Grassland"/>
    <s v="T4.5"/>
    <n v="9654.2360000000008"/>
    <n v="5328.8756000000003"/>
    <n v="0.3"/>
    <n v="0.33826399411109598"/>
    <n v="0.55197279204693195"/>
    <x v="2"/>
    <s v="B1i_rod"/>
    <s v="RLE adjusted"/>
    <x v="0"/>
  </r>
  <r>
    <s v="Gm17"/>
    <x v="6"/>
    <s v="Barberton Montane Grassland"/>
    <s v="T4.5"/>
    <n v="1291.3936000000001"/>
    <n v="805.20079999999996"/>
    <n v="0.2"/>
    <n v="0.22188273875397199"/>
    <n v="0.623513079203738"/>
    <x v="0"/>
    <m/>
    <s v="RLE not adjusted"/>
    <x v="2"/>
  </r>
  <r>
    <s v="Gm19"/>
    <x v="6"/>
    <s v="Sekhukhune Montane Grassland"/>
    <s v="T4.5"/>
    <n v="1380.8520000000001"/>
    <n v="847.0616"/>
    <n v="0.2"/>
    <n v="0.16088082820327201"/>
    <n v="0.61343402479049203"/>
    <x v="0"/>
    <m/>
    <s v="RLE not adjusted"/>
    <x v="3"/>
  </r>
  <r>
    <s v="Gm2"/>
    <x v="6"/>
    <s v="Senqu Montane Shrubland"/>
    <s v="T4.5"/>
    <n v="3737.0288"/>
    <n v="2818.7752"/>
    <n v="0"/>
    <n v="1.0209019474443999E-2"/>
    <n v="0.75428243956803298"/>
    <x v="0"/>
    <m/>
    <s v="RLE not adjusted"/>
    <x v="3"/>
  </r>
  <r>
    <s v="Gm20"/>
    <x v="6"/>
    <s v="Leolo Summit Sourveld"/>
    <s v="T4.5"/>
    <n v="20.3384"/>
    <n v="18.378399999999999"/>
    <n v="0.2"/>
    <n v="0.16913278435409199"/>
    <n v="0.90363057074302799"/>
    <x v="0"/>
    <m/>
    <s v="RLE not adjusted"/>
    <x v="3"/>
  </r>
  <r>
    <s v="Gm21"/>
    <x v="6"/>
    <s v="Lydenburg Thornveld"/>
    <s v="T4.5"/>
    <n v="1551.0771999999999"/>
    <n v="1192.6756"/>
    <n v="0.1"/>
    <n v="0.140974388585238"/>
    <n v="0.768933744883878"/>
    <x v="0"/>
    <m/>
    <s v="RLE not adjusted"/>
    <x v="0"/>
  </r>
  <r>
    <s v="Gm22"/>
    <x v="6"/>
    <s v="Northern Escarpment Dolomite Grassland"/>
    <s v="T4.5"/>
    <n v="939.17439999999999"/>
    <n v="352.08600000000001"/>
    <n v="0.3"/>
    <n v="0.34316602076460501"/>
    <n v="0.37488883853733701"/>
    <x v="2"/>
    <s v="B1i_rod"/>
    <s v="RLE adjusted"/>
    <x v="0"/>
  </r>
  <r>
    <s v="Gm23"/>
    <x v="6"/>
    <s v="Northern Escarpment Quartzite Sourveld"/>
    <s v="T4.5"/>
    <n v="1373.9431999999999"/>
    <n v="759.78679999999997"/>
    <n v="0.1"/>
    <n v="0.13781396900708001"/>
    <n v="0.55299724180737597"/>
    <x v="0"/>
    <m/>
    <s v="RLE not adjusted"/>
    <x v="1"/>
  </r>
  <r>
    <s v="Gm24"/>
    <x v="6"/>
    <s v="Northern Escarpment Afromontane Fynbos"/>
    <s v="T4.5"/>
    <n v="10.001200000000001"/>
    <n v="9.3328000000000007"/>
    <n v="0"/>
    <n v="2.3528223233655301E-2"/>
    <n v="0.93316801983761899"/>
    <x v="0"/>
    <m/>
    <s v="RLE not adjusted"/>
    <x v="2"/>
  </r>
  <r>
    <s v="Gm25"/>
    <x v="6"/>
    <s v="Woodbush Granite Grassland"/>
    <s v="T4.5"/>
    <n v="430.63440000000003"/>
    <n v="103.7852"/>
    <n v="0.6"/>
    <n v="0.63449311197456704"/>
    <n v="0.241005363250126"/>
    <x v="1"/>
    <s v="B1i_rod"/>
    <s v="RLE not adjusted"/>
    <x v="0"/>
  </r>
  <r>
    <s v="Gm26"/>
    <x v="6"/>
    <s v="Wolkberg Dolomite Grassland"/>
    <s v="T4.5"/>
    <n v="260.57960000000003"/>
    <n v="242.22120000000001"/>
    <n v="0"/>
    <n v="4.01479621279551E-2"/>
    <n v="0.92954782339062603"/>
    <x v="0"/>
    <m/>
    <s v="RLE not adjusted"/>
    <x v="2"/>
  </r>
  <r>
    <s v="Gm27"/>
    <x v="6"/>
    <s v="Strydpoort Summit Sourveld"/>
    <s v="T4.5"/>
    <n v="268.06639999999999"/>
    <n v="261.14400000000001"/>
    <n v="0"/>
    <n v="1.54889713951274E-2"/>
    <n v="0.97417654730320602"/>
    <x v="0"/>
    <m/>
    <s v="RLE not adjusted"/>
    <x v="2"/>
  </r>
  <r>
    <s v="Gm28"/>
    <x v="6"/>
    <s v="Soutpansberg Summit Sourveld"/>
    <s v="T4.5"/>
    <n v="93.875600000000006"/>
    <n v="91.555999999999997"/>
    <n v="0"/>
    <n v="1.4215912253844699E-2"/>
    <n v="0.97529070386767203"/>
    <x v="0"/>
    <m/>
    <s v="RLE not adjusted"/>
    <x v="2"/>
  </r>
  <r>
    <s v="Gm29"/>
    <x v="6"/>
    <s v="Waterberg-Magaliesberg Summit Sourveld"/>
    <s v="T4.5"/>
    <n v="523.22199999999998"/>
    <n v="502.7088"/>
    <n v="0"/>
    <n v="2.4544177447125299E-2"/>
    <n v="0.96079446200656704"/>
    <x v="0"/>
    <m/>
    <s v="RLE not adjusted"/>
    <x v="2"/>
  </r>
  <r>
    <s v="Gm3"/>
    <x v="6"/>
    <s v="Eastern Free State Clay Grassland"/>
    <s v="T4.5"/>
    <n v="15063.9784"/>
    <n v="6008.3951999999999"/>
    <n v="0.4"/>
    <n v="0.41892212369688098"/>
    <n v="0.39885845826757199"/>
    <x v="3"/>
    <s v="A3_nat, B1i_rod"/>
    <s v="RLE not adjusted"/>
    <x v="3"/>
  </r>
  <r>
    <s v="Gm30"/>
    <x v="6"/>
    <s v="Steenkampsberg Montane Grassland"/>
    <s v="T4.5"/>
    <n v="3858.6324"/>
    <n v="2611.3308000000002"/>
    <n v="0.3"/>
    <n v="0.33149858093128198"/>
    <n v="0.67675034294533998"/>
    <x v="0"/>
    <m/>
    <s v="RLE not adjusted"/>
    <x v="0"/>
  </r>
  <r>
    <s v="Gm31"/>
    <x v="6"/>
    <s v="Long Tom Pass Montane Grassland"/>
    <s v="T4.5"/>
    <n v="1048.1812"/>
    <n v="536.16160000000002"/>
    <n v="0.2"/>
    <n v="0.24283322255387199"/>
    <n v="0.51151613862183398"/>
    <x v="0"/>
    <m/>
    <s v="RLE not adjusted"/>
    <x v="2"/>
  </r>
  <r>
    <s v="Gm4"/>
    <x v="6"/>
    <s v="Eastern Free State Sandy Grassland"/>
    <s v="T4.5"/>
    <n v="14254.748"/>
    <n v="7447.7704000000003"/>
    <n v="0.3"/>
    <n v="0.26377637742260601"/>
    <n v="0.52247646889303101"/>
    <x v="0"/>
    <m/>
    <s v="RLE not adjusted"/>
    <x v="0"/>
  </r>
  <r>
    <s v="Gm5"/>
    <x v="6"/>
    <s v="Basotho Montane Shrubland"/>
    <s v="T4.5"/>
    <n v="3469.5508"/>
    <n v="2462.3852000000002"/>
    <n v="0.1"/>
    <n v="7.3928462786774299E-2"/>
    <n v="0.70971296918321503"/>
    <x v="0"/>
    <m/>
    <s v="RLE not adjusted"/>
    <x v="0"/>
  </r>
  <r>
    <s v="Gm6"/>
    <x v="6"/>
    <s v="Frankfort Highveld Grassland"/>
    <s v="T4.5"/>
    <n v="9891.6532000000007"/>
    <n v="5464.9784"/>
    <n v="0.3"/>
    <n v="0.29211197941669398"/>
    <n v="0.55248382545397001"/>
    <x v="0"/>
    <m/>
    <s v="RLE not adjusted"/>
    <x v="3"/>
  </r>
  <r>
    <s v="Gm7"/>
    <x v="6"/>
    <s v="Northern Free State Shrubland"/>
    <s v="T4.5"/>
    <n v="30.048400000000001"/>
    <n v="27.619599999999998"/>
    <n v="0.1"/>
    <n v="6.7613282135570302E-2"/>
    <n v="0.91917040507980496"/>
    <x v="0"/>
    <m/>
    <s v="RLE not adjusted"/>
    <x v="0"/>
  </r>
  <r>
    <s v="Gm8"/>
    <x v="6"/>
    <s v="Soweto Highveld Grassland"/>
    <s v="T4.5"/>
    <n v="14492.9396"/>
    <n v="5504.348"/>
    <n v="0.5"/>
    <n v="0.450422136765533"/>
    <n v="0.37979513831686701"/>
    <x v="3"/>
    <s v="A3_nat, B1i_rod"/>
    <s v="RLE not adjusted"/>
    <x v="3"/>
  </r>
  <r>
    <s v="Gm9"/>
    <x v="6"/>
    <s v="Tsakane Clay Grassland"/>
    <s v="T4.5"/>
    <n v="1313.2256"/>
    <n v="435.84320000000002"/>
    <n v="0.7"/>
    <n v="0.65782657021212498"/>
    <n v="0.33188752945419298"/>
    <x v="2"/>
    <s v="B1i_rod"/>
    <s v="RLE not adjusted"/>
    <x v="0"/>
  </r>
  <r>
    <s v="Gs1"/>
    <x v="6"/>
    <s v="Northern Zululand Mistbelt Grassland"/>
    <s v="T4.5"/>
    <n v="539.21320000000003"/>
    <n v="281.44920000000002"/>
    <n v="0.5"/>
    <n v="0.54834519424910599"/>
    <n v="0.52196274126820297"/>
    <x v="2"/>
    <s v="B1i_rod"/>
    <s v="RLE not adjusted"/>
    <x v="0"/>
  </r>
  <r>
    <s v="Gs10"/>
    <x v="6"/>
    <s v="Drakensberg Foothill Moist Grassland"/>
    <s v="T4.5"/>
    <n v="10944.612800000001"/>
    <n v="7576.2196000000004"/>
    <n v="0.3"/>
    <n v="0.26162270718761199"/>
    <n v="0.692232766790982"/>
    <x v="0"/>
    <m/>
    <s v="RLE not adjusted"/>
    <x v="0"/>
  </r>
  <r>
    <s v="Gs11"/>
    <x v="6"/>
    <s v="Southern KwaZulu-Natal Moist Grassland"/>
    <s v="T4.5"/>
    <n v="2342.1579999999999"/>
    <n v="1020.7256"/>
    <n v="0.5"/>
    <n v="0.50037080732237704"/>
    <n v="0.43580561174779803"/>
    <x v="2"/>
    <s v="B1i_rod"/>
    <s v="RLE not adjusted"/>
    <x v="0"/>
  </r>
  <r>
    <s v="Gs12"/>
    <x v="6"/>
    <s v="East Griqualand Grassland"/>
    <s v="T4.5"/>
    <n v="8728.1252000000004"/>
    <n v="4698.0839999999998"/>
    <n v="0.3"/>
    <n v="0.33489010684107801"/>
    <n v="0.53826954727917997"/>
    <x v="2"/>
    <s v="B1i_rod"/>
    <s v="RLE adjusted"/>
    <x v="0"/>
  </r>
  <r>
    <s v="Gs13"/>
    <x v="6"/>
    <s v="Mabela Sandy Grassland"/>
    <s v="T4.5"/>
    <n v="492.96"/>
    <n v="148.2664"/>
    <n v="0.6"/>
    <n v="0.64523863553650695"/>
    <n v="0.30076760791950702"/>
    <x v="1"/>
    <s v="B1i_rod"/>
    <s v="RLE not adjusted"/>
    <x v="0"/>
  </r>
  <r>
    <s v="Gs14"/>
    <x v="6"/>
    <s v="Mthatha Moist Grassland"/>
    <s v="T4.5"/>
    <n v="5281.6719999999996"/>
    <n v="2135.8588"/>
    <n v="0.4"/>
    <n v="0.43129258155188499"/>
    <n v="0.40439065508043698"/>
    <x v="2"/>
    <s v="B1i_rod"/>
    <s v="RLE not adjusted"/>
    <x v="3"/>
  </r>
  <r>
    <s v="Gs15"/>
    <x v="6"/>
    <s v="Tsomo Grassland"/>
    <s v="T4.5"/>
    <n v="6137.2615999999998"/>
    <n v="3708.0140000000001"/>
    <n v="0.2"/>
    <n v="0.19752309988455299"/>
    <n v="0.60418053550137096"/>
    <x v="0"/>
    <m/>
    <s v="RLE not adjusted"/>
    <x v="3"/>
  </r>
  <r>
    <s v="Gs16"/>
    <x v="6"/>
    <s v="Queenstown Thornveld"/>
    <s v="T4.2"/>
    <n v="3606.2944000000002"/>
    <n v="2980.22"/>
    <n v="0.1"/>
    <n v="0.12160242047106599"/>
    <n v="0.82639398491703797"/>
    <x v="0"/>
    <m/>
    <s v="RLE not adjusted"/>
    <x v="3"/>
  </r>
  <r>
    <s v="Gs17"/>
    <x v="6"/>
    <s v="Tarkastad Montane Shrubland"/>
    <s v="T4.5"/>
    <n v="4242.1876000000002"/>
    <n v="4170.7987999999996"/>
    <n v="0"/>
    <n v="1.1201257374213401E-2"/>
    <n v="0.98317170131749898"/>
    <x v="0"/>
    <m/>
    <s v="RLE not adjusted"/>
    <x v="0"/>
  </r>
  <r>
    <s v="Gs18"/>
    <x v="6"/>
    <s v="Bedford Dry Grassland"/>
    <s v="T4.5"/>
    <n v="1433.932"/>
    <n v="1407.3915999999999"/>
    <n v="0"/>
    <n v="1.6431293409784501E-2"/>
    <n v="0.98149117252422002"/>
    <x v="0"/>
    <m/>
    <s v="RLE not adjusted"/>
    <x v="3"/>
  </r>
  <r>
    <s v="Gs19"/>
    <x v="6"/>
    <s v="Dry Coast Hinterland Grassland"/>
    <s v="T4.5"/>
    <n v="3024.2363999999998"/>
    <n v="1334.6487999999999"/>
    <n v="0.4"/>
    <n v="0.43610348503704999"/>
    <n v="0.44131761657256702"/>
    <x v="3"/>
    <s v="A3_nat, B1i_rod"/>
    <s v="RLE not adjusted"/>
    <x v="3"/>
  </r>
  <r>
    <s v="Gs2"/>
    <x v="6"/>
    <s v="Ithala Quartzite Sourveld"/>
    <s v="T4.5"/>
    <n v="1545.4911999999999"/>
    <n v="1242.8227999999999"/>
    <n v="0.1"/>
    <n v="0.13797734188278499"/>
    <n v="0.80416038603131501"/>
    <x v="0"/>
    <m/>
    <s v="RLE not adjusted"/>
    <x v="1"/>
  </r>
  <r>
    <s v="Gs20"/>
    <x v="6"/>
    <s v="Moist Coast Hinterland Grassland"/>
    <s v="T4.5"/>
    <n v="6280.5940000000001"/>
    <n v="2257.5219999999999"/>
    <n v="0.5"/>
    <n v="0.456964999465997"/>
    <n v="0.35944402710953799"/>
    <x v="3"/>
    <s v="A3_nat, B1i_rod"/>
    <s v="RLE not adjusted"/>
    <x v="3"/>
  </r>
  <r>
    <s v="Gs3"/>
    <x v="6"/>
    <s v="Low Escarpment Moist Grassland"/>
    <s v="T4.5"/>
    <n v="1742.278"/>
    <n v="1563.8912"/>
    <n v="0.1"/>
    <n v="8.3332700581028402E-2"/>
    <n v="0.89761289530143895"/>
    <x v="0"/>
    <m/>
    <s v="RLE not adjusted"/>
    <x v="0"/>
  </r>
  <r>
    <s v="Gs4"/>
    <x v="6"/>
    <s v="Northern KwaZulu-Natal Moist Grassland"/>
    <s v="T4.5"/>
    <n v="7440.4260000000004"/>
    <n v="4242.93"/>
    <n v="0.4"/>
    <n v="0.36608373256934301"/>
    <n v="0.57025363870294499"/>
    <x v="3"/>
    <s v="B1i_rod"/>
    <s v="RLE not adjusted"/>
    <x v="0"/>
  </r>
  <r>
    <s v="Gs6"/>
    <x v="6"/>
    <s v="KwaZulu-Natal Highland Thornveld"/>
    <s v="T4.5"/>
    <n v="5227.4683999999997"/>
    <n v="3303.6124"/>
    <n v="0.3"/>
    <n v="0.28758980323185501"/>
    <n v="0.63197175902584102"/>
    <x v="0"/>
    <m/>
    <s v="RLE not adjusted"/>
    <x v="0"/>
  </r>
  <r>
    <s v="Gs7"/>
    <x v="6"/>
    <s v="Income Sandy Grassland"/>
    <s v="T4.5"/>
    <n v="4653.6067999999996"/>
    <n v="2366.6848"/>
    <n v="0.4"/>
    <n v="0.37914016181953603"/>
    <n v="0.50856999779181999"/>
    <x v="2"/>
    <s v="B1i_rod"/>
    <s v="RLE not adjusted"/>
    <x v="3"/>
  </r>
  <r>
    <s v="Gs8"/>
    <x v="6"/>
    <s v="Mooi River Highland Grassland"/>
    <s v="T4.5"/>
    <n v="2862.4155999999998"/>
    <n v="1664.26"/>
    <n v="0.5"/>
    <n v="0.496462617222034"/>
    <n v="0.58141801630762502"/>
    <x v="2"/>
    <s v="B1i_rod"/>
    <s v="RLE not adjusted"/>
    <x v="0"/>
  </r>
  <r>
    <s v="Gs9"/>
    <x v="6"/>
    <s v="Midlands Mistbelt Grassland"/>
    <s v="T4.5"/>
    <n v="6972.2335999999996"/>
    <n v="2020.0288"/>
    <n v="0.7"/>
    <n v="0.69753489193406304"/>
    <n v="0.28972477342124597"/>
    <x v="2"/>
    <s v="A3_nat"/>
    <s v="RLE not adjusted"/>
    <x v="0"/>
  </r>
  <r>
    <s v="NKb1"/>
    <x v="7"/>
    <s v="Lower Gariep Broken Veld"/>
    <s v="T5.1"/>
    <n v="4671.0663999999997"/>
    <n v="4637.4332000000004"/>
    <n v="0"/>
    <n v="1.32339361819903E-2"/>
    <n v="0.99279967418146797"/>
    <x v="0"/>
    <m/>
    <s v="RLE not adjusted"/>
    <x v="0"/>
  </r>
  <r>
    <s v="NKb2"/>
    <x v="7"/>
    <s v="Blouputs Karroid Thornveld"/>
    <s v="T5.1"/>
    <n v="607.48800000000006"/>
    <n v="601.39200000000005"/>
    <n v="0"/>
    <n v="1.4373005117095701E-2"/>
    <n v="0.98996523388116298"/>
    <x v="0"/>
    <m/>
    <s v="RLE not adjusted"/>
    <x v="2"/>
  </r>
  <r>
    <s v="NKb3"/>
    <x v="7"/>
    <s v="Bushmanland Arid Grassland"/>
    <s v="T5.1"/>
    <n v="41251.817999999999"/>
    <n v="40919.995600000002"/>
    <n v="0"/>
    <n v="1.7282223946704301E-2"/>
    <n v="0.99195617511936096"/>
    <x v="0"/>
    <m/>
    <s v="RLE not adjusted"/>
    <x v="0"/>
  </r>
  <r>
    <s v="NKb4"/>
    <x v="7"/>
    <s v="Bushmanland Sandy Grassland"/>
    <s v="T5.1"/>
    <n v="2677.2"/>
    <n v="2670.3191999999999"/>
    <n v="0"/>
    <n v="4.6549515634505103E-3"/>
    <n v="0.99742985208426704"/>
    <x v="0"/>
    <m/>
    <s v="RLE not adjusted"/>
    <x v="3"/>
  </r>
  <r>
    <s v="NKb5"/>
    <x v="7"/>
    <s v="Kalahari Karroid Shrubland"/>
    <s v="T5.1"/>
    <n v="8634.3688000000002"/>
    <n v="8543.5324000000001"/>
    <n v="0"/>
    <n v="1.7743030122629601E-2"/>
    <n v="0.98947967105597801"/>
    <x v="0"/>
    <m/>
    <s v="RLE not adjusted"/>
    <x v="3"/>
  </r>
  <r>
    <s v="NKb6"/>
    <x v="7"/>
    <s v="Bushmanland Basin Shrubland"/>
    <s v="T5.1"/>
    <n v="41250.668400000002"/>
    <n v="40909.9712"/>
    <n v="0"/>
    <n v="1.04837234445636E-2"/>
    <n v="0.99174080776834195"/>
    <x v="0"/>
    <m/>
    <s v="RLE not adjusted"/>
    <x v="0"/>
  </r>
  <r>
    <s v="NKl1"/>
    <x v="7"/>
    <s v="Gamka Karoo"/>
    <s v="T5.1"/>
    <n v="20205.945199999998"/>
    <n v="20074.736400000002"/>
    <n v="0"/>
    <n v="1.02364808296635E-2"/>
    <n v="0.99350642601960504"/>
    <x v="0"/>
    <m/>
    <s v="RLE not adjusted"/>
    <x v="0"/>
  </r>
  <r>
    <s v="NKl2"/>
    <x v="7"/>
    <s v="Eastern Lower Karoo"/>
    <s v="T5.1"/>
    <n v="8321.3631999999998"/>
    <n v="8164.2907999999998"/>
    <n v="0"/>
    <n v="1.9007056272439898E-2"/>
    <n v="0.98112419849670796"/>
    <x v="0"/>
    <m/>
    <s v="RLE not adjusted"/>
    <x v="1"/>
  </r>
  <r>
    <s v="NKl4"/>
    <x v="7"/>
    <s v="Albany Broken Veld"/>
    <s v="T5.1"/>
    <n v="742.69320000000005"/>
    <n v="683.21280000000002"/>
    <n v="0.1"/>
    <n v="8.4522965923370497E-2"/>
    <n v="0.91991255608641598"/>
    <x v="0"/>
    <m/>
    <s v="RLE not adjusted"/>
    <x v="1"/>
  </r>
  <r>
    <s v="NKu1"/>
    <x v="7"/>
    <s v="Western Upper Karoo"/>
    <s v="T5.1"/>
    <n v="17149.5756"/>
    <n v="16965.020799999998"/>
    <n v="0"/>
    <n v="1.1228358731801899E-2"/>
    <n v="0.98923852086462105"/>
    <x v="0"/>
    <m/>
    <s v="RLE not adjusted"/>
    <x v="3"/>
  </r>
  <r>
    <s v="NKu2"/>
    <x v="7"/>
    <s v="Upper Karoo Hardeveld"/>
    <s v="T5.1"/>
    <n v="11734.275600000001"/>
    <n v="11706.3608"/>
    <n v="0"/>
    <n v="3.28876249482284E-3"/>
    <n v="0.99762108877006395"/>
    <x v="0"/>
    <m/>
    <s v="RLE not adjusted"/>
    <x v="1"/>
  </r>
  <r>
    <s v="NKu3"/>
    <x v="7"/>
    <s v="Northern Upper Karoo"/>
    <s v="T5.1"/>
    <n v="42273.727200000001"/>
    <n v="40004.239600000001"/>
    <n v="0"/>
    <n v="4.2023270495740499E-2"/>
    <n v="0.94631446644714101"/>
    <x v="0"/>
    <m/>
    <s v="RLE not adjusted"/>
    <x v="3"/>
  </r>
  <r>
    <s v="NKu4"/>
    <x v="7"/>
    <s v="Eastern Upper Karoo"/>
    <s v="T5.1"/>
    <n v="49834.434399999998"/>
    <n v="48084.245199999998"/>
    <n v="0"/>
    <n v="2.1665814166706401E-2"/>
    <n v="0.96487992246581999"/>
    <x v="0"/>
    <m/>
    <s v="RLE not adjusted"/>
    <x v="0"/>
  </r>
  <r>
    <s v="SKk1"/>
    <x v="8"/>
    <s v="Northern Knersvlakte Vygieveld"/>
    <s v="T5.2"/>
    <n v="1673.7739999999999"/>
    <n v="1666.85"/>
    <n v="0"/>
    <n v="8.0848871715066203E-3"/>
    <n v="0.99586324079595001"/>
    <x v="0"/>
    <m/>
    <s v="RLE not adjusted"/>
    <x v="1"/>
  </r>
  <r>
    <s v="SKk2"/>
    <x v="8"/>
    <s v="Central Knersvlakte Vygieveld"/>
    <s v="T5.2"/>
    <n v="129.90559999999999"/>
    <n v="129.15479999999999"/>
    <n v="0"/>
    <n v="6.2493431911331198E-3"/>
    <n v="0.99422041851929399"/>
    <x v="0"/>
    <m/>
    <s v="RLE not adjusted"/>
    <x v="2"/>
  </r>
  <r>
    <s v="SKk3"/>
    <x v="8"/>
    <s v="Knersvlakte Quartz Vygieveld"/>
    <s v="T5.2"/>
    <n v="1320.886"/>
    <n v="1298.8296"/>
    <n v="0"/>
    <n v="1.4947451175107301E-2"/>
    <n v="0.98330181408539397"/>
    <x v="0"/>
    <m/>
    <s v="RLE not adjusted"/>
    <x v="2"/>
  </r>
  <r>
    <s v="SKk4"/>
    <x v="8"/>
    <s v="Knersvlakte Shale Vygieveld"/>
    <s v="T5.2"/>
    <n v="983.548"/>
    <n v="979.37239999999997"/>
    <n v="0"/>
    <n v="7.3267703942449603E-3"/>
    <n v="0.99575455392111001"/>
    <x v="0"/>
    <m/>
    <s v="RLE not adjusted"/>
    <x v="0"/>
  </r>
  <r>
    <s v="SKk5"/>
    <x v="8"/>
    <s v="Vanrhynsdorp Gannabosveld"/>
    <s v="T3.2"/>
    <n v="988.53"/>
    <n v="829.17679999999996"/>
    <n v="0.1"/>
    <n v="0.106452992408834"/>
    <n v="0.83879781089091898"/>
    <x v="0"/>
    <m/>
    <s v="RLE not adjusted"/>
    <x v="3"/>
  </r>
  <r>
    <s v="SKk6"/>
    <x v="8"/>
    <s v="Knersvlakte Dolomite Vygieveld"/>
    <s v="T5.2"/>
    <n v="59.8264"/>
    <n v="57.031999999999996"/>
    <n v="0.1"/>
    <n v="6.3787778854147395E-2"/>
    <n v="0.95329152347458601"/>
    <x v="0"/>
    <m/>
    <s v="RLE not adjusted"/>
    <x v="1"/>
  </r>
  <r>
    <s v="SKk7"/>
    <x v="8"/>
    <s v="Citrusdal Vygieveld"/>
    <s v="T5.2"/>
    <n v="185.21360000000001"/>
    <n v="130.8612"/>
    <n v="0.3"/>
    <n v="0.28966674154685801"/>
    <n v="0.70654206818505805"/>
    <x v="0"/>
    <m/>
    <s v="RLE not adjusted"/>
    <x v="0"/>
  </r>
  <r>
    <s v="SKk8"/>
    <x v="8"/>
    <s v="Piketberg Quartz Succulent Shrubland"/>
    <s v="T5.2"/>
    <n v="2.86"/>
    <n v="0.61439999999999995"/>
    <n v="0.9"/>
    <n v="0.869360902255639"/>
    <n v="0.220839160839161"/>
    <x v="1"/>
    <s v="B1i_rod, B2i_rod"/>
    <s v="RLE not adjusted"/>
    <x v="3"/>
  </r>
  <r>
    <s v="SKk9"/>
    <x v="8"/>
    <s v="Kobee Succulent Shrubland"/>
    <s v="T5.2"/>
    <n v="142.76560000000001"/>
    <n v="140.2268"/>
    <n v="0"/>
    <n v="4.2140483285916401E-2"/>
    <n v="0.98221700465658401"/>
    <x v="0"/>
    <m/>
    <s v="RLE not adjusted"/>
    <x v="3"/>
  </r>
  <r>
    <s v="SKn1"/>
    <x v="8"/>
    <s v="Namaqualand Klipkoppe Shrubland"/>
    <s v="T5.2"/>
    <n v="7582.1624000000002"/>
    <n v="7342.0047999999997"/>
    <n v="0"/>
    <n v="1.2980613483179399E-2"/>
    <n v="0.96832597518618202"/>
    <x v="0"/>
    <m/>
    <s v="RLE not adjusted"/>
    <x v="0"/>
  </r>
  <r>
    <s v="SKn2"/>
    <x v="8"/>
    <s v="Namaqualand Shale Shrubland"/>
    <s v="T5.2"/>
    <n v="539.33240000000001"/>
    <n v="534.20360000000005"/>
    <n v="0"/>
    <n v="7.0949080645594798E-3"/>
    <n v="0.99049046562008902"/>
    <x v="0"/>
    <m/>
    <s v="RLE not adjusted"/>
    <x v="3"/>
  </r>
  <r>
    <s v="SKn3"/>
    <x v="8"/>
    <s v="Namaqualand Blomveld"/>
    <s v="T5.2"/>
    <n v="3107.9960000000001"/>
    <n v="2891.0239999999999"/>
    <n v="0"/>
    <n v="2.9535900181497401E-2"/>
    <n v="0.93018909934246996"/>
    <x v="0"/>
    <m/>
    <s v="RLE not adjusted"/>
    <x v="0"/>
  </r>
  <r>
    <s v="SKn4"/>
    <x v="8"/>
    <s v="Namaqualand Heuweltjieveld"/>
    <s v="T5.2"/>
    <n v="5040.6135999999997"/>
    <n v="4581.2659999999996"/>
    <n v="0"/>
    <n v="3.45540500821074E-2"/>
    <n v="0.90887069780552099"/>
    <x v="0"/>
    <m/>
    <s v="RLE not adjusted"/>
    <x v="0"/>
  </r>
  <r>
    <s v="SKn5"/>
    <x v="8"/>
    <s v="Platbakkies Succulent Shrubland"/>
    <s v="T5.2"/>
    <n v="653.34360000000004"/>
    <n v="650.53840000000002"/>
    <n v="0"/>
    <n v="1.0608890572013E-2"/>
    <n v="0.99570639400156402"/>
    <x v="0"/>
    <m/>
    <s v="RLE not adjusted"/>
    <x v="3"/>
  </r>
  <r>
    <s v="SKn6"/>
    <x v="8"/>
    <s v="Kamiesberg Mountains Shrubland"/>
    <s v="T3.2"/>
    <n v="396.7944"/>
    <n v="391.50599999999997"/>
    <n v="0"/>
    <n v="8.9397324498538804E-3"/>
    <n v="0.98667219093817804"/>
    <x v="0"/>
    <m/>
    <s v="RLE not adjusted"/>
    <x v="3"/>
  </r>
  <r>
    <s v="SKn7"/>
    <x v="8"/>
    <s v="Southern Namaqualand Quartzite Klipkoppe Shrubland"/>
    <s v="T5.2"/>
    <n v="997.14880000000005"/>
    <n v="907.93119999999999"/>
    <n v="0"/>
    <n v="4.0885950766092097E-2"/>
    <n v="0.910527295424715"/>
    <x v="0"/>
    <m/>
    <s v="RLE not adjusted"/>
    <x v="0"/>
  </r>
  <r>
    <s v="SKr1"/>
    <x v="8"/>
    <s v="Central Richtersveld Mountain Shrubland"/>
    <s v="T3.2"/>
    <n v="1200.4012"/>
    <n v="1199.7416000000001"/>
    <n v="0"/>
    <n v="1.17168792049548E-3"/>
    <n v="0.99945051704380194"/>
    <x v="0"/>
    <m/>
    <s v="RLE not adjusted"/>
    <x v="2"/>
  </r>
  <r>
    <s v="SKr10"/>
    <x v="8"/>
    <s v="Die Plate Succulent Shrubland"/>
    <s v="T5.2"/>
    <n v="127.56959999999999"/>
    <n v="127.14239999999999"/>
    <n v="0"/>
    <n v="9.56616650775329E-3"/>
    <n v="0.99665123979380699"/>
    <x v="0"/>
    <m/>
    <s v="RLE not adjusted"/>
    <x v="3"/>
  </r>
  <r>
    <s v="SKr11"/>
    <x v="8"/>
    <s v="Rooiberg Quartz Vygieveld"/>
    <s v="T5.2"/>
    <n v="129.27520000000001"/>
    <n v="128.12039999999999"/>
    <n v="0"/>
    <n v="2.1029022764838302E-2"/>
    <n v="0.99106711882866905"/>
    <x v="0"/>
    <m/>
    <s v="RLE not adjusted"/>
    <x v="2"/>
  </r>
  <r>
    <s v="SKr12"/>
    <x v="8"/>
    <s v="Kosiesberg Succulent Shrubland"/>
    <s v="T5.2"/>
    <n v="612.14639999999997"/>
    <n v="611.89679999999998"/>
    <n v="0"/>
    <n v="8.9450260753645998E-4"/>
    <n v="0.99959225440188804"/>
    <x v="0"/>
    <m/>
    <s v="RLE not adjusted"/>
    <x v="3"/>
  </r>
  <r>
    <s v="SKr13"/>
    <x v="8"/>
    <s v="Southern Richtersveld Scorpionstailveld"/>
    <s v="T5.2"/>
    <n v="722.67600000000004"/>
    <n v="721.83159999999998"/>
    <n v="0"/>
    <n v="2.6559093169092598E-3"/>
    <n v="0.99883156490598801"/>
    <x v="1"/>
    <s v="B1i_sup"/>
    <s v="RLE adjusted"/>
    <x v="3"/>
  </r>
  <r>
    <s v="SKr14"/>
    <x v="8"/>
    <s v="Southern Richtersveld Inselberg Shrubland"/>
    <s v="T5.2"/>
    <n v="365.56319999999999"/>
    <n v="365.21559999999999"/>
    <n v="0"/>
    <n v="1.72747563335755E-3"/>
    <n v="0.99904913842531196"/>
    <x v="0"/>
    <m/>
    <s v="RLE not adjusted"/>
    <x v="3"/>
  </r>
  <r>
    <s v="SKr15"/>
    <x v="8"/>
    <s v="Anenous Plateau Shrubland"/>
    <s v="T5.2"/>
    <n v="241.7792"/>
    <n v="200.304"/>
    <n v="0"/>
    <n v="3.32659617345126E-2"/>
    <n v="0.82845836200963496"/>
    <x v="0"/>
    <m/>
    <s v="RLE not adjusted"/>
    <x v="3"/>
  </r>
  <r>
    <s v="SKr16"/>
    <x v="8"/>
    <s v="Umdaus Mountains Succulent Shrubland"/>
    <s v="T5.2"/>
    <n v="432.84480000000002"/>
    <n v="432.33519999999999"/>
    <n v="0"/>
    <n v="1.9908194617425001E-3"/>
    <n v="0.99882267269931402"/>
    <x v="0"/>
    <m/>
    <s v="RLE not adjusted"/>
    <x v="3"/>
  </r>
  <r>
    <s v="SKr17"/>
    <x v="8"/>
    <s v="Eenriet Plains Succulent Shrubland"/>
    <s v="T5.2"/>
    <n v="260.74560000000002"/>
    <n v="259.666"/>
    <n v="0"/>
    <n v="9.7369217161091606E-3"/>
    <n v="0.99585956579900103"/>
    <x v="0"/>
    <m/>
    <s v="RLE not adjusted"/>
    <x v="3"/>
  </r>
  <r>
    <s v="SKr18"/>
    <x v="8"/>
    <s v="Bushmanland Inselberg Shrubland"/>
    <s v="T4.1"/>
    <n v="817.7808"/>
    <n v="812.36199999999997"/>
    <n v="0"/>
    <n v="1.3413693948991799E-2"/>
    <n v="0.99337377448822495"/>
    <x v="0"/>
    <m/>
    <s v="RLE not adjusted"/>
    <x v="0"/>
  </r>
  <r>
    <s v="SKr19"/>
    <x v="8"/>
    <s v="Aggeneys Gravel Vygieveld"/>
    <s v="T5.2"/>
    <n v="371.96319999999997"/>
    <n v="367.71440000000001"/>
    <n v="0"/>
    <n v="2.6940352428608101E-2"/>
    <n v="0.98857736464252399"/>
    <x v="0"/>
    <m/>
    <s v="RLE not adjusted"/>
    <x v="2"/>
  </r>
  <r>
    <s v="SKr2"/>
    <x v="8"/>
    <s v="Upper Annisvlakte Succulent Shrubland"/>
    <s v="T5.2"/>
    <n v="192.11359999999999"/>
    <n v="191.3312"/>
    <n v="0"/>
    <n v="6.8057792278229598E-3"/>
    <n v="0.99592740961597703"/>
    <x v="1"/>
    <s v="B1i_sup"/>
    <s v="RLE adjusted"/>
    <x v="1"/>
  </r>
  <r>
    <s v="SKr3"/>
    <x v="8"/>
    <s v="Goariep Mountain Succulent Shrubland"/>
    <s v="T5.2"/>
    <n v="170.77440000000001"/>
    <n v="170.73759999999999"/>
    <n v="0"/>
    <n v="6.7340303933193305E-4"/>
    <n v="0.99978451102741395"/>
    <x v="0"/>
    <m/>
    <s v="RLE not adjusted"/>
    <x v="2"/>
  </r>
  <r>
    <s v="SKr4"/>
    <x v="8"/>
    <s v="Lekkersing Succulent Shrubland"/>
    <s v="T5.2"/>
    <n v="836.22479999999996"/>
    <n v="827.16120000000001"/>
    <n v="0"/>
    <n v="5.3630703591384396E-3"/>
    <n v="0.989161287730285"/>
    <x v="0"/>
    <m/>
    <s v="RLE not adjusted"/>
    <x v="1"/>
  </r>
  <r>
    <s v="SKr5"/>
    <x v="8"/>
    <s v="Vyftienmyl se Berge Succulent Shrubland"/>
    <s v="T5.2"/>
    <n v="18.365200000000002"/>
    <n v="18.365200000000002"/>
    <n v="0"/>
    <n v="0"/>
    <n v="1"/>
    <x v="0"/>
    <m/>
    <s v="RLE not adjusted"/>
    <x v="2"/>
  </r>
  <r>
    <s v="SKr6"/>
    <x v="8"/>
    <s v="Stinkfonteinberge Eastern Apron Shrubland"/>
    <s v="T5.2"/>
    <n v="65.872799999999998"/>
    <n v="65.8232"/>
    <n v="0"/>
    <n v="2.1444273733684399E-3"/>
    <n v="0.99924703367702605"/>
    <x v="0"/>
    <m/>
    <s v="RLE not adjusted"/>
    <x v="2"/>
  </r>
  <r>
    <s v="SKr7"/>
    <x v="8"/>
    <s v="Northern Richtersveld Scorpionstailveld"/>
    <s v="T5.2"/>
    <n v="327.14960000000002"/>
    <n v="326.55439999999999"/>
    <n v="0"/>
    <n v="5.5405362444308102E-3"/>
    <n v="0.99818064885300195"/>
    <x v="2"/>
    <s v="B1i_sup"/>
    <s v="RLE adjusted"/>
    <x v="2"/>
  </r>
  <r>
    <s v="SKr8"/>
    <x v="8"/>
    <s v="Rosyntjieberg Succulent Shrubland"/>
    <s v="T5.2"/>
    <n v="50.557600000000001"/>
    <n v="50.510399999999997"/>
    <n v="0"/>
    <n v="2.91746443660323E-3"/>
    <n v="0.99906641138028696"/>
    <x v="0"/>
    <m/>
    <s v="RLE not adjusted"/>
    <x v="2"/>
  </r>
  <r>
    <s v="SKr9"/>
    <x v="8"/>
    <s v="Tatasberg Mountain Succulent Shrubland"/>
    <s v="T5.2"/>
    <n v="3.2652000000000001"/>
    <n v="3.2652000000000001"/>
    <n v="0"/>
    <n v="0"/>
    <n v="1"/>
    <x v="0"/>
    <m/>
    <s v="RLE not adjusted"/>
    <x v="2"/>
  </r>
  <r>
    <s v="SKs1"/>
    <x v="8"/>
    <s v="Richtersveld Coastal Duneveld"/>
    <s v="T5.2"/>
    <n v="508.02120000000002"/>
    <n v="311.00760000000002"/>
    <n v="0.4"/>
    <n v="0.36643179495912798"/>
    <n v="0.61219413678011902"/>
    <x v="1"/>
    <s v="B1i_rod"/>
    <s v="RLE not adjusted"/>
    <x v="3"/>
  </r>
  <r>
    <s v="SKs10"/>
    <x v="8"/>
    <s v="Riethuis-Wallekraal Quartz Vygieveld"/>
    <s v="T5.2"/>
    <n v="136.4288"/>
    <n v="133.9984"/>
    <n v="0"/>
    <n v="9.2728866375190993E-3"/>
    <n v="0.98218557958436903"/>
    <x v="0"/>
    <m/>
    <s v="RLE not adjusted"/>
    <x v="2"/>
  </r>
  <r>
    <s v="SKs11"/>
    <x v="8"/>
    <s v="Namaqualand Arid Grassland"/>
    <s v="T4.5"/>
    <n v="286.97919999999999"/>
    <n v="286.68520000000001"/>
    <n v="0"/>
    <n v="2.92294642757559E-3"/>
    <n v="0.99897553550919405"/>
    <x v="0"/>
    <m/>
    <s v="RLE not adjusted"/>
    <x v="2"/>
  </r>
  <r>
    <s v="SKs12"/>
    <x v="8"/>
    <s v="Namaqualand Spinescent Grassland"/>
    <s v="T5.2"/>
    <n v="469.92880000000002"/>
    <n v="423.524"/>
    <n v="0"/>
    <n v="3.2368921349070601E-2"/>
    <n v="0.90125142361991895"/>
    <x v="0"/>
    <m/>
    <s v="RLE not adjusted"/>
    <x v="0"/>
  </r>
  <r>
    <s v="SKs13"/>
    <x v="8"/>
    <s v="Klawer Sandy Shrubland"/>
    <s v="T5.2"/>
    <n v="201.12960000000001"/>
    <n v="108.1508"/>
    <n v="0.5"/>
    <n v="0.54427090492029595"/>
    <n v="0.53771697452786704"/>
    <x v="1"/>
    <s v="B1i_rod"/>
    <s v="RLE not adjusted"/>
    <x v="3"/>
  </r>
  <r>
    <s v="SKs14"/>
    <x v="8"/>
    <s v="Namaqualand Heuweltjie Strandveld"/>
    <s v="T5.2"/>
    <n v="838.94560000000001"/>
    <n v="644.01440000000002"/>
    <n v="0.1"/>
    <n v="9.6191672852069504E-2"/>
    <n v="0.76764738977115998"/>
    <x v="0"/>
    <m/>
    <s v="RLE not adjusted"/>
    <x v="0"/>
  </r>
  <r>
    <s v="SKs2"/>
    <x v="8"/>
    <s v="Northern Richtersveld Yellow Duneveld"/>
    <s v="T5.2"/>
    <n v="536.10040000000004"/>
    <n v="524.90279999999996"/>
    <n v="0"/>
    <n v="2.3943408482678199E-2"/>
    <n v="0.97911286766434003"/>
    <x v="0"/>
    <m/>
    <s v="RLE not adjusted"/>
    <x v="3"/>
  </r>
  <r>
    <s v="SKs3"/>
    <x v="8"/>
    <s v="Southern Richtersveld Yellow Duneveld"/>
    <s v="T5.2"/>
    <n v="331.4"/>
    <n v="302.72000000000003"/>
    <n v="0.1"/>
    <n v="6.52976385307735E-2"/>
    <n v="0.91345805672902802"/>
    <x v="0"/>
    <m/>
    <s v="RLE not adjusted"/>
    <x v="3"/>
  </r>
  <r>
    <s v="SKs4"/>
    <x v="8"/>
    <s v="Richtersveld Sandy Coastal Scorpionstailveld"/>
    <s v="T5.2"/>
    <n v="449.04399999999998"/>
    <n v="441.44080000000002"/>
    <n v="0"/>
    <n v="1.63096092273964E-2"/>
    <n v="0.983068028968208"/>
    <x v="0"/>
    <m/>
    <s v="RLE not adjusted"/>
    <x v="3"/>
  </r>
  <r>
    <s v="SKs5"/>
    <x v="8"/>
    <s v="Richtersveld Red Duneveld"/>
    <s v="T5.2"/>
    <n v="566.1096"/>
    <n v="565.69079999999997"/>
    <n v="0"/>
    <n v="1.9080045028905699E-3"/>
    <n v="0.99926021392324005"/>
    <x v="0"/>
    <m/>
    <s v="RLE not adjusted"/>
    <x v="3"/>
  </r>
  <r>
    <s v="SKs6"/>
    <x v="8"/>
    <s v="Oograbies Plains Sandy Grassland"/>
    <s v="T4.5"/>
    <n v="123.30200000000001"/>
    <n v="122.7916"/>
    <n v="0"/>
    <n v="9.8939289634166292E-3"/>
    <n v="0.99586056998264405"/>
    <x v="0"/>
    <m/>
    <s v="RLE not adjusted"/>
    <x v="3"/>
  </r>
  <r>
    <s v="SKs7"/>
    <x v="8"/>
    <s v="Namaqualand Strandveld"/>
    <s v="MT2.1"/>
    <n v="3151.7932000000001"/>
    <n v="2540.0111999999999"/>
    <n v="0.1"/>
    <n v="8.7911603535809693E-2"/>
    <n v="0.80589399076056101"/>
    <x v="0"/>
    <m/>
    <s v="RLE not adjusted"/>
    <x v="0"/>
  </r>
  <r>
    <s v="SKs8"/>
    <x v="8"/>
    <s v="Namaqualand Coastal Duneveld"/>
    <s v="T5.2"/>
    <n v="868.03120000000001"/>
    <n v="727.28800000000001"/>
    <n v="0.1"/>
    <n v="0.12545743263360801"/>
    <n v="0.83785928432065604"/>
    <x v="0"/>
    <m/>
    <s v="RLE not adjusted"/>
    <x v="1"/>
  </r>
  <r>
    <s v="SKs9"/>
    <x v="8"/>
    <s v="Namaqualand Inland Duneveld"/>
    <s v="T5.2"/>
    <n v="917.39239999999995"/>
    <n v="884.7432"/>
    <n v="0.1"/>
    <n v="7.1620967955683901E-2"/>
    <n v="0.96441086714910695"/>
    <x v="0"/>
    <m/>
    <s v="RLE not adjusted"/>
    <x v="0"/>
  </r>
  <r>
    <s v="SKt1"/>
    <x v="8"/>
    <s v="Western Bushmanland Klipveld"/>
    <s v="T5.2"/>
    <n v="101.7792"/>
    <n v="101.3284"/>
    <n v="0"/>
    <n v="1.34621507210604E-2"/>
    <n v="0.99557080425077005"/>
    <x v="0"/>
    <m/>
    <s v="RLE not adjusted"/>
    <x v="3"/>
  </r>
  <r>
    <s v="SKt2"/>
    <x v="8"/>
    <s v="Hantam Karoo"/>
    <s v="T5.2"/>
    <n v="7632.5540000000001"/>
    <n v="7313.0976000000001"/>
    <n v="0"/>
    <n v="1.94902638061384E-2"/>
    <n v="0.958145543418363"/>
    <x v="0"/>
    <m/>
    <s v="RLE not adjusted"/>
    <x v="3"/>
  </r>
  <r>
    <s v="SKt3"/>
    <x v="8"/>
    <s v="Roggeveld Karoo"/>
    <s v="T5.2"/>
    <n v="5357.9960000000001"/>
    <n v="5222.7172"/>
    <n v="0"/>
    <n v="1.81048458605307E-2"/>
    <n v="0.97475197816497094"/>
    <x v="0"/>
    <m/>
    <s v="RLE not adjusted"/>
    <x v="3"/>
  </r>
  <r>
    <s v="SKv1"/>
    <x v="8"/>
    <s v="Doringrivier Quartzite Karoo"/>
    <s v="T5.2"/>
    <n v="540.74"/>
    <n v="447.98239999999998"/>
    <n v="0.1"/>
    <n v="0.14921491454059699"/>
    <n v="0.82846173761881903"/>
    <x v="0"/>
    <m/>
    <s v="RLE not adjusted"/>
    <x v="3"/>
  </r>
  <r>
    <s v="SKv10"/>
    <x v="8"/>
    <s v="Little Karoo Quartz Vygieveld"/>
    <s v="T5.2"/>
    <n v="240.126"/>
    <n v="226.26560000000001"/>
    <n v="0.1"/>
    <n v="6.1857007695546702E-2"/>
    <n v="0.94227863704888304"/>
    <x v="0"/>
    <m/>
    <s v="RLE not adjusted"/>
    <x v="0"/>
  </r>
  <r>
    <s v="SKv11"/>
    <x v="8"/>
    <s v="Eastern Little Karoo"/>
    <s v="T5.2"/>
    <n v="1578.5704000000001"/>
    <n v="1369.1659999999999"/>
    <n v="0.1"/>
    <n v="9.9349519377231202E-2"/>
    <n v="0.86734554252379203"/>
    <x v="2"/>
    <s v="D1_elk"/>
    <s v="RLE adjusted"/>
    <x v="0"/>
  </r>
  <r>
    <s v="SKv13"/>
    <x v="8"/>
    <s v="Prince Albert Succulent Karoo"/>
    <s v="T5.2"/>
    <n v="2555.2608"/>
    <n v="2513.9679999999998"/>
    <n v="0"/>
    <n v="1.57438705763604E-2"/>
    <n v="0.983840083955422"/>
    <x v="0"/>
    <m/>
    <s v="RLE not adjusted"/>
    <x v="0"/>
  </r>
  <r>
    <s v="SKv14"/>
    <x v="8"/>
    <s v="Steytlerville Karoo"/>
    <s v="T5.2"/>
    <n v="793.30560000000003"/>
    <n v="769.24480000000005"/>
    <n v="0"/>
    <n v="2.8019359333700901E-2"/>
    <n v="0.96967020023557104"/>
    <x v="0"/>
    <m/>
    <s v="RLE not adjusted"/>
    <x v="3"/>
  </r>
  <r>
    <s v="SKv2"/>
    <x v="8"/>
    <s v="Swartruggens Quartzite Karoo"/>
    <s v="T5.2"/>
    <n v="559.38639999999998"/>
    <n v="557.15"/>
    <n v="0"/>
    <n v="1.00590536671313E-2"/>
    <n v="0.99600204795826297"/>
    <x v="0"/>
    <m/>
    <s v="RLE not adjusted"/>
    <x v="1"/>
  </r>
  <r>
    <s v="SKv3"/>
    <x v="8"/>
    <s v="Agter-Sederberg Shrubland"/>
    <s v="T5.2"/>
    <n v="928.57240000000002"/>
    <n v="902.99040000000002"/>
    <n v="0"/>
    <n v="1.4979231590906E-2"/>
    <n v="0.97245018266750105"/>
    <x v="0"/>
    <m/>
    <s v="RLE not adjusted"/>
    <x v="0"/>
  </r>
  <r>
    <s v="SKv4"/>
    <x v="8"/>
    <s v="Tanqua Escarpment Shrubland"/>
    <s v="T5.2"/>
    <n v="1318.3684000000001"/>
    <n v="1313.5804000000001"/>
    <n v="0"/>
    <n v="3.2330352818926E-3"/>
    <n v="0.99636823819502995"/>
    <x v="0"/>
    <m/>
    <s v="RLE not adjusted"/>
    <x v="1"/>
  </r>
  <r>
    <s v="SKv5"/>
    <x v="8"/>
    <s v="Tanqua Karoo"/>
    <s v="T5.2"/>
    <n v="6988.3064000000004"/>
    <n v="6923.8212000000003"/>
    <n v="0"/>
    <n v="9.6612191980605198E-3"/>
    <n v="0.99077241375678704"/>
    <x v="0"/>
    <m/>
    <s v="RLE not adjusted"/>
    <x v="1"/>
  </r>
  <r>
    <s v="SKv6"/>
    <x v="8"/>
    <s v="Koedoesberge-Moordenaars Karoo"/>
    <s v="T5.2"/>
    <n v="4714.4892"/>
    <n v="4674.8652000000002"/>
    <n v="0"/>
    <n v="1.0226612261188799E-2"/>
    <n v="0.991595271869538"/>
    <x v="0"/>
    <m/>
    <s v="RLE not adjusted"/>
    <x v="3"/>
  </r>
  <r>
    <s v="SKv7"/>
    <x v="8"/>
    <s v="Robertson Karoo"/>
    <s v="T5.2"/>
    <n v="653.35519999999997"/>
    <n v="496.25200000000001"/>
    <n v="0.2"/>
    <n v="0.201955221337419"/>
    <n v="0.75954396628357701"/>
    <x v="0"/>
    <m/>
    <s v="RLE not adjusted"/>
    <x v="0"/>
  </r>
  <r>
    <s v="SKv8"/>
    <x v="8"/>
    <s v="Western Little Karoo"/>
    <s v="T5.2"/>
    <n v="4109.0248000000001"/>
    <n v="3931.7928000000002"/>
    <n v="0"/>
    <n v="3.3465190414863698E-2"/>
    <n v="0.95686762464904096"/>
    <x v="0"/>
    <m/>
    <s v="RLE not adjusted"/>
    <x v="1"/>
  </r>
  <r>
    <s v="SVcb1"/>
    <x v="9"/>
    <s v="Dwaalboom Thornveld"/>
    <s v="T4.2"/>
    <n v="6645.4948000000004"/>
    <n v="5108.8792000000003"/>
    <n v="0.2"/>
    <n v="0.18118212821032501"/>
    <n v="0.76877333498176803"/>
    <x v="0"/>
    <m/>
    <s v="RLE not adjusted"/>
    <x v="1"/>
  </r>
  <r>
    <s v="SVcb10"/>
    <x v="9"/>
    <s v="Gauteng Shale Mountain Bushveld"/>
    <s v="T4.2"/>
    <n v="1442.1487999999999"/>
    <n v="919.66319999999996"/>
    <n v="0.4"/>
    <n v="0.39620372308041701"/>
    <n v="0.63770340480815801"/>
    <x v="2"/>
    <s v="B1i_rod"/>
    <s v="RLE not adjusted"/>
    <x v="0"/>
  </r>
  <r>
    <s v="SVcb11"/>
    <x v="9"/>
    <s v="Andesite Mountain Bushveld"/>
    <s v="T4.2"/>
    <n v="3285.6363999999999"/>
    <n v="2493.6388000000002"/>
    <n v="0.2"/>
    <n v="0.184642520729905"/>
    <n v="0.75895153827733397"/>
    <x v="0"/>
    <m/>
    <s v="RLE not adjusted"/>
    <x v="0"/>
  </r>
  <r>
    <s v="SVcb12"/>
    <x v="9"/>
    <s v="Central Sandy Bushveld"/>
    <s v="T4.2"/>
    <n v="17384.092000000001"/>
    <n v="10862.8848"/>
    <n v="0.3"/>
    <n v="0.31205365269454699"/>
    <n v="0.62487501791868105"/>
    <x v="0"/>
    <m/>
    <s v="RLE not adjusted"/>
    <x v="0"/>
  </r>
  <r>
    <s v="SVcb13"/>
    <x v="9"/>
    <s v="Loskop Mountain Bushveld"/>
    <s v="T4.2"/>
    <n v="2066.3027999999999"/>
    <n v="1920.4356"/>
    <n v="0.1"/>
    <n v="5.5794450375759398E-2"/>
    <n v="0.92940666779331704"/>
    <x v="0"/>
    <m/>
    <s v="RLE not adjusted"/>
    <x v="1"/>
  </r>
  <r>
    <s v="SVcb14"/>
    <x v="9"/>
    <s v="Loskop Thornveld"/>
    <s v="T4.2"/>
    <n v="759.89200000000005"/>
    <n v="441.22719999999998"/>
    <n v="0.1"/>
    <n v="0.13971516671530901"/>
    <n v="0.58064461791938804"/>
    <x v="0"/>
    <m/>
    <s v="RLE not adjusted"/>
    <x v="0"/>
  </r>
  <r>
    <s v="SVcb15"/>
    <x v="9"/>
    <s v="Springbokvlakte Thornveld"/>
    <s v="T4.1"/>
    <n v="7198.2151999999996"/>
    <n v="2856.3323999999998"/>
    <n v="0.4"/>
    <n v="0.44248625029842298"/>
    <n v="0.39681119842040802"/>
    <x v="2"/>
    <s v="B1i_rod"/>
    <s v="RLE not adjusted"/>
    <x v="0"/>
  </r>
  <r>
    <s v="SVcb16"/>
    <x v="9"/>
    <s v="Western Sandy Bushveld"/>
    <s v="T4.2"/>
    <n v="12074.1312"/>
    <n v="9880.8071999999993"/>
    <n v="0.1"/>
    <n v="0.102873232750816"/>
    <n v="0.81834519074962497"/>
    <x v="0"/>
    <m/>
    <s v="RLE not adjusted"/>
    <x v="1"/>
  </r>
  <r>
    <s v="SVcb17"/>
    <x v="9"/>
    <s v="Waterberg Mountain Bushveld"/>
    <s v="T4.2"/>
    <n v="8901.2312000000002"/>
    <n v="8214.6460000000006"/>
    <n v="0"/>
    <n v="4.6383095644521997E-2"/>
    <n v="0.92286626596105004"/>
    <x v="0"/>
    <m/>
    <s v="RLE not adjusted"/>
    <x v="1"/>
  </r>
  <r>
    <s v="SVcb18"/>
    <x v="9"/>
    <s v="Roodeberg Bushveld"/>
    <s v="T4.1"/>
    <n v="6496.36"/>
    <n v="5101.8224"/>
    <n v="0.2"/>
    <n v="0.16625764776271901"/>
    <n v="0.78533554174953402"/>
    <x v="0"/>
    <m/>
    <s v="RLE not adjusted"/>
    <x v="1"/>
  </r>
  <r>
    <s v="SVcb19"/>
    <x v="9"/>
    <s v="Limpopo Sweet Bushveld"/>
    <s v="T4.1"/>
    <n v="12012.496800000001"/>
    <n v="10665.7168"/>
    <n v="0.1"/>
    <n v="0.14139945428189299"/>
    <n v="0.88788508980081504"/>
    <x v="0"/>
    <m/>
    <s v="RLE not adjusted"/>
    <x v="0"/>
  </r>
  <r>
    <s v="SVcb2"/>
    <x v="9"/>
    <s v="Madikwe Dolomite Bushveld"/>
    <s v="T4.1"/>
    <n v="1107.4924000000001"/>
    <n v="1075.8563999999999"/>
    <n v="0"/>
    <n v="2.6643661276112798E-2"/>
    <n v="0.97143456695504204"/>
    <x v="0"/>
    <m/>
    <s v="RLE not adjusted"/>
    <x v="2"/>
  </r>
  <r>
    <s v="SVcb20"/>
    <x v="9"/>
    <s v="Makhado Sweet Bushveld"/>
    <s v="T4.1"/>
    <n v="10110.8896"/>
    <n v="6219.6988000000001"/>
    <n v="0.4"/>
    <n v="0.36084855872048799"/>
    <n v="0.61514852263840403"/>
    <x v="2"/>
    <s v="B1i_rod"/>
    <s v="RLE not adjusted"/>
    <x v="0"/>
  </r>
  <r>
    <s v="SVcb21"/>
    <x v="9"/>
    <s v="Soutpansberg Mountain Bushveld"/>
    <s v="T4.2"/>
    <n v="4147.7392"/>
    <n v="3045.6619999999998"/>
    <n v="0.2"/>
    <n v="0.20711789322010499"/>
    <n v="0.73429448023154398"/>
    <x v="0"/>
    <m/>
    <s v="RLE not adjusted"/>
    <x v="1"/>
  </r>
  <r>
    <s v="SVcb22"/>
    <x v="9"/>
    <s v="VhaVenda Miombo"/>
    <s v="T4.2"/>
    <n v="0.60199999999999998"/>
    <n v="0.53159999999999996"/>
    <n v="0.3"/>
    <n v="0.25483759502418801"/>
    <n v="0.88305647840531598"/>
    <x v="0"/>
    <m/>
    <s v="RLE not adjusted"/>
    <x v="2"/>
  </r>
  <r>
    <s v="SVcb23"/>
    <x v="9"/>
    <s v="Polokwane Plateau Bushveld"/>
    <s v="T4.2"/>
    <n v="4445.3284000000003"/>
    <n v="2519.1048000000001"/>
    <n v="0.4"/>
    <n v="0.40232294546236302"/>
    <n v="0.56668587184694796"/>
    <x v="2"/>
    <s v="B1i_rod"/>
    <s v="RLE not adjusted"/>
    <x v="0"/>
  </r>
  <r>
    <s v="SVcb24"/>
    <x v="9"/>
    <s v="Mamabolo Mountain Bushveld"/>
    <s v="T4.2"/>
    <n v="666.91"/>
    <n v="596.71680000000003"/>
    <n v="0.1"/>
    <n v="5.3612652783706999E-2"/>
    <n v="0.89474861675488504"/>
    <x v="0"/>
    <m/>
    <s v="RLE not adjusted"/>
    <x v="0"/>
  </r>
  <r>
    <s v="SVcb25"/>
    <x v="9"/>
    <s v="Poung Dolomite Mountain Bushveld"/>
    <s v="T4.2"/>
    <n v="891.32399999999996"/>
    <n v="823.97720000000004"/>
    <n v="0.1"/>
    <n v="7.1217367502489401E-2"/>
    <n v="0.92444184157500497"/>
    <x v="0"/>
    <m/>
    <s v="RLE not adjusted"/>
    <x v="1"/>
  </r>
  <r>
    <s v="SVcb26"/>
    <x v="9"/>
    <s v="Ohrigstad Mountain Bushveld"/>
    <s v="T4.2"/>
    <n v="2000.0168000000001"/>
    <n v="1747.8652"/>
    <n v="0.1"/>
    <n v="0.112005171552885"/>
    <n v="0.87392525902782403"/>
    <x v="0"/>
    <m/>
    <s v="RLE not adjusted"/>
    <x v="1"/>
  </r>
  <r>
    <s v="SVcb27"/>
    <x v="9"/>
    <s v="Sekhukhune Plains Bushveld"/>
    <s v="T4.1"/>
    <n v="2522.8339999999998"/>
    <n v="1210.104"/>
    <n v="0.8"/>
    <n v="0.78276786824745603"/>
    <n v="0.47966057219777403"/>
    <x v="2"/>
    <s v="B1i_rod"/>
    <s v="RLE not adjusted"/>
    <x v="0"/>
  </r>
  <r>
    <s v="SVcb28"/>
    <x v="9"/>
    <s v="Sekhukhune Mountain Bushveld"/>
    <s v="T4.2"/>
    <n v="2316.1448"/>
    <n v="1809.8568"/>
    <n v="0.3"/>
    <n v="0.256419408633836"/>
    <n v="0.78140917614477301"/>
    <x v="0"/>
    <m/>
    <s v="RLE not adjusted"/>
    <x v="0"/>
  </r>
  <r>
    <s v="SVcb29"/>
    <x v="9"/>
    <s v="Central Sandy Mountain Bushveld"/>
    <m/>
    <n v="388.17680000000001"/>
    <n v="373.66079999999999"/>
    <n v="0"/>
    <n v="2.2342803909961E-2"/>
    <n v="0.96260466880040196"/>
    <x v="0"/>
    <m/>
    <s v="RLE not adjusted"/>
    <x v="2"/>
  </r>
  <r>
    <s v="SVcb3"/>
    <x v="9"/>
    <s v="Zeerust Thornveld"/>
    <s v="T4.1"/>
    <n v="1331.3268"/>
    <n v="889.58600000000001"/>
    <n v="0.2"/>
    <n v="0.194641333211901"/>
    <n v="0.66819506675596096"/>
    <x v="0"/>
    <m/>
    <s v="RLE not adjusted"/>
    <x v="0"/>
  </r>
  <r>
    <s v="SVcb4"/>
    <x v="9"/>
    <s v="Dwarsberg-Swartruggens Mountain Bushveld"/>
    <s v="T4.2"/>
    <n v="4119.6271999999999"/>
    <n v="3661.8715999999999"/>
    <n v="0.1"/>
    <n v="7.0395829720844003E-2"/>
    <n v="0.88888421748453394"/>
    <x v="0"/>
    <m/>
    <s v="RLE not adjusted"/>
    <x v="0"/>
  </r>
  <r>
    <s v="SVcb5"/>
    <x v="9"/>
    <s v="Pilanesberg Mountain Bushveld"/>
    <s v="T4.2"/>
    <n v="367.10359999999997"/>
    <n v="359.8116"/>
    <n v="0"/>
    <n v="9.4278088913173092E-3"/>
    <n v="0.98013639746382197"/>
    <x v="0"/>
    <m/>
    <s v="RLE not adjusted"/>
    <x v="2"/>
  </r>
  <r>
    <s v="SVcb6"/>
    <x v="9"/>
    <s v="Marikana Thornveld"/>
    <s v="T4.2"/>
    <n v="2285.098"/>
    <n v="708.9796"/>
    <n v="0.9"/>
    <n v="0.858589565491364"/>
    <n v="0.31026222945361598"/>
    <x v="2"/>
    <s v="B1i_rod"/>
    <s v="RLE not adjusted"/>
    <x v="0"/>
  </r>
  <r>
    <s v="SVcb7"/>
    <x v="9"/>
    <s v="Norite Koppies Bushveld"/>
    <s v="T4.2"/>
    <n v="491.32839999999999"/>
    <n v="360.95080000000002"/>
    <n v="0.4"/>
    <n v="0.40636285764968799"/>
    <n v="0.734642654485269"/>
    <x v="2"/>
    <s v="B1i_rod"/>
    <s v="RLE not adjusted"/>
    <x v="0"/>
  </r>
  <r>
    <s v="SVcb8"/>
    <x v="9"/>
    <s v="Moot Plains Bushveld"/>
    <s v="T4.2"/>
    <n v="1833.3936000000001"/>
    <n v="843.36199999999997"/>
    <n v="0.6"/>
    <n v="0.56093875259762005"/>
    <n v="0.46000051489216498"/>
    <x v="2"/>
    <s v="B1i_rod"/>
    <s v="RLE not adjusted"/>
    <x v="0"/>
  </r>
  <r>
    <s v="SVcb9"/>
    <x v="9"/>
    <s v="Gold Reef Mountain Bushveld"/>
    <s v="T4.2"/>
    <n v="3103.5983999999999"/>
    <n v="2593.0128"/>
    <n v="0.1"/>
    <n v="0.13155972314473699"/>
    <n v="0.83548593142721095"/>
    <x v="0"/>
    <m/>
    <s v="RLE not adjusted"/>
    <x v="1"/>
  </r>
  <r>
    <s v="SVk1"/>
    <x v="9"/>
    <s v="Mafikeng Bushveld"/>
    <s v="T4.2"/>
    <n v="15427.0416"/>
    <n v="12001.970799999999"/>
    <n v="0.1"/>
    <n v="7.1949201474223803E-2"/>
    <n v="0.777982656117295"/>
    <x v="0"/>
    <m/>
    <s v="RLE not adjusted"/>
    <x v="3"/>
  </r>
  <r>
    <s v="SVk10"/>
    <x v="9"/>
    <s v="Kuruman Mountain Bushveld"/>
    <s v="T4.1"/>
    <n v="5838.9755999999998"/>
    <n v="5539.6844000000001"/>
    <n v="0"/>
    <n v="3.7043761807144603E-2"/>
    <n v="0.94874251572484702"/>
    <x v="0"/>
    <m/>
    <s v="RLE not adjusted"/>
    <x v="3"/>
  </r>
  <r>
    <s v="SVk11"/>
    <x v="9"/>
    <s v="Molopo Bushveld"/>
    <s v="T4.2"/>
    <n v="13886.185600000001"/>
    <n v="13624.6808"/>
    <n v="0"/>
    <n v="8.7588897177307105E-3"/>
    <n v="0.98116798899764102"/>
    <x v="0"/>
    <m/>
    <s v="RLE not adjusted"/>
    <x v="0"/>
  </r>
  <r>
    <s v="SVk12"/>
    <x v="9"/>
    <s v="Kathu Bushveld"/>
    <s v="T4.2"/>
    <n v="7452.5748000000003"/>
    <n v="7252.6880000000001"/>
    <n v="0"/>
    <n v="3.9513622363852599E-2"/>
    <n v="0.97317882673247402"/>
    <x v="0"/>
    <m/>
    <s v="RLE not adjusted"/>
    <x v="0"/>
  </r>
  <r>
    <s v="SVk13"/>
    <x v="9"/>
    <s v="Olifantshoek Plains Thornveld"/>
    <s v="T4.1"/>
    <n v="8517.6947999999993"/>
    <n v="8409.2551999999996"/>
    <n v="0"/>
    <n v="1.8282417172672E-2"/>
    <n v="0.98726890284916102"/>
    <x v="0"/>
    <m/>
    <s v="RLE not adjusted"/>
    <x v="0"/>
  </r>
  <r>
    <s v="SVk14"/>
    <x v="9"/>
    <s v="Postmasburg Thornveld"/>
    <s v="T4.1"/>
    <n v="929.22400000000005"/>
    <n v="880.82240000000002"/>
    <n v="0.1"/>
    <n v="6.3032924458493206E-2"/>
    <n v="0.94791180598004399"/>
    <x v="0"/>
    <m/>
    <s v="RLE not adjusted"/>
    <x v="3"/>
  </r>
  <r>
    <s v="SVk15"/>
    <x v="9"/>
    <s v="Koranna-Langeberg Mountain Bushveld"/>
    <s v="T4.1"/>
    <n v="1620.8448000000001"/>
    <n v="1617.2148"/>
    <n v="0"/>
    <n v="2.6936692594261699E-3"/>
    <n v="0.997760427155024"/>
    <x v="0"/>
    <m/>
    <s v="RLE not adjusted"/>
    <x v="1"/>
  </r>
  <r>
    <s v="SVk16"/>
    <x v="9"/>
    <s v="Gordonia Plains Shrubland"/>
    <s v="T4.1"/>
    <n v="7918.5928000000004"/>
    <n v="7905.7651999999998"/>
    <n v="0"/>
    <n v="2.8271786763022699E-3"/>
    <n v="0.99838006571066495"/>
    <x v="0"/>
    <m/>
    <s v="RLE not adjusted"/>
    <x v="1"/>
  </r>
  <r>
    <s v="SVk17"/>
    <x v="9"/>
    <s v="Vryburg Thornveld"/>
    <m/>
    <n v="7197.9931999999999"/>
    <n v="3751.5720000000001"/>
    <n v="0.2"/>
    <n v="0.23027538008798801"/>
    <n v="0.52119693583483795"/>
    <x v="0"/>
    <m/>
    <s v="RLE not adjusted"/>
    <x v="3"/>
  </r>
  <r>
    <s v="SVk18"/>
    <x v="9"/>
    <s v="Morokweng Thornveld"/>
    <m/>
    <n v="999.60360000000003"/>
    <n v="953.04920000000004"/>
    <n v="0"/>
    <n v="4.7724051837224203E-2"/>
    <n v="0.95342713851770799"/>
    <x v="0"/>
    <m/>
    <s v="RLE not adjusted"/>
    <x v="3"/>
  </r>
  <r>
    <s v="SVk2"/>
    <x v="9"/>
    <s v="Stella Bushveld"/>
    <s v="T4.1"/>
    <n v="4206.5528000000004"/>
    <n v="3227.4223999999999"/>
    <n v="0.1"/>
    <n v="0.113772732826021"/>
    <n v="0.76723686910574396"/>
    <x v="0"/>
    <m/>
    <s v="RLE not adjusted"/>
    <x v="3"/>
  </r>
  <r>
    <s v="SVk3"/>
    <x v="9"/>
    <s v="Schweizer-Reneke Bushveld"/>
    <s v="T4.1"/>
    <n v="1366.9323999999999"/>
    <n v="576.26319999999998"/>
    <n v="0.3"/>
    <n v="0.27914202436458901"/>
    <n v="0.42157402955698497"/>
    <x v="3"/>
    <s v="A3_nat"/>
    <s v="RLE not adjusted"/>
    <x v="0"/>
  </r>
  <r>
    <s v="SVk4"/>
    <x v="9"/>
    <s v="Kimberley Thornveld"/>
    <s v="T4.1"/>
    <n v="16649.767199999998"/>
    <n v="12455.3472"/>
    <n v="0.2"/>
    <n v="0.154346693112934"/>
    <n v="0.74807936053304103"/>
    <x v="0"/>
    <m/>
    <s v="RLE not adjusted"/>
    <x v="0"/>
  </r>
  <r>
    <s v="SVk5"/>
    <x v="9"/>
    <s v="Vaalbos Rocky Shrubland"/>
    <s v="T4.1"/>
    <n v="1457.8835999999999"/>
    <n v="1418.3416"/>
    <n v="0"/>
    <n v="3.05806842756675E-2"/>
    <n v="0.97287712132847903"/>
    <x v="0"/>
    <m/>
    <s v="RLE not adjusted"/>
    <x v="0"/>
  </r>
  <r>
    <s v="SVk6"/>
    <x v="9"/>
    <s v="Schmidtsdrif Thornveld"/>
    <s v="T4.1"/>
    <n v="5313.8536000000004"/>
    <n v="4220.3792000000003"/>
    <n v="0.1"/>
    <n v="0.126887203524368"/>
    <n v="0.79422195598313095"/>
    <x v="0"/>
    <m/>
    <s v="RLE not adjusted"/>
    <x v="3"/>
  </r>
  <r>
    <s v="SVk7"/>
    <x v="9"/>
    <s v="Ghaap Plateau Vaalbosveld"/>
    <s v="T4.1"/>
    <n v="13360.5836"/>
    <n v="13112.6348"/>
    <n v="0"/>
    <n v="2.0781349499690099E-2"/>
    <n v="0.98144176875626898"/>
    <x v="0"/>
    <m/>
    <s v="RLE not adjusted"/>
    <x v="3"/>
  </r>
  <r>
    <s v="SVk8"/>
    <x v="9"/>
    <s v="Kuruman Vaalbosveld"/>
    <s v="T4.1"/>
    <n v="3363.5079999999998"/>
    <n v="3235.7984000000001"/>
    <n v="0"/>
    <n v="2.68012801068695E-2"/>
    <n v="0.96203083209553797"/>
    <x v="0"/>
    <m/>
    <s v="RLE not adjusted"/>
    <x v="3"/>
  </r>
  <r>
    <s v="SVk9"/>
    <x v="9"/>
    <s v="Kuruman Thornveld"/>
    <s v="T4.1"/>
    <n v="5779.5995999999996"/>
    <n v="5504.2496000000001"/>
    <n v="0.1"/>
    <n v="6.6656202982318905E-2"/>
    <n v="0.95235829139444195"/>
    <x v="0"/>
    <m/>
    <s v="RLE not adjusted"/>
    <x v="3"/>
  </r>
  <r>
    <s v="SVkd1"/>
    <x v="9"/>
    <s v="Gordonia Duneveld"/>
    <s v="T4.2"/>
    <n v="37063.725599999998"/>
    <n v="37004.719599999997"/>
    <n v="0"/>
    <n v="2.9820074720822501E-3"/>
    <n v="0.99840798519186102"/>
    <x v="0"/>
    <m/>
    <s v="RLE not adjusted"/>
    <x v="1"/>
  </r>
  <r>
    <s v="SVkd2"/>
    <x v="9"/>
    <s v="Gordonia Kameeldoring Bushveld"/>
    <s v="T4.1"/>
    <n v="2242.3667999999998"/>
    <n v="2239.5115999999998"/>
    <n v="0"/>
    <n v="3.6054394401245399E-3"/>
    <n v="0.99872670251807105"/>
    <x v="0"/>
    <m/>
    <s v="RLE not adjusted"/>
    <x v="2"/>
  </r>
  <r>
    <s v="SVkd3"/>
    <x v="9"/>
    <s v="Auob Duneveld"/>
    <s v="T4.1"/>
    <n v="2898.1244000000002"/>
    <n v="2897.9319999999998"/>
    <n v="0"/>
    <n v="0"/>
    <n v="0.99999792969549495"/>
    <x v="0"/>
    <m/>
    <s v="RLE not adjusted"/>
    <x v="2"/>
  </r>
  <r>
    <s v="SVkd4"/>
    <x v="9"/>
    <s v="Nossob Bushveld"/>
    <s v="T4.1"/>
    <n v="762.44280000000003"/>
    <n v="762.25440000000003"/>
    <n v="0"/>
    <n v="3.3941673054924099E-4"/>
    <n v="0.99975289949619806"/>
    <x v="0"/>
    <m/>
    <s v="RLE not adjusted"/>
    <x v="2"/>
  </r>
  <r>
    <s v="SVl1"/>
    <x v="9"/>
    <s v="Makuleke Sandy Bushveld"/>
    <s v="T4.2"/>
    <n v="2090.6907999999999"/>
    <n v="1579.2596000000001"/>
    <n v="0.2"/>
    <n v="0.228002285812232"/>
    <n v="0.75537693091680502"/>
    <x v="0"/>
    <m/>
    <s v="RLE not adjusted"/>
    <x v="2"/>
  </r>
  <r>
    <s v="SVl10"/>
    <x v="9"/>
    <s v="Pretoriuskop Sour Bushveld"/>
    <s v="T4.2"/>
    <n v="942.78359999999998"/>
    <n v="615.19640000000004"/>
    <n v="0.3"/>
    <n v="0.26507971525886798"/>
    <n v="0.65253192779339797"/>
    <x v="0"/>
    <m/>
    <s v="RLE not adjusted"/>
    <x v="2"/>
  </r>
  <r>
    <s v="SVl11"/>
    <x v="9"/>
    <s v="Malelane Mountain Bushveld"/>
    <s v="T4.2"/>
    <n v="630.61519999999996"/>
    <n v="596.58720000000005"/>
    <n v="0.1"/>
    <n v="7.7278710457036298E-2"/>
    <n v="0.946039993961452"/>
    <x v="0"/>
    <m/>
    <s v="RLE not adjusted"/>
    <x v="2"/>
  </r>
  <r>
    <s v="SVl12"/>
    <x v="9"/>
    <s v="Kaalrug Mountain Bushveld"/>
    <s v="T4.2"/>
    <n v="468.39479999999998"/>
    <n v="368.38560000000001"/>
    <n v="0.1"/>
    <n v="0.130314555065346"/>
    <n v="0.78648524706081302"/>
    <x v="0"/>
    <m/>
    <s v="RLE not adjusted"/>
    <x v="1"/>
  </r>
  <r>
    <s v="SVl13"/>
    <x v="9"/>
    <s v="Barberton Serpentine Sourveld"/>
    <s v="T4.2"/>
    <n v="109.4832"/>
    <n v="72.461200000000005"/>
    <n v="0.2"/>
    <n v="0.152425016540469"/>
    <n v="0.661847662472416"/>
    <x v="0"/>
    <m/>
    <s v="RLE not adjusted"/>
    <x v="2"/>
  </r>
  <r>
    <s v="SVl14"/>
    <x v="9"/>
    <s v="Swaziland Sour Bushveld"/>
    <s v="T4.2"/>
    <n v="4460.3123999999998"/>
    <n v="3420.6212"/>
    <n v="0.1"/>
    <n v="7.3137190031301397E-2"/>
    <n v="0.76690170849916295"/>
    <x v="0"/>
    <m/>
    <s v="RLE not adjusted"/>
    <x v="2"/>
  </r>
  <r>
    <s v="SVl15"/>
    <x v="9"/>
    <s v="Northern Lebombo Bushveld"/>
    <s v="T4.1"/>
    <n v="1335.0152"/>
    <n v="1334.5932"/>
    <n v="0"/>
    <n v="9.1785573315770905E-5"/>
    <n v="1.0065323600809899"/>
    <x v="0"/>
    <m/>
    <s v="RLE not adjusted"/>
    <x v="2"/>
  </r>
  <r>
    <s v="SVl16"/>
    <x v="9"/>
    <s v="Southern Lebombo Bushveld"/>
    <s v="T4.2"/>
    <n v="2583.6644000000001"/>
    <n v="2251.9056"/>
    <n v="0.1"/>
    <n v="9.1197344126924207E-2"/>
    <n v="0.87159369459903502"/>
    <x v="0"/>
    <m/>
    <s v="RLE not adjusted"/>
    <x v="1"/>
  </r>
  <r>
    <s v="SVl17"/>
    <x v="9"/>
    <s v="Lebombo Summit Sourveld"/>
    <s v="T4.2"/>
    <n v="134.51759999999999"/>
    <n v="42.6524"/>
    <n v="0.8"/>
    <n v="0.78079382610959103"/>
    <n v="0.31707672453270103"/>
    <x v="2"/>
    <s v="B1i_rod, B2i_rod"/>
    <s v="RLE not adjusted"/>
    <x v="3"/>
  </r>
  <r>
    <s v="SVl18"/>
    <x v="9"/>
    <s v="Tembe Sandy Bushveld"/>
    <s v="T4.2"/>
    <n v="1124.2472"/>
    <n v="865.01319999999998"/>
    <n v="0.2"/>
    <n v="0.226470545975163"/>
    <n v="0.76941548086577405"/>
    <x v="0"/>
    <m/>
    <s v="RLE not adjusted"/>
    <x v="1"/>
  </r>
  <r>
    <s v="SVl19"/>
    <x v="9"/>
    <s v="Western Maputaland Sandy Bushveld"/>
    <s v="T4.2"/>
    <n v="152.94560000000001"/>
    <n v="80.775999999999996"/>
    <n v="0.5"/>
    <n v="0.53464411788851496"/>
    <n v="0.52813549392725201"/>
    <x v="1"/>
    <s v="B1i_rod"/>
    <s v="RLE not adjusted"/>
    <x v="1"/>
  </r>
  <r>
    <s v="SVl2"/>
    <x v="9"/>
    <s v="Nwambyia-Pumbe Sandy Bushveld"/>
    <s v="T4.1"/>
    <n v="181.636"/>
    <n v="181.6164"/>
    <n v="0"/>
    <n v="0"/>
    <n v="1.0120702944350199"/>
    <x v="0"/>
    <m/>
    <s v="RLE not adjusted"/>
    <x v="2"/>
  </r>
  <r>
    <s v="SVl20"/>
    <x v="9"/>
    <s v="Western Maputaland Clay Bushveld"/>
    <s v="T4.2"/>
    <n v="1645.0052000000001"/>
    <n v="648.64800000000002"/>
    <n v="0.8"/>
    <n v="0.81368090187539499"/>
    <n v="0.39431364715442802"/>
    <x v="2"/>
    <s v="B1i_rod"/>
    <s v="RLE not adjusted"/>
    <x v="1"/>
  </r>
  <r>
    <s v="SVl21"/>
    <x v="9"/>
    <s v="Makatini Clay Thicket"/>
    <s v="T4.1"/>
    <n v="335.05799999999999"/>
    <n v="268.57080000000002"/>
    <n v="0.2"/>
    <n v="0.22959620185215601"/>
    <n v="0.80156510216141696"/>
    <x v="0"/>
    <m/>
    <s v="RLE not adjusted"/>
    <x v="2"/>
  </r>
  <r>
    <s v="SVl22"/>
    <x v="9"/>
    <s v="Northern Zululand Sourveld"/>
    <s v="T4.2"/>
    <n v="5173.6088"/>
    <n v="3681.6779999999999"/>
    <n v="0.2"/>
    <n v="0.150366108786611"/>
    <n v="0.71162666956960496"/>
    <x v="0"/>
    <m/>
    <s v="RLE not adjusted"/>
    <x v="1"/>
  </r>
  <r>
    <s v="SVl23"/>
    <x v="9"/>
    <s v="Zululand Lowveld"/>
    <s v="T4.2"/>
    <n v="8564.76"/>
    <n v="5704.3004000000001"/>
    <n v="0.2"/>
    <n v="0.20756326060894301"/>
    <n v="0.66601987679748198"/>
    <x v="0"/>
    <m/>
    <s v="RLE not adjusted"/>
    <x v="2"/>
  </r>
  <r>
    <s v="SVl24"/>
    <x v="9"/>
    <s v="Zululand Coastal Thornveld"/>
    <s v="T4.2"/>
    <n v="694.62400000000002"/>
    <n v="182.28"/>
    <n v="0.7"/>
    <n v="0.69570490818895803"/>
    <n v="0.262415349887133"/>
    <x v="1"/>
    <s v="B1i_rod"/>
    <s v="RLE not adjusted"/>
    <x v="3"/>
  </r>
  <r>
    <s v="SVl25"/>
    <x v="9"/>
    <s v="Maputaland Pallid Sandy Bushveld"/>
    <s v="T4.2"/>
    <n v="660.60680000000002"/>
    <n v="472.93279999999999"/>
    <n v="0.3"/>
    <n v="0.28675072054964601"/>
    <n v="0.71590664825127404"/>
    <x v="0"/>
    <m/>
    <s v="RLE not adjusted"/>
    <x v="1"/>
  </r>
  <r>
    <s v="SVl26"/>
    <x v="9"/>
    <s v="Muzi Palm Veld and Wooded Grassland"/>
    <s v="T4.2"/>
    <n v="703.51319999999998"/>
    <n v="510.34399999999999"/>
    <n v="0.5"/>
    <n v="0.47249323079174799"/>
    <n v="0.72542206741820903"/>
    <x v="1"/>
    <s v="B1i_rod"/>
    <s v="RLE not adjusted"/>
    <x v="0"/>
  </r>
  <r>
    <s v="SVl27"/>
    <x v="9"/>
    <s v="Crocodile Gorge Mountain Bushveld"/>
    <s v="T4.2"/>
    <n v="539.90800000000002"/>
    <n v="426.68799999999999"/>
    <n v="0.1"/>
    <n v="0.10967416661314699"/>
    <n v="0.79029760625884404"/>
    <x v="0"/>
    <m/>
    <s v="RLE not adjusted"/>
    <x v="1"/>
  </r>
  <r>
    <s v="SVl3"/>
    <x v="9"/>
    <s v="Granite Lowveld"/>
    <s v="T4.2"/>
    <n v="19839.1584"/>
    <n v="14882.14"/>
    <n v="0.2"/>
    <n v="0.174571946202386"/>
    <n v="0.75013968334463199"/>
    <x v="0"/>
    <m/>
    <s v="RLE not adjusted"/>
    <x v="2"/>
  </r>
  <r>
    <s v="SVl4"/>
    <x v="9"/>
    <s v="Delagoa Lowveld"/>
    <s v="T4.2"/>
    <n v="2722.0444000000002"/>
    <n v="1968.0536"/>
    <n v="0.1"/>
    <n v="9.2106228674159504E-2"/>
    <n v="0.72300569380866797"/>
    <x v="0"/>
    <m/>
    <s v="RLE not adjusted"/>
    <x v="2"/>
  </r>
  <r>
    <s v="SVl5"/>
    <x v="9"/>
    <s v="Tshokwane-Hlane Basalt Lowveld"/>
    <s v="T4.1"/>
    <n v="3568.6239999999998"/>
    <n v="2975.3692000000001"/>
    <n v="0.1"/>
    <n v="0.12415637438794"/>
    <n v="0.833758109568282"/>
    <x v="0"/>
    <m/>
    <s v="RLE not adjusted"/>
    <x v="2"/>
  </r>
  <r>
    <s v="SVl6"/>
    <x v="9"/>
    <s v="Gabbro Grassy Bushveld"/>
    <s v="T4.2"/>
    <n v="760.24680000000001"/>
    <n v="757.70159999999998"/>
    <n v="0"/>
    <n v="4.2175985626424096E-3"/>
    <n v="0.99665213980512601"/>
    <x v="0"/>
    <m/>
    <s v="RLE not adjusted"/>
    <x v="2"/>
  </r>
  <r>
    <s v="SVl7"/>
    <x v="9"/>
    <s v="Gravelotte Rocky Bushveld"/>
    <s v="T4.2"/>
    <n v="323.45359999999999"/>
    <n v="286.21319999999997"/>
    <n v="0.1"/>
    <n v="7.5012173813411798E-2"/>
    <n v="0.88486633013204996"/>
    <x v="0"/>
    <m/>
    <s v="RLE not adjusted"/>
    <x v="1"/>
  </r>
  <r>
    <s v="SVl8"/>
    <x v="9"/>
    <s v="Tzaneen Sour Bushveld"/>
    <s v="T4.2"/>
    <n v="3399.5655999999999"/>
    <n v="1748.3556000000001"/>
    <n v="0.4"/>
    <n v="0.38961758895932302"/>
    <n v="0.51428794314191195"/>
    <x v="2"/>
    <s v="B1i_rod"/>
    <s v="RLE not adjusted"/>
    <x v="0"/>
  </r>
  <r>
    <s v="SVl9"/>
    <x v="9"/>
    <s v="Legogote Sour Bushveld"/>
    <s v="T4.2"/>
    <n v="3562.4731999999999"/>
    <n v="1115.6135999999999"/>
    <n v="0.5"/>
    <n v="0.518141606485643"/>
    <n v="0.31315705055690002"/>
    <x v="2"/>
    <s v="B1i_rod"/>
    <s v="RLE not adjusted"/>
    <x v="0"/>
  </r>
  <r>
    <s v="SVmp1"/>
    <x v="9"/>
    <s v="Musina Mopane Bushveld"/>
    <s v="T4.1"/>
    <n v="8796.3575999999994"/>
    <n v="8133.0219999999999"/>
    <n v="0.1"/>
    <n v="0.10178249581649999"/>
    <n v="0.92458974155393603"/>
    <x v="0"/>
    <m/>
    <s v="RLE not adjusted"/>
    <x v="1"/>
  </r>
  <r>
    <s v="SVmp2"/>
    <x v="9"/>
    <s v="Limpopo Ridge Bushveld"/>
    <s v="T4.2"/>
    <n v="2779.8908000000001"/>
    <n v="2718.2392"/>
    <n v="0"/>
    <n v="2.5985650660043599E-2"/>
    <n v="0.97782229431458201"/>
    <x v="0"/>
    <m/>
    <s v="RLE not adjusted"/>
    <x v="2"/>
  </r>
  <r>
    <s v="SVmp3"/>
    <x v="9"/>
    <s v="Cathedral Mopane Bushveld"/>
    <s v="T4.1"/>
    <n v="277.05919999999998"/>
    <n v="276.87799999999999"/>
    <n v="0"/>
    <n v="6.8155950926288499E-4"/>
    <n v="0.999345988149825"/>
    <x v="0"/>
    <m/>
    <s v="RLE not adjusted"/>
    <x v="2"/>
  </r>
  <r>
    <s v="SVmp4"/>
    <x v="9"/>
    <s v="Mopane Basalt Shrubland"/>
    <s v="T4.1"/>
    <n v="2804.7060000000001"/>
    <n v="2800.2143999999998"/>
    <n v="0"/>
    <n v="4.7221389872097701E-4"/>
    <n v="0.99839854872489298"/>
    <x v="0"/>
    <m/>
    <s v="RLE not adjusted"/>
    <x v="2"/>
  </r>
  <r>
    <s v="SVmp5"/>
    <x v="9"/>
    <s v="Tsende Mopaneveld"/>
    <s v="T4.1"/>
    <n v="5315.1355999999996"/>
    <n v="4722.0828000000001"/>
    <n v="0.1"/>
    <n v="7.2286623188170598E-2"/>
    <n v="0.88842188711046299"/>
    <x v="0"/>
    <m/>
    <s v="RLE not adjusted"/>
    <x v="2"/>
  </r>
  <r>
    <s v="SVmp6"/>
    <x v="9"/>
    <s v="Lowveld Rugged Mopaneveld"/>
    <s v="T4.1"/>
    <n v="3154.1124"/>
    <n v="2431.4684000000002"/>
    <n v="0.2"/>
    <n v="0.16083524394713999"/>
    <n v="0.77088831710626404"/>
    <x v="0"/>
    <m/>
    <s v="RLE not adjusted"/>
    <x v="2"/>
  </r>
  <r>
    <s v="SVmp7"/>
    <x v="9"/>
    <s v="Phalaborwa-Timbavati Mopaneveld"/>
    <s v="T4.1"/>
    <n v="2225.5536000000002"/>
    <n v="2027.626"/>
    <n v="0.1"/>
    <n v="9.9481520281755595E-2"/>
    <n v="0.91106590288366895"/>
    <x v="0"/>
    <m/>
    <s v="RLE not adjusted"/>
    <x v="2"/>
  </r>
  <r>
    <s v="SVmp8"/>
    <x v="9"/>
    <s v="Mopane Gabbro Shrubland"/>
    <s v="T4.1"/>
    <n v="310.43799999999999"/>
    <n v="310.28359999999998"/>
    <n v="0"/>
    <n v="1.89331439266974E-4"/>
    <n v="0.99950263820795104"/>
    <x v="0"/>
    <m/>
    <s v="RLE not adjusted"/>
    <x v="2"/>
  </r>
  <r>
    <s v="SVs1"/>
    <x v="9"/>
    <s v="Thukela Valley Bushveld"/>
    <s v="T4.2"/>
    <n v="2706.5924"/>
    <n v="1972.2840000000001"/>
    <n v="0.2"/>
    <n v="0.16688050850923"/>
    <n v="0.72869634895893498"/>
    <x v="0"/>
    <m/>
    <s v="RLE not adjusted"/>
    <x v="3"/>
  </r>
  <r>
    <s v="SVs2"/>
    <x v="9"/>
    <s v="Thukela Thornveld"/>
    <s v="T4.2"/>
    <n v="2215.6012000000001"/>
    <n v="1631.75"/>
    <n v="0.2"/>
    <n v="0.168464283867203"/>
    <n v="0.736481818117809"/>
    <x v="0"/>
    <m/>
    <s v="RLE not adjusted"/>
    <x v="0"/>
  </r>
  <r>
    <s v="SVs3"/>
    <x v="9"/>
    <s v="KwaZulu-Natal Hinterland Thornveld"/>
    <s v="T4.2"/>
    <n v="1533.5047999999999"/>
    <n v="1014.296"/>
    <n v="0.3"/>
    <n v="0.26698161591796299"/>
    <n v="0.661423426910695"/>
    <x v="0"/>
    <m/>
    <s v="RLE not adjusted"/>
    <x v="0"/>
  </r>
  <r>
    <s v="SVs4"/>
    <x v="9"/>
    <s v="Ngongoni Veld"/>
    <s v="T4.2"/>
    <n v="803.10360000000003"/>
    <n v="325.90519999999998"/>
    <n v="0.4"/>
    <n v="0.36934191842557001"/>
    <n v="0.40580717107979603"/>
    <x v="2"/>
    <s v="B1i_rod"/>
    <s v="RLE not adjusted"/>
    <x v="3"/>
  </r>
  <r>
    <s v="SVs5"/>
    <x v="9"/>
    <s v="KwaZulu-Natal Sandstone Sourveld"/>
    <s v="T4.2"/>
    <n v="1812.6007999999999"/>
    <n v="250.33359999999999"/>
    <n v="1"/>
    <n v="1.04191297549587"/>
    <n v="0.13810740897830301"/>
    <x v="2"/>
    <s v="A3_nat, A3_kzn, A2b, B1i_rod"/>
    <s v="RLE not adjusted"/>
    <x v="3"/>
  </r>
  <r>
    <s v="SVs6"/>
    <x v="9"/>
    <s v="Eastern Valley Bushveld"/>
    <s v="T4.2"/>
    <n v="10185.484399999999"/>
    <n v="7037.5756000000001"/>
    <n v="0.1"/>
    <n v="0.122292242486316"/>
    <n v="0.69094166989249906"/>
    <x v="0"/>
    <m/>
    <s v="RLE not adjusted"/>
    <x v="3"/>
  </r>
  <r>
    <s v="SVs7"/>
    <x v="9"/>
    <s v="Bhisho Thornveld"/>
    <s v="T4.2"/>
    <n v="7762.2767999999996"/>
    <n v="4782.8159999999998"/>
    <n v="0.3"/>
    <n v="0.263995621943375"/>
    <n v="0.61616148499110501"/>
    <x v="0"/>
    <m/>
    <s v="RLE not adjusted"/>
    <x v="3"/>
  </r>
  <r>
    <s v="SVs8"/>
    <x v="9"/>
    <s v="South Eastern Coastal Thornveld"/>
    <s v="T4.2"/>
    <n v="1527.7652"/>
    <n v="848.68240000000003"/>
    <n v="0.4"/>
    <n v="0.36865104869057103"/>
    <n v="0.55550578060031697"/>
    <x v="2"/>
    <s v="B1i_rod"/>
    <s v="RLE not adjuste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D141B-E246-4CC1-A1D7-7B8BCBFCE672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5" firstHeaderRow="1" firstDataRow="2" firstDataCol="1"/>
  <pivotFields count="13">
    <pivotField showAll="0"/>
    <pivotField axis="axisRow" showAll="0">
      <items count="11">
        <item x="0"/>
        <item x="1"/>
        <item x="3"/>
        <item x="5"/>
        <item x="4"/>
        <item x="6"/>
        <item x="2"/>
        <item x="7"/>
        <item x="9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Nat2022_km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0AFD7-C4EB-4617-8D66-DB6EB7E82823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C48" firstHeaderRow="0" firstDataRow="1" firstDataCol="1" rowPageCount="1" colPageCount="1"/>
  <pivotFields count="13">
    <pivotField showAll="0"/>
    <pivotField axis="axisPage" showAll="0">
      <items count="11">
        <item x="0"/>
        <item x="1"/>
        <item x="3"/>
        <item x="5"/>
        <item x="4"/>
        <item x="6"/>
        <item x="2"/>
        <item x="7"/>
        <item x="9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4" hier="-1"/>
  </pageFields>
  <dataFields count="2">
    <dataField name="Count of EPL" fld="12" subtotal="count" baseField="0" baseItem="0"/>
    <dataField name="Sum of Nat2022_km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79E8D-4EEB-403D-A080-91869ADDEBEB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D38" firstHeaderRow="0" firstDataRow="1" firstDataCol="1" rowPageCount="1" colPageCount="1"/>
  <pivotFields count="13">
    <pivotField showAll="0"/>
    <pivotField axis="axisPage" showAll="0">
      <items count="11">
        <item x="0"/>
        <item x="1"/>
        <item x="3"/>
        <item x="5"/>
        <item x="4"/>
        <item x="6"/>
        <item x="2"/>
        <item x="7"/>
        <item x="9"/>
        <item x="8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4" hier="-1"/>
  </pageFields>
  <dataFields count="3">
    <dataField name="Count of RLE_2025" fld="9" subtotal="count" baseField="0" baseItem="0"/>
    <dataField name="Sum of Nat1750_km2" fld="4" baseField="0" baseItem="0"/>
    <dataField name="Sum of Nat2022_km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62AF9-2F48-4E37-B93A-CEC87728290C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F30" firstHeaderRow="1" firstDataRow="2" firstDataCol="1"/>
  <pivotFields count="13">
    <pivotField showAll="0"/>
    <pivotField axis="axisRow" showAll="0">
      <items count="11">
        <item x="0"/>
        <item x="1"/>
        <item x="3"/>
        <item x="5"/>
        <item x="4"/>
        <item x="6"/>
        <item x="2"/>
        <item x="7"/>
        <item x="9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Nat1750_km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F7B3-EF80-4512-A9E2-15BF029C0F5A}">
  <dimension ref="A3:O66"/>
  <sheetViews>
    <sheetView tabSelected="1" topLeftCell="E49" workbookViewId="0">
      <selection activeCell="K67" sqref="K67"/>
    </sheetView>
  </sheetViews>
  <sheetFormatPr defaultRowHeight="14.4" x14ac:dyDescent="0.3"/>
  <cols>
    <col min="1" max="1" width="18.21875" bestFit="1" customWidth="1"/>
    <col min="2" max="2" width="16.88671875" bestFit="1" customWidth="1"/>
    <col min="3" max="4" width="19.33203125" bestFit="1" customWidth="1"/>
    <col min="5" max="5" width="11" bestFit="1" customWidth="1"/>
    <col min="6" max="6" width="12" bestFit="1" customWidth="1"/>
    <col min="7" max="7" width="19.33203125" bestFit="1" customWidth="1"/>
    <col min="8" max="8" width="23.88671875" customWidth="1"/>
    <col min="9" max="9" width="13.109375" customWidth="1"/>
    <col min="10" max="10" width="24.33203125" customWidth="1"/>
    <col min="11" max="11" width="21" customWidth="1"/>
    <col min="12" max="12" width="17.44140625" customWidth="1"/>
    <col min="13" max="13" width="19.21875" customWidth="1"/>
  </cols>
  <sheetData>
    <row r="3" spans="1:15" x14ac:dyDescent="0.3">
      <c r="A3" s="2" t="s">
        <v>1002</v>
      </c>
      <c r="B3" s="2" t="s">
        <v>1003</v>
      </c>
      <c r="H3" t="s">
        <v>1002</v>
      </c>
      <c r="I3" t="s">
        <v>1003</v>
      </c>
    </row>
    <row r="4" spans="1:15" x14ac:dyDescent="0.3">
      <c r="A4" s="2" t="s">
        <v>1000</v>
      </c>
      <c r="B4" t="s">
        <v>37</v>
      </c>
      <c r="C4" t="s">
        <v>76</v>
      </c>
      <c r="D4" t="s">
        <v>17</v>
      </c>
      <c r="E4" t="s">
        <v>98</v>
      </c>
      <c r="F4" t="s">
        <v>1001</v>
      </c>
      <c r="H4" t="s">
        <v>1000</v>
      </c>
      <c r="I4" t="s">
        <v>37</v>
      </c>
      <c r="J4" t="s">
        <v>76</v>
      </c>
      <c r="K4" t="s">
        <v>98</v>
      </c>
      <c r="L4" t="s">
        <v>17</v>
      </c>
      <c r="M4" t="s">
        <v>1001</v>
      </c>
    </row>
    <row r="5" spans="1:15" x14ac:dyDescent="0.3">
      <c r="A5" s="3" t="s">
        <v>14</v>
      </c>
      <c r="B5">
        <v>319.78439999999995</v>
      </c>
      <c r="C5">
        <v>568.66960000000006</v>
      </c>
      <c r="D5">
        <v>25247.138800000008</v>
      </c>
      <c r="E5">
        <v>5524.0147999999999</v>
      </c>
      <c r="F5">
        <v>31659.60760000001</v>
      </c>
      <c r="H5" t="s">
        <v>14</v>
      </c>
      <c r="I5">
        <v>319.78439999999995</v>
      </c>
      <c r="J5">
        <v>568.66960000000006</v>
      </c>
      <c r="K5">
        <v>5524.0147999999999</v>
      </c>
      <c r="L5">
        <v>25247.138800000008</v>
      </c>
      <c r="M5">
        <v>31659.60760000001</v>
      </c>
      <c r="N5">
        <f>M5/$M$15*100</f>
        <v>3.2274599578576182</v>
      </c>
    </row>
    <row r="6" spans="1:15" x14ac:dyDescent="0.3">
      <c r="A6" s="3" t="s">
        <v>120</v>
      </c>
      <c r="B6">
        <v>9.8339999999999996</v>
      </c>
      <c r="C6">
        <v>545.96879999999999</v>
      </c>
      <c r="D6">
        <v>19465.474400000003</v>
      </c>
      <c r="F6">
        <v>20021.277200000004</v>
      </c>
      <c r="H6" t="s">
        <v>120</v>
      </c>
      <c r="I6">
        <v>9.8339999999999996</v>
      </c>
      <c r="J6">
        <v>545.96879999999999</v>
      </c>
      <c r="L6">
        <v>19465.474400000003</v>
      </c>
      <c r="M6">
        <v>20021.277200000004</v>
      </c>
      <c r="N6">
        <f t="shared" ref="N6:N15" si="0">M6/$M$15*100</f>
        <v>2.0410193103014862</v>
      </c>
    </row>
    <row r="7" spans="1:15" x14ac:dyDescent="0.3">
      <c r="A7" s="3" t="s">
        <v>181</v>
      </c>
      <c r="B7">
        <v>197.12440000000001</v>
      </c>
      <c r="D7">
        <v>5934.5064000000002</v>
      </c>
      <c r="F7">
        <v>6131.6307999999999</v>
      </c>
      <c r="H7" t="s">
        <v>181</v>
      </c>
      <c r="I7">
        <v>197.12440000000001</v>
      </c>
      <c r="L7">
        <v>5934.5064000000002</v>
      </c>
      <c r="M7">
        <v>6131.6307999999999</v>
      </c>
      <c r="N7">
        <f t="shared" si="0"/>
        <v>0.62507385225350887</v>
      </c>
    </row>
    <row r="8" spans="1:15" x14ac:dyDescent="0.3">
      <c r="A8" s="3" t="s">
        <v>390</v>
      </c>
      <c r="D8">
        <v>3925.4635999999996</v>
      </c>
      <c r="E8">
        <v>133.41679999999999</v>
      </c>
      <c r="F8">
        <v>4058.8803999999996</v>
      </c>
      <c r="H8" t="s">
        <v>390</v>
      </c>
      <c r="K8">
        <v>133.41679999999999</v>
      </c>
      <c r="L8">
        <v>3925.4635999999996</v>
      </c>
      <c r="M8">
        <v>4058.8803999999996</v>
      </c>
      <c r="N8">
        <f t="shared" si="0"/>
        <v>0.41377246775266752</v>
      </c>
    </row>
    <row r="9" spans="1:15" x14ac:dyDescent="0.3">
      <c r="A9" s="3" t="s">
        <v>214</v>
      </c>
      <c r="B9">
        <v>5689.9059999999999</v>
      </c>
      <c r="C9">
        <v>7934.7304000000004</v>
      </c>
      <c r="D9">
        <v>41165.436399999999</v>
      </c>
      <c r="F9">
        <v>54790.072799999994</v>
      </c>
      <c r="H9" t="s">
        <v>214</v>
      </c>
      <c r="I9">
        <v>5689.9059999999999</v>
      </c>
      <c r="J9">
        <v>7934.7304000000004</v>
      </c>
      <c r="L9">
        <v>41165.436399999999</v>
      </c>
      <c r="M9">
        <v>54790.072799999994</v>
      </c>
      <c r="N9">
        <f t="shared" si="0"/>
        <v>5.5854377061231721</v>
      </c>
    </row>
    <row r="10" spans="1:15" x14ac:dyDescent="0.3">
      <c r="A10" s="3" t="s">
        <v>506</v>
      </c>
      <c r="B10">
        <v>852.16640000000007</v>
      </c>
      <c r="C10">
        <v>35467.303599999992</v>
      </c>
      <c r="D10">
        <v>158172.87320000003</v>
      </c>
      <c r="E10">
        <v>23557.211200000002</v>
      </c>
      <c r="F10">
        <v>218049.55440000002</v>
      </c>
      <c r="H10" t="s">
        <v>506</v>
      </c>
      <c r="I10">
        <v>852.16640000000007</v>
      </c>
      <c r="J10">
        <v>35467.303599999992</v>
      </c>
      <c r="K10">
        <v>23557.211200000002</v>
      </c>
      <c r="L10">
        <v>158172.87320000003</v>
      </c>
      <c r="M10">
        <v>218049.55440000002</v>
      </c>
      <c r="N10">
        <f t="shared" si="0"/>
        <v>22.22851952387105</v>
      </c>
      <c r="O10">
        <f>SUM(I10:K10)/M10*100</f>
        <v>27.460125458527418</v>
      </c>
    </row>
    <row r="11" spans="1:15" x14ac:dyDescent="0.3">
      <c r="A11" s="3" t="s">
        <v>165</v>
      </c>
      <c r="C11">
        <v>3216.6579999999999</v>
      </c>
      <c r="E11">
        <v>641.09040000000005</v>
      </c>
      <c r="F11">
        <v>3857.7483999999999</v>
      </c>
      <c r="H11" t="s">
        <v>165</v>
      </c>
      <c r="J11">
        <v>3216.6579999999999</v>
      </c>
      <c r="K11">
        <v>641.09040000000005</v>
      </c>
      <c r="M11">
        <v>3857.7483999999999</v>
      </c>
      <c r="N11">
        <f t="shared" si="0"/>
        <v>0.39326856623735573</v>
      </c>
    </row>
    <row r="12" spans="1:15" x14ac:dyDescent="0.3">
      <c r="A12" s="3" t="s">
        <v>654</v>
      </c>
      <c r="D12">
        <v>243964.75</v>
      </c>
      <c r="F12">
        <v>243964.75</v>
      </c>
      <c r="H12" t="s">
        <v>654</v>
      </c>
      <c r="L12">
        <v>243964.75</v>
      </c>
      <c r="M12">
        <v>243964.75</v>
      </c>
      <c r="N12">
        <f t="shared" si="0"/>
        <v>24.870379687009894</v>
      </c>
    </row>
    <row r="13" spans="1:15" x14ac:dyDescent="0.3">
      <c r="A13" s="3" t="s">
        <v>812</v>
      </c>
      <c r="B13">
        <v>773.4</v>
      </c>
      <c r="C13">
        <v>20618.386400000007</v>
      </c>
      <c r="D13">
        <v>302251.58360000001</v>
      </c>
      <c r="E13">
        <v>576.26319999999998</v>
      </c>
      <c r="F13">
        <v>324219.63319999998</v>
      </c>
      <c r="H13" t="s">
        <v>812</v>
      </c>
      <c r="I13">
        <v>773.4</v>
      </c>
      <c r="J13">
        <v>20618.386400000007</v>
      </c>
      <c r="K13">
        <v>576.26319999999998</v>
      </c>
      <c r="L13">
        <v>302251.58360000001</v>
      </c>
      <c r="M13">
        <v>324219.63319999998</v>
      </c>
      <c r="N13">
        <f t="shared" si="0"/>
        <v>33.051764157186966</v>
      </c>
    </row>
    <row r="14" spans="1:15" x14ac:dyDescent="0.3">
      <c r="A14" s="3" t="s">
        <v>681</v>
      </c>
      <c r="B14">
        <v>1332.9355999999998</v>
      </c>
      <c r="C14">
        <v>1695.7203999999999</v>
      </c>
      <c r="D14">
        <v>71163.205199999997</v>
      </c>
      <c r="F14">
        <v>74191.861199999999</v>
      </c>
      <c r="H14" t="s">
        <v>681</v>
      </c>
      <c r="I14">
        <v>1332.9355999999998</v>
      </c>
      <c r="J14">
        <v>1695.7203999999999</v>
      </c>
      <c r="L14">
        <v>71163.205199999997</v>
      </c>
      <c r="M14">
        <v>74191.861199999999</v>
      </c>
      <c r="N14">
        <f t="shared" si="0"/>
        <v>7.5633047714062691</v>
      </c>
    </row>
    <row r="15" spans="1:15" x14ac:dyDescent="0.3">
      <c r="A15" s="3" t="s">
        <v>1001</v>
      </c>
      <c r="B15">
        <v>9175.1507999999994</v>
      </c>
      <c r="C15">
        <v>70047.437200000015</v>
      </c>
      <c r="D15">
        <v>871290.43160000001</v>
      </c>
      <c r="E15">
        <v>30431.996400000004</v>
      </c>
      <c r="F15">
        <v>980945.01600000018</v>
      </c>
      <c r="H15" t="s">
        <v>1001</v>
      </c>
      <c r="I15">
        <v>9175.1507999999994</v>
      </c>
      <c r="J15">
        <v>70047.437200000015</v>
      </c>
      <c r="K15">
        <v>30431.996400000004</v>
      </c>
      <c r="L15">
        <v>871290.43160000001</v>
      </c>
      <c r="M15">
        <v>980945.01600000018</v>
      </c>
      <c r="N15">
        <f t="shared" si="0"/>
        <v>100</v>
      </c>
    </row>
    <row r="17" spans="1:14" x14ac:dyDescent="0.3">
      <c r="N17">
        <f>M15/M30*100</f>
        <v>77.595348988781765</v>
      </c>
    </row>
    <row r="18" spans="1:14" x14ac:dyDescent="0.3">
      <c r="A18" s="2" t="s">
        <v>1004</v>
      </c>
      <c r="B18" s="2" t="s">
        <v>1003</v>
      </c>
      <c r="H18" t="s">
        <v>1004</v>
      </c>
      <c r="I18" t="s">
        <v>1003</v>
      </c>
    </row>
    <row r="19" spans="1:14" x14ac:dyDescent="0.3">
      <c r="A19" s="2" t="s">
        <v>1000</v>
      </c>
      <c r="B19" t="s">
        <v>37</v>
      </c>
      <c r="C19" t="s">
        <v>76</v>
      </c>
      <c r="D19" t="s">
        <v>17</v>
      </c>
      <c r="E19" t="s">
        <v>98</v>
      </c>
      <c r="F19" t="s">
        <v>1001</v>
      </c>
      <c r="H19" t="s">
        <v>1000</v>
      </c>
      <c r="I19" t="s">
        <v>37</v>
      </c>
      <c r="J19" t="s">
        <v>76</v>
      </c>
      <c r="K19" t="s">
        <v>98</v>
      </c>
      <c r="L19" t="s">
        <v>17</v>
      </c>
      <c r="M19" t="s">
        <v>1001</v>
      </c>
    </row>
    <row r="20" spans="1:14" x14ac:dyDescent="0.3">
      <c r="A20" s="3" t="s">
        <v>14</v>
      </c>
      <c r="B20">
        <v>654.48320000000001</v>
      </c>
      <c r="C20">
        <v>733.38199999999995</v>
      </c>
      <c r="D20">
        <v>28041.662799999995</v>
      </c>
      <c r="E20">
        <v>5647.1167999999998</v>
      </c>
      <c r="F20">
        <v>35076.644799999995</v>
      </c>
      <c r="H20" t="s">
        <v>14</v>
      </c>
      <c r="I20">
        <v>654.48320000000001</v>
      </c>
      <c r="J20">
        <v>733.38199999999995</v>
      </c>
      <c r="K20">
        <v>5647.1167999999998</v>
      </c>
      <c r="L20">
        <v>28041.662799999995</v>
      </c>
      <c r="M20">
        <v>35076.644799999995</v>
      </c>
    </row>
    <row r="21" spans="1:14" x14ac:dyDescent="0.3">
      <c r="A21" s="3" t="s">
        <v>120</v>
      </c>
      <c r="B21">
        <v>19.656399999999998</v>
      </c>
      <c r="C21">
        <v>1411.3815999999999</v>
      </c>
      <c r="D21">
        <v>23337.964800000002</v>
      </c>
      <c r="F21">
        <v>24769.002800000002</v>
      </c>
      <c r="H21" t="s">
        <v>120</v>
      </c>
      <c r="I21">
        <v>19.656399999999998</v>
      </c>
      <c r="J21">
        <v>1411.3815999999999</v>
      </c>
      <c r="L21">
        <v>23337.964800000002</v>
      </c>
      <c r="M21">
        <v>24769.002800000002</v>
      </c>
    </row>
    <row r="22" spans="1:14" x14ac:dyDescent="0.3">
      <c r="A22" s="3" t="s">
        <v>181</v>
      </c>
      <c r="B22">
        <v>235.65040000000002</v>
      </c>
      <c r="D22">
        <v>6026.7808000000005</v>
      </c>
      <c r="F22">
        <v>6262.4312000000009</v>
      </c>
      <c r="H22" t="s">
        <v>181</v>
      </c>
      <c r="I22">
        <v>235.65040000000002</v>
      </c>
      <c r="L22">
        <v>6026.7808000000005</v>
      </c>
      <c r="M22">
        <v>6262.4312000000009</v>
      </c>
    </row>
    <row r="23" spans="1:14" x14ac:dyDescent="0.3">
      <c r="A23" s="3" t="s">
        <v>390</v>
      </c>
      <c r="D23">
        <v>4695.8959999999997</v>
      </c>
      <c r="E23">
        <v>176.51240000000001</v>
      </c>
      <c r="F23">
        <v>4872.4083999999993</v>
      </c>
      <c r="H23" t="s">
        <v>390</v>
      </c>
      <c r="K23">
        <v>176.51240000000001</v>
      </c>
      <c r="L23">
        <v>4695.8959999999997</v>
      </c>
      <c r="M23">
        <v>4872.4083999999993</v>
      </c>
    </row>
    <row r="24" spans="1:14" x14ac:dyDescent="0.3">
      <c r="A24" s="3" t="s">
        <v>214</v>
      </c>
      <c r="B24">
        <v>17205.784</v>
      </c>
      <c r="C24">
        <v>18530.165199999996</v>
      </c>
      <c r="D24">
        <v>46183.718400000005</v>
      </c>
      <c r="F24">
        <v>81919.667600000001</v>
      </c>
      <c r="H24" t="s">
        <v>214</v>
      </c>
      <c r="I24">
        <v>17205.784</v>
      </c>
      <c r="J24">
        <v>18530.165199999996</v>
      </c>
      <c r="L24">
        <v>46183.718400000005</v>
      </c>
      <c r="M24">
        <v>81919.667600000001</v>
      </c>
    </row>
    <row r="25" spans="1:14" x14ac:dyDescent="0.3">
      <c r="A25" s="3" t="s">
        <v>506</v>
      </c>
      <c r="B25">
        <v>2940.3519999999999</v>
      </c>
      <c r="C25">
        <v>95428.384399999981</v>
      </c>
      <c r="D25">
        <v>211280.39720000004</v>
      </c>
      <c r="E25">
        <v>56811.044799999996</v>
      </c>
      <c r="F25">
        <v>366460.17839999998</v>
      </c>
      <c r="H25" t="s">
        <v>506</v>
      </c>
      <c r="I25">
        <v>2940.3519999999999</v>
      </c>
      <c r="J25">
        <v>95428.384399999981</v>
      </c>
      <c r="K25">
        <v>56811.044799999996</v>
      </c>
      <c r="L25">
        <v>211280.39720000004</v>
      </c>
      <c r="M25">
        <v>366460.17839999998</v>
      </c>
    </row>
    <row r="26" spans="1:14" x14ac:dyDescent="0.3">
      <c r="A26" s="3" t="s">
        <v>165</v>
      </c>
      <c r="C26">
        <v>10390.957600000002</v>
      </c>
      <c r="E26">
        <v>1299.9023999999999</v>
      </c>
      <c r="F26">
        <v>11690.86</v>
      </c>
      <c r="H26" t="s">
        <v>165</v>
      </c>
      <c r="J26">
        <v>10390.957600000002</v>
      </c>
      <c r="K26">
        <v>1299.9023999999999</v>
      </c>
      <c r="M26">
        <v>11690.86</v>
      </c>
    </row>
    <row r="27" spans="1:14" x14ac:dyDescent="0.3">
      <c r="A27" s="3" t="s">
        <v>654</v>
      </c>
      <c r="D27">
        <v>249354.62399999998</v>
      </c>
      <c r="F27">
        <v>249354.62399999998</v>
      </c>
      <c r="H27" t="s">
        <v>654</v>
      </c>
      <c r="L27">
        <v>249354.62399999998</v>
      </c>
      <c r="M27">
        <v>249354.62399999998</v>
      </c>
    </row>
    <row r="28" spans="1:14" x14ac:dyDescent="0.3">
      <c r="A28" s="3" t="s">
        <v>812</v>
      </c>
      <c r="B28">
        <v>1551.0828000000001</v>
      </c>
      <c r="C28">
        <v>43214.267200000002</v>
      </c>
      <c r="D28">
        <v>359433.86240000004</v>
      </c>
      <c r="E28">
        <v>1366.9323999999999</v>
      </c>
      <c r="F28">
        <v>405566.14480000007</v>
      </c>
      <c r="H28" t="s">
        <v>812</v>
      </c>
      <c r="I28">
        <v>1551.0828000000001</v>
      </c>
      <c r="J28">
        <v>43214.267200000002</v>
      </c>
      <c r="K28">
        <v>1366.9323999999999</v>
      </c>
      <c r="L28">
        <v>359433.86240000004</v>
      </c>
      <c r="M28">
        <v>405566.14480000007</v>
      </c>
    </row>
    <row r="29" spans="1:14" x14ac:dyDescent="0.3">
      <c r="A29" s="3" t="s">
        <v>681</v>
      </c>
      <c r="B29">
        <v>1626.8004000000001</v>
      </c>
      <c r="C29">
        <v>1905.72</v>
      </c>
      <c r="D29">
        <v>74675.689200000008</v>
      </c>
      <c r="F29">
        <v>78208.209600000002</v>
      </c>
      <c r="H29" t="s">
        <v>681</v>
      </c>
      <c r="I29">
        <v>1626.8004000000001</v>
      </c>
      <c r="J29">
        <v>1905.72</v>
      </c>
      <c r="L29">
        <v>74675.689200000008</v>
      </c>
      <c r="M29">
        <v>78208.209600000002</v>
      </c>
    </row>
    <row r="30" spans="1:14" x14ac:dyDescent="0.3">
      <c r="A30" s="3" t="s">
        <v>1001</v>
      </c>
      <c r="B30">
        <v>24233.8092</v>
      </c>
      <c r="C30">
        <v>171614.25799999997</v>
      </c>
      <c r="D30">
        <v>1003030.5956</v>
      </c>
      <c r="E30">
        <v>65301.508799999996</v>
      </c>
      <c r="F30">
        <v>1264180.1716</v>
      </c>
      <c r="H30" t="s">
        <v>1001</v>
      </c>
      <c r="I30">
        <v>24233.8092</v>
      </c>
      <c r="J30">
        <v>171614.25799999997</v>
      </c>
      <c r="K30">
        <v>65301.508799999996</v>
      </c>
      <c r="L30">
        <v>1003030.5956</v>
      </c>
      <c r="M30">
        <v>1264180.1716</v>
      </c>
    </row>
    <row r="32" spans="1:14" x14ac:dyDescent="0.3">
      <c r="A32" s="2" t="s">
        <v>1</v>
      </c>
      <c r="B32" t="s">
        <v>214</v>
      </c>
      <c r="H32" t="s">
        <v>1</v>
      </c>
      <c r="I32" t="s">
        <v>506</v>
      </c>
    </row>
    <row r="33" spans="1:13" x14ac:dyDescent="0.3">
      <c r="H33" s="23" t="s">
        <v>506</v>
      </c>
    </row>
    <row r="34" spans="1:13" ht="46.8" x14ac:dyDescent="0.3">
      <c r="A34" s="2" t="s">
        <v>1000</v>
      </c>
      <c r="B34" t="s">
        <v>1005</v>
      </c>
      <c r="C34" t="s">
        <v>1004</v>
      </c>
      <c r="D34" t="s">
        <v>1002</v>
      </c>
      <c r="H34" s="4" t="s">
        <v>1007</v>
      </c>
      <c r="I34" s="7" t="s">
        <v>1008</v>
      </c>
      <c r="J34" s="7" t="s">
        <v>1009</v>
      </c>
      <c r="K34" s="7" t="s">
        <v>1011</v>
      </c>
      <c r="L34" s="7" t="s">
        <v>1010</v>
      </c>
      <c r="M34" s="7" t="s">
        <v>1012</v>
      </c>
    </row>
    <row r="35" spans="1:13" ht="19.8" customHeight="1" x14ac:dyDescent="0.3">
      <c r="A35" s="3" t="s">
        <v>37</v>
      </c>
      <c r="B35" s="21">
        <v>40</v>
      </c>
      <c r="C35" s="21">
        <v>17205.784</v>
      </c>
      <c r="D35" s="21">
        <v>5689.9060000000018</v>
      </c>
      <c r="H35" s="5" t="s">
        <v>37</v>
      </c>
      <c r="I35" s="8">
        <v>4</v>
      </c>
      <c r="J35" s="11">
        <v>2940.3519999999999</v>
      </c>
      <c r="K35" s="11">
        <v>852.16640000000007</v>
      </c>
      <c r="L35" s="9">
        <f>J35/$J$39*100</f>
        <v>0.80236603410440277</v>
      </c>
      <c r="M35" s="9">
        <f>K35/$K$39*100</f>
        <v>0.3908131811343889</v>
      </c>
    </row>
    <row r="36" spans="1:13" ht="19.8" customHeight="1" x14ac:dyDescent="0.3">
      <c r="A36" s="3" t="s">
        <v>76</v>
      </c>
      <c r="B36" s="21">
        <v>27</v>
      </c>
      <c r="C36" s="21">
        <v>18530.165200000003</v>
      </c>
      <c r="D36" s="21">
        <v>7934.7304000000022</v>
      </c>
      <c r="H36" s="5" t="s">
        <v>76</v>
      </c>
      <c r="I36" s="8">
        <v>14</v>
      </c>
      <c r="J36" s="11">
        <v>95428.38440000001</v>
      </c>
      <c r="K36" s="11">
        <v>35467.303599999999</v>
      </c>
      <c r="L36" s="9">
        <f t="shared" ref="L36:L39" si="1">J36/$J$39*100</f>
        <v>26.040587770450095</v>
      </c>
      <c r="M36" s="9">
        <f>K36/$K$39*100</f>
        <v>16.265707901854807</v>
      </c>
    </row>
    <row r="37" spans="1:13" ht="19.2" customHeight="1" x14ac:dyDescent="0.3">
      <c r="A37" s="3" t="s">
        <v>17</v>
      </c>
      <c r="B37" s="21">
        <v>59</v>
      </c>
      <c r="C37" s="21">
        <v>46183.718399999998</v>
      </c>
      <c r="D37" s="21">
        <v>41165.436399999991</v>
      </c>
      <c r="H37" s="5" t="s">
        <v>98</v>
      </c>
      <c r="I37" s="8">
        <v>6</v>
      </c>
      <c r="J37" s="11">
        <v>56811.044799999996</v>
      </c>
      <c r="K37" s="11">
        <v>23557.211200000002</v>
      </c>
      <c r="L37" s="9">
        <f t="shared" si="1"/>
        <v>15.5026516245346</v>
      </c>
      <c r="M37" s="9">
        <f>K37/$K$39*100</f>
        <v>10.803604375538225</v>
      </c>
    </row>
    <row r="38" spans="1:13" ht="18.600000000000001" customHeight="1" x14ac:dyDescent="0.3">
      <c r="A38" s="3" t="s">
        <v>1001</v>
      </c>
      <c r="B38" s="21">
        <v>126</v>
      </c>
      <c r="C38" s="21">
        <v>81919.667599999986</v>
      </c>
      <c r="D38" s="21">
        <v>54790.072799999994</v>
      </c>
      <c r="H38" s="5" t="s">
        <v>17</v>
      </c>
      <c r="I38" s="8">
        <v>49</v>
      </c>
      <c r="J38" s="11">
        <v>211280.39719999995</v>
      </c>
      <c r="K38" s="11">
        <v>158172.8732</v>
      </c>
      <c r="L38" s="9">
        <f t="shared" si="1"/>
        <v>57.654394570910881</v>
      </c>
      <c r="M38" s="9">
        <f>K38/$K$39*100</f>
        <v>72.539874541472571</v>
      </c>
    </row>
    <row r="39" spans="1:13" ht="18.600000000000001" customHeight="1" x14ac:dyDescent="0.3">
      <c r="H39" s="6" t="s">
        <v>1006</v>
      </c>
      <c r="I39" s="10">
        <v>73</v>
      </c>
      <c r="J39" s="12">
        <v>366460.17840000003</v>
      </c>
      <c r="K39" s="12">
        <v>218049.55440000002</v>
      </c>
      <c r="L39" s="10">
        <f t="shared" si="1"/>
        <v>100</v>
      </c>
      <c r="M39" s="10">
        <f>K39/$K$39*100</f>
        <v>100</v>
      </c>
    </row>
    <row r="40" spans="1:13" ht="18.600000000000001" customHeight="1" x14ac:dyDescent="0.3">
      <c r="A40" s="3"/>
      <c r="H40" s="6"/>
      <c r="I40" s="10"/>
      <c r="J40" s="12"/>
      <c r="K40" s="12"/>
      <c r="L40" s="10"/>
      <c r="M40" s="10"/>
    </row>
    <row r="41" spans="1:13" ht="15.6" x14ac:dyDescent="0.3">
      <c r="A41" s="2" t="s">
        <v>1</v>
      </c>
      <c r="B41" t="s">
        <v>214</v>
      </c>
      <c r="H41" s="5"/>
      <c r="I41" s="5"/>
      <c r="J41" s="5"/>
      <c r="K41" s="5"/>
      <c r="L41" s="5"/>
      <c r="M41" s="5"/>
    </row>
    <row r="42" spans="1:13" ht="15.6" x14ac:dyDescent="0.3">
      <c r="H42" s="22" t="s">
        <v>506</v>
      </c>
    </row>
    <row r="43" spans="1:13" ht="54" x14ac:dyDescent="0.3">
      <c r="A43" s="2" t="s">
        <v>1000</v>
      </c>
      <c r="B43" t="s">
        <v>1013</v>
      </c>
      <c r="C43" t="s">
        <v>1002</v>
      </c>
      <c r="H43" s="13" t="s">
        <v>1015</v>
      </c>
      <c r="I43" s="13" t="s">
        <v>1008</v>
      </c>
      <c r="J43" s="13" t="s">
        <v>1011</v>
      </c>
      <c r="K43" s="13" t="s">
        <v>1014</v>
      </c>
    </row>
    <row r="44" spans="1:13" ht="22.8" customHeight="1" x14ac:dyDescent="0.35">
      <c r="A44" s="3" t="s">
        <v>24</v>
      </c>
      <c r="B44" s="21">
        <v>14</v>
      </c>
      <c r="C44" s="21">
        <v>4342.5587999999998</v>
      </c>
      <c r="H44" s="14" t="s">
        <v>1016</v>
      </c>
      <c r="I44" s="15">
        <v>21</v>
      </c>
      <c r="J44" s="16">
        <v>58015.784800000016</v>
      </c>
      <c r="K44" s="17">
        <f>J44/$J$48*100</f>
        <v>26.606697252668184</v>
      </c>
    </row>
    <row r="45" spans="1:13" ht="25.2" customHeight="1" x14ac:dyDescent="0.35">
      <c r="A45" s="3" t="s">
        <v>32</v>
      </c>
      <c r="B45" s="21">
        <v>25</v>
      </c>
      <c r="C45" s="21">
        <v>6783.384399999999</v>
      </c>
      <c r="H45" s="14" t="s">
        <v>1017</v>
      </c>
      <c r="I45" s="15">
        <v>37</v>
      </c>
      <c r="J45" s="16">
        <v>142141.32439999998</v>
      </c>
      <c r="K45" s="17">
        <f t="shared" ref="K45:K48" si="2">J45/$J$48*100</f>
        <v>65.187624341230915</v>
      </c>
    </row>
    <row r="46" spans="1:13" ht="22.8" customHeight="1" x14ac:dyDescent="0.35">
      <c r="A46" s="3" t="s">
        <v>19</v>
      </c>
      <c r="B46" s="21">
        <v>49</v>
      </c>
      <c r="C46" s="21">
        <v>20880.200400000002</v>
      </c>
      <c r="H46" s="14" t="s">
        <v>1018</v>
      </c>
      <c r="I46" s="15">
        <v>3</v>
      </c>
      <c r="J46" s="16">
        <v>2068.7403999999997</v>
      </c>
      <c r="K46" s="17">
        <f t="shared" si="2"/>
        <v>0.94874782280224623</v>
      </c>
    </row>
    <row r="47" spans="1:13" ht="23.4" customHeight="1" x14ac:dyDescent="0.35">
      <c r="A47" s="3" t="s">
        <v>29</v>
      </c>
      <c r="B47" s="21">
        <v>38</v>
      </c>
      <c r="C47" s="21">
        <v>22783.929200000002</v>
      </c>
      <c r="H47" s="14" t="s">
        <v>1019</v>
      </c>
      <c r="I47" s="15">
        <v>12</v>
      </c>
      <c r="J47" s="16">
        <v>15823.7048</v>
      </c>
      <c r="K47" s="17">
        <f t="shared" si="2"/>
        <v>7.2569305832986357</v>
      </c>
    </row>
    <row r="48" spans="1:13" ht="24.6" customHeight="1" x14ac:dyDescent="0.35">
      <c r="A48" s="3" t="s">
        <v>1001</v>
      </c>
      <c r="B48" s="21">
        <v>126</v>
      </c>
      <c r="C48" s="21">
        <v>54790.072800000016</v>
      </c>
      <c r="H48" s="18" t="s">
        <v>1006</v>
      </c>
      <c r="I48" s="19">
        <f>SUM(I44:I47)</f>
        <v>73</v>
      </c>
      <c r="J48" s="20">
        <f>SUM(J44:J47)</f>
        <v>218049.55440000002</v>
      </c>
      <c r="K48" s="19">
        <f t="shared" si="2"/>
        <v>100</v>
      </c>
    </row>
    <row r="52" spans="8:11" ht="39" customHeight="1" x14ac:dyDescent="0.3">
      <c r="H52" s="24" t="s">
        <v>1015</v>
      </c>
      <c r="I52" s="25" t="s">
        <v>1008</v>
      </c>
      <c r="J52" s="25" t="s">
        <v>1011</v>
      </c>
      <c r="K52" s="25" t="s">
        <v>1014</v>
      </c>
    </row>
    <row r="53" spans="8:11" ht="18.600000000000001" customHeight="1" x14ac:dyDescent="0.3">
      <c r="H53" s="26" t="s">
        <v>1019</v>
      </c>
      <c r="I53" s="27">
        <v>38</v>
      </c>
      <c r="J53" s="28">
        <v>22783.929200000002</v>
      </c>
      <c r="K53" s="29">
        <f>J53/$J$57*100</f>
        <v>41.584046225249757</v>
      </c>
    </row>
    <row r="54" spans="8:11" ht="18.600000000000001" customHeight="1" x14ac:dyDescent="0.3">
      <c r="H54" s="26" t="s">
        <v>1018</v>
      </c>
      <c r="I54" s="27">
        <v>14</v>
      </c>
      <c r="J54" s="28">
        <v>4342.5587999999998</v>
      </c>
      <c r="K54" s="29">
        <f>J54/$J$57*100</f>
        <v>7.9258131593502794</v>
      </c>
    </row>
    <row r="55" spans="8:11" ht="18.600000000000001" customHeight="1" x14ac:dyDescent="0.3">
      <c r="H55" s="26" t="s">
        <v>1017</v>
      </c>
      <c r="I55" s="27">
        <v>49</v>
      </c>
      <c r="J55" s="28">
        <v>20880.200400000002</v>
      </c>
      <c r="K55" s="29">
        <f>J55/$J$57*100</f>
        <v>38.109459128150668</v>
      </c>
    </row>
    <row r="56" spans="8:11" ht="18.600000000000001" customHeight="1" x14ac:dyDescent="0.3">
      <c r="H56" s="26" t="s">
        <v>1016</v>
      </c>
      <c r="I56" s="27">
        <v>25</v>
      </c>
      <c r="J56" s="28">
        <v>6783.384399999999</v>
      </c>
      <c r="K56" s="29">
        <f>J56/$J$57*100</f>
        <v>12.380681487249269</v>
      </c>
    </row>
    <row r="57" spans="8:11" ht="19.8" customHeight="1" x14ac:dyDescent="0.3">
      <c r="H57" s="30" t="s">
        <v>1006</v>
      </c>
      <c r="I57" s="31">
        <v>126</v>
      </c>
      <c r="J57" s="32">
        <v>54790.072800000016</v>
      </c>
      <c r="K57" s="33">
        <f>J57/$J$57*100</f>
        <v>100</v>
      </c>
    </row>
    <row r="60" spans="8:11" x14ac:dyDescent="0.3">
      <c r="H60" t="s">
        <v>1000</v>
      </c>
      <c r="I60" t="s">
        <v>1005</v>
      </c>
      <c r="J60" t="s">
        <v>1004</v>
      </c>
      <c r="K60" t="s">
        <v>1002</v>
      </c>
    </row>
    <row r="61" spans="8:11" x14ac:dyDescent="0.3">
      <c r="H61" t="s">
        <v>37</v>
      </c>
      <c r="I61">
        <v>40</v>
      </c>
      <c r="J61">
        <v>17205.784</v>
      </c>
      <c r="K61">
        <v>5689.9060000000018</v>
      </c>
    </row>
    <row r="62" spans="8:11" x14ac:dyDescent="0.3">
      <c r="H62" t="s">
        <v>76</v>
      </c>
      <c r="I62">
        <v>27</v>
      </c>
      <c r="J62">
        <v>18530.165200000003</v>
      </c>
      <c r="K62">
        <v>7934.7304000000022</v>
      </c>
    </row>
    <row r="63" spans="8:11" x14ac:dyDescent="0.3">
      <c r="H63" t="s">
        <v>17</v>
      </c>
      <c r="I63">
        <v>59</v>
      </c>
      <c r="J63">
        <v>46183.718399999998</v>
      </c>
      <c r="K63">
        <v>41165.436399999991</v>
      </c>
    </row>
    <row r="64" spans="8:11" x14ac:dyDescent="0.3">
      <c r="H64" t="s">
        <v>1001</v>
      </c>
      <c r="I64">
        <v>126</v>
      </c>
      <c r="J64">
        <v>81919.667599999986</v>
      </c>
      <c r="K64">
        <v>54790.072799999994</v>
      </c>
    </row>
    <row r="66" spans="9:11" x14ac:dyDescent="0.3">
      <c r="I66">
        <f>SUM(I61:I62)</f>
        <v>67</v>
      </c>
      <c r="J66">
        <f>SUM(I61:I62)/126*100</f>
        <v>53.174603174603178</v>
      </c>
      <c r="K66">
        <f>SUM(K61:K62)/K64*100</f>
        <v>24.866979917573691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64"/>
  <sheetViews>
    <sheetView workbookViewId="0">
      <selection sqref="A1:M293"/>
    </sheetView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>
        <v>14.6008</v>
      </c>
      <c r="F2">
        <v>14.5748</v>
      </c>
      <c r="G2">
        <v>0</v>
      </c>
      <c r="H2">
        <v>2.5708174513945099E-3</v>
      </c>
      <c r="I2">
        <v>0.998219275656128</v>
      </c>
      <c r="J2" t="s">
        <v>17</v>
      </c>
      <c r="L2" t="s">
        <v>18</v>
      </c>
      <c r="M2" t="s">
        <v>19</v>
      </c>
    </row>
    <row r="3" spans="1:13" hidden="1" x14ac:dyDescent="0.3">
      <c r="A3" t="s">
        <v>20</v>
      </c>
      <c r="B3" t="s">
        <v>14</v>
      </c>
      <c r="C3" t="s">
        <v>21</v>
      </c>
      <c r="D3" t="s">
        <v>16</v>
      </c>
      <c r="E3">
        <v>53.769199999999998</v>
      </c>
      <c r="F3">
        <v>51.1648</v>
      </c>
      <c r="G3">
        <v>0</v>
      </c>
      <c r="H3">
        <v>3.0602390518435999E-2</v>
      </c>
      <c r="I3">
        <v>0.95156334853410496</v>
      </c>
      <c r="J3" t="s">
        <v>17</v>
      </c>
      <c r="L3" t="s">
        <v>18</v>
      </c>
      <c r="M3" t="s">
        <v>19</v>
      </c>
    </row>
    <row r="4" spans="1:13" hidden="1" x14ac:dyDescent="0.3">
      <c r="A4" t="s">
        <v>22</v>
      </c>
      <c r="B4" t="s">
        <v>14</v>
      </c>
      <c r="C4" t="s">
        <v>23</v>
      </c>
      <c r="D4" t="s">
        <v>16</v>
      </c>
      <c r="E4">
        <v>729.20280000000002</v>
      </c>
      <c r="F4">
        <v>576.74</v>
      </c>
      <c r="G4">
        <v>0.1</v>
      </c>
      <c r="H4">
        <v>0.104223443061363</v>
      </c>
      <c r="I4">
        <v>0.79091852088335401</v>
      </c>
      <c r="J4" t="s">
        <v>17</v>
      </c>
      <c r="L4" t="s">
        <v>18</v>
      </c>
      <c r="M4" t="s">
        <v>24</v>
      </c>
    </row>
    <row r="5" spans="1:13" hidden="1" x14ac:dyDescent="0.3">
      <c r="A5" t="s">
        <v>25</v>
      </c>
      <c r="B5" t="s">
        <v>14</v>
      </c>
      <c r="C5" t="s">
        <v>26</v>
      </c>
      <c r="D5" t="s">
        <v>16</v>
      </c>
      <c r="E5">
        <v>1175.6312</v>
      </c>
      <c r="F5">
        <v>1034.7103999999999</v>
      </c>
      <c r="G5">
        <v>0.1</v>
      </c>
      <c r="H5">
        <v>5.44672084756802E-2</v>
      </c>
      <c r="I5">
        <v>0.88013179643411998</v>
      </c>
      <c r="J5" t="s">
        <v>17</v>
      </c>
      <c r="L5" t="s">
        <v>18</v>
      </c>
      <c r="M5" t="s">
        <v>24</v>
      </c>
    </row>
    <row r="6" spans="1:13" hidden="1" x14ac:dyDescent="0.3">
      <c r="A6" t="s">
        <v>27</v>
      </c>
      <c r="B6" t="s">
        <v>14</v>
      </c>
      <c r="C6" t="s">
        <v>28</v>
      </c>
      <c r="D6" t="s">
        <v>16</v>
      </c>
      <c r="E6">
        <v>1077.8671999999999</v>
      </c>
      <c r="F6">
        <v>1061.8263999999999</v>
      </c>
      <c r="G6">
        <v>0</v>
      </c>
      <c r="H6">
        <v>1.30080257737102E-2</v>
      </c>
      <c r="I6">
        <v>0.98511801824937295</v>
      </c>
      <c r="J6" t="s">
        <v>17</v>
      </c>
      <c r="L6" t="s">
        <v>18</v>
      </c>
      <c r="M6" t="s">
        <v>29</v>
      </c>
    </row>
    <row r="7" spans="1:13" hidden="1" x14ac:dyDescent="0.3">
      <c r="A7" t="s">
        <v>30</v>
      </c>
      <c r="B7" t="s">
        <v>14</v>
      </c>
      <c r="C7" t="s">
        <v>31</v>
      </c>
      <c r="D7" t="s">
        <v>16</v>
      </c>
      <c r="E7">
        <v>35.516399999999997</v>
      </c>
      <c r="F7">
        <v>20.0016</v>
      </c>
      <c r="G7">
        <v>0.3</v>
      </c>
      <c r="H7">
        <v>0.31123390654542199</v>
      </c>
      <c r="I7">
        <v>0.56316518566070894</v>
      </c>
      <c r="J7" t="s">
        <v>17</v>
      </c>
      <c r="L7" t="s">
        <v>18</v>
      </c>
      <c r="M7" t="s">
        <v>32</v>
      </c>
    </row>
    <row r="8" spans="1:13" hidden="1" x14ac:dyDescent="0.3">
      <c r="A8" t="s">
        <v>33</v>
      </c>
      <c r="B8" t="s">
        <v>14</v>
      </c>
      <c r="C8" t="s">
        <v>34</v>
      </c>
      <c r="D8" t="s">
        <v>16</v>
      </c>
      <c r="E8">
        <v>386.30680000000001</v>
      </c>
      <c r="F8">
        <v>310.89760000000001</v>
      </c>
      <c r="G8">
        <v>0.1</v>
      </c>
      <c r="H8">
        <v>9.9536474779369694E-2</v>
      </c>
      <c r="I8">
        <v>0.80479453118609401</v>
      </c>
      <c r="J8" t="s">
        <v>17</v>
      </c>
      <c r="L8" t="s">
        <v>18</v>
      </c>
      <c r="M8" t="s">
        <v>19</v>
      </c>
    </row>
    <row r="9" spans="1:13" hidden="1" x14ac:dyDescent="0.3">
      <c r="A9" t="s">
        <v>35</v>
      </c>
      <c r="B9" t="s">
        <v>14</v>
      </c>
      <c r="C9" t="s">
        <v>36</v>
      </c>
      <c r="D9" t="s">
        <v>16</v>
      </c>
      <c r="E9">
        <v>215.488</v>
      </c>
      <c r="F9">
        <v>92.396799999999999</v>
      </c>
      <c r="G9">
        <v>0.5</v>
      </c>
      <c r="H9">
        <v>0.48852878441455999</v>
      </c>
      <c r="I9">
        <v>0.42877932877932901</v>
      </c>
      <c r="J9" t="s">
        <v>37</v>
      </c>
      <c r="K9" t="s">
        <v>38</v>
      </c>
      <c r="L9" t="s">
        <v>18</v>
      </c>
      <c r="M9" t="s">
        <v>32</v>
      </c>
    </row>
    <row r="10" spans="1:13" hidden="1" x14ac:dyDescent="0.3">
      <c r="A10" t="s">
        <v>39</v>
      </c>
      <c r="B10" t="s">
        <v>14</v>
      </c>
      <c r="C10" t="s">
        <v>40</v>
      </c>
      <c r="D10" t="s">
        <v>16</v>
      </c>
      <c r="E10">
        <v>311.19279999999998</v>
      </c>
      <c r="F10">
        <v>268.27960000000002</v>
      </c>
      <c r="G10">
        <v>0</v>
      </c>
      <c r="H10">
        <v>4.8371985661524598E-2</v>
      </c>
      <c r="I10">
        <v>0.86210092264345495</v>
      </c>
      <c r="J10" t="s">
        <v>17</v>
      </c>
      <c r="L10" t="s">
        <v>18</v>
      </c>
      <c r="M10" t="s">
        <v>24</v>
      </c>
    </row>
    <row r="11" spans="1:13" hidden="1" x14ac:dyDescent="0.3">
      <c r="A11" t="s">
        <v>41</v>
      </c>
      <c r="B11" t="s">
        <v>14</v>
      </c>
      <c r="C11" t="s">
        <v>42</v>
      </c>
      <c r="D11" t="s">
        <v>16</v>
      </c>
      <c r="E11">
        <v>2976.1347999999998</v>
      </c>
      <c r="F11">
        <v>2598.0464000000002</v>
      </c>
      <c r="G11">
        <v>0</v>
      </c>
      <c r="H11">
        <v>4.00021369937631E-2</v>
      </c>
      <c r="I11">
        <v>0.87295992103583497</v>
      </c>
      <c r="J11" t="s">
        <v>17</v>
      </c>
      <c r="L11" t="s">
        <v>18</v>
      </c>
      <c r="M11" t="s">
        <v>19</v>
      </c>
    </row>
    <row r="12" spans="1:13" hidden="1" x14ac:dyDescent="0.3">
      <c r="A12" t="s">
        <v>43</v>
      </c>
      <c r="B12" t="s">
        <v>14</v>
      </c>
      <c r="C12" t="s">
        <v>44</v>
      </c>
      <c r="D12" t="s">
        <v>16</v>
      </c>
      <c r="E12">
        <v>2128.9656</v>
      </c>
      <c r="F12">
        <v>2109.2204000000002</v>
      </c>
      <c r="G12">
        <v>0</v>
      </c>
      <c r="H12">
        <v>1.1282613822186901E-2</v>
      </c>
      <c r="I12">
        <v>0.99072544901617998</v>
      </c>
      <c r="J12" t="s">
        <v>17</v>
      </c>
      <c r="L12" t="s">
        <v>18</v>
      </c>
      <c r="M12" t="s">
        <v>24</v>
      </c>
    </row>
    <row r="13" spans="1:13" hidden="1" x14ac:dyDescent="0.3">
      <c r="A13" t="s">
        <v>45</v>
      </c>
      <c r="B13" t="s">
        <v>14</v>
      </c>
      <c r="C13" t="s">
        <v>46</v>
      </c>
      <c r="D13" t="s">
        <v>16</v>
      </c>
      <c r="E13">
        <v>40.482399999999998</v>
      </c>
      <c r="F13">
        <v>30.173999999999999</v>
      </c>
      <c r="G13">
        <v>0.2</v>
      </c>
      <c r="H13">
        <v>0.212253805664014</v>
      </c>
      <c r="I13">
        <v>0.74536094697942801</v>
      </c>
      <c r="J13" t="s">
        <v>17</v>
      </c>
      <c r="L13" t="s">
        <v>18</v>
      </c>
      <c r="M13" t="s">
        <v>19</v>
      </c>
    </row>
    <row r="14" spans="1:13" hidden="1" x14ac:dyDescent="0.3">
      <c r="A14" t="s">
        <v>47</v>
      </c>
      <c r="B14" t="s">
        <v>14</v>
      </c>
      <c r="C14" t="s">
        <v>48</v>
      </c>
      <c r="D14" t="s">
        <v>16</v>
      </c>
      <c r="E14">
        <v>1239.9792</v>
      </c>
      <c r="F14">
        <v>1230.8535999999999</v>
      </c>
      <c r="G14">
        <v>0</v>
      </c>
      <c r="H14">
        <v>9.1002183647370307E-3</v>
      </c>
      <c r="I14">
        <v>0.99264052171197703</v>
      </c>
      <c r="J14" t="s">
        <v>17</v>
      </c>
      <c r="L14" t="s">
        <v>18</v>
      </c>
      <c r="M14" t="s">
        <v>29</v>
      </c>
    </row>
    <row r="15" spans="1:13" hidden="1" x14ac:dyDescent="0.3">
      <c r="A15" t="s">
        <v>49</v>
      </c>
      <c r="B15" t="s">
        <v>14</v>
      </c>
      <c r="C15" t="s">
        <v>50</v>
      </c>
      <c r="D15" t="s">
        <v>16</v>
      </c>
      <c r="E15">
        <v>1030.5103999999999</v>
      </c>
      <c r="F15">
        <v>908.23199999999997</v>
      </c>
      <c r="G15">
        <v>0</v>
      </c>
      <c r="H15">
        <v>4.0852478597408703E-2</v>
      </c>
      <c r="I15">
        <v>0.88134190591380701</v>
      </c>
      <c r="J15" t="s">
        <v>17</v>
      </c>
      <c r="L15" t="s">
        <v>18</v>
      </c>
      <c r="M15" t="s">
        <v>19</v>
      </c>
    </row>
    <row r="16" spans="1:13" hidden="1" x14ac:dyDescent="0.3">
      <c r="A16" t="s">
        <v>51</v>
      </c>
      <c r="B16" t="s">
        <v>14</v>
      </c>
      <c r="C16" t="s">
        <v>52</v>
      </c>
      <c r="D16" t="s">
        <v>16</v>
      </c>
      <c r="E16">
        <v>784.61400000000003</v>
      </c>
      <c r="F16">
        <v>768.05600000000004</v>
      </c>
      <c r="G16">
        <v>0</v>
      </c>
      <c r="H16">
        <v>1.4943380364326801E-2</v>
      </c>
      <c r="I16">
        <v>0.97889662942542399</v>
      </c>
      <c r="J16" t="s">
        <v>17</v>
      </c>
      <c r="L16" t="s">
        <v>18</v>
      </c>
      <c r="M16" t="s">
        <v>29</v>
      </c>
    </row>
    <row r="17" spans="1:13" hidden="1" x14ac:dyDescent="0.3">
      <c r="A17" t="s">
        <v>53</v>
      </c>
      <c r="B17" t="s">
        <v>14</v>
      </c>
      <c r="C17" t="s">
        <v>54</v>
      </c>
      <c r="D17" t="s">
        <v>16</v>
      </c>
      <c r="E17">
        <v>674.05840000000001</v>
      </c>
      <c r="F17">
        <v>625.32560000000001</v>
      </c>
      <c r="G17">
        <v>0</v>
      </c>
      <c r="H17">
        <v>4.1645523403068402E-2</v>
      </c>
      <c r="I17">
        <v>0.92770240679442595</v>
      </c>
      <c r="J17" t="s">
        <v>17</v>
      </c>
      <c r="L17" t="s">
        <v>18</v>
      </c>
      <c r="M17" t="s">
        <v>29</v>
      </c>
    </row>
    <row r="18" spans="1:13" hidden="1" x14ac:dyDescent="0.3">
      <c r="A18" t="s">
        <v>55</v>
      </c>
      <c r="B18" t="s">
        <v>14</v>
      </c>
      <c r="C18" t="s">
        <v>56</v>
      </c>
      <c r="D18" t="s">
        <v>16</v>
      </c>
      <c r="E18">
        <v>240.80160000000001</v>
      </c>
      <c r="F18">
        <v>210.196</v>
      </c>
      <c r="G18">
        <v>0</v>
      </c>
      <c r="H18">
        <v>3.01714714867523E-2</v>
      </c>
      <c r="I18">
        <v>0.87290117673636702</v>
      </c>
      <c r="J18" t="s">
        <v>17</v>
      </c>
      <c r="L18" t="s">
        <v>18</v>
      </c>
      <c r="M18" t="s">
        <v>19</v>
      </c>
    </row>
    <row r="19" spans="1:13" hidden="1" x14ac:dyDescent="0.3">
      <c r="A19" t="s">
        <v>57</v>
      </c>
      <c r="B19" t="s">
        <v>14</v>
      </c>
      <c r="C19" t="s">
        <v>58</v>
      </c>
      <c r="D19" t="s">
        <v>16</v>
      </c>
      <c r="E19">
        <v>3596.1840000000002</v>
      </c>
      <c r="F19">
        <v>3450.6651999999999</v>
      </c>
      <c r="G19">
        <v>0</v>
      </c>
      <c r="H19">
        <v>3.43389546128351E-2</v>
      </c>
      <c r="I19">
        <v>0.95953521844265999</v>
      </c>
      <c r="J19" t="s">
        <v>17</v>
      </c>
      <c r="L19" t="s">
        <v>18</v>
      </c>
      <c r="M19" t="s">
        <v>24</v>
      </c>
    </row>
    <row r="20" spans="1:13" hidden="1" x14ac:dyDescent="0.3">
      <c r="A20" t="s">
        <v>59</v>
      </c>
      <c r="B20" t="s">
        <v>14</v>
      </c>
      <c r="C20" t="s">
        <v>60</v>
      </c>
      <c r="D20" t="s">
        <v>16</v>
      </c>
      <c r="E20">
        <v>491.80560000000003</v>
      </c>
      <c r="F20">
        <v>484.07040000000001</v>
      </c>
      <c r="G20">
        <v>0</v>
      </c>
      <c r="H20">
        <v>1.55782498341199E-2</v>
      </c>
      <c r="I20">
        <v>0.98427183423694198</v>
      </c>
      <c r="J20" t="s">
        <v>17</v>
      </c>
      <c r="L20" t="s">
        <v>18</v>
      </c>
      <c r="M20" t="s">
        <v>19</v>
      </c>
    </row>
    <row r="21" spans="1:13" hidden="1" x14ac:dyDescent="0.3">
      <c r="A21" t="s">
        <v>61</v>
      </c>
      <c r="B21" t="s">
        <v>14</v>
      </c>
      <c r="C21" t="s">
        <v>62</v>
      </c>
      <c r="D21" t="s">
        <v>16</v>
      </c>
      <c r="E21">
        <v>167.52680000000001</v>
      </c>
      <c r="F21">
        <v>161.67400000000001</v>
      </c>
      <c r="G21">
        <v>0</v>
      </c>
      <c r="H21">
        <v>3.5384367952173701E-2</v>
      </c>
      <c r="I21">
        <v>0.96506350028771504</v>
      </c>
      <c r="J21" t="s">
        <v>17</v>
      </c>
      <c r="L21" t="s">
        <v>18</v>
      </c>
      <c r="M21" t="s">
        <v>32</v>
      </c>
    </row>
    <row r="22" spans="1:13" hidden="1" x14ac:dyDescent="0.3">
      <c r="A22" t="s">
        <v>63</v>
      </c>
      <c r="B22" t="s">
        <v>14</v>
      </c>
      <c r="C22" t="s">
        <v>64</v>
      </c>
      <c r="D22" t="s">
        <v>16</v>
      </c>
      <c r="E22">
        <v>30.147600000000001</v>
      </c>
      <c r="F22">
        <v>18.374400000000001</v>
      </c>
      <c r="G22">
        <v>0.2</v>
      </c>
      <c r="H22">
        <v>0.18231622319707999</v>
      </c>
      <c r="I22">
        <v>0.609481351749393</v>
      </c>
      <c r="J22" t="s">
        <v>17</v>
      </c>
      <c r="L22" t="s">
        <v>18</v>
      </c>
      <c r="M22" t="s">
        <v>24</v>
      </c>
    </row>
    <row r="23" spans="1:13" hidden="1" x14ac:dyDescent="0.3">
      <c r="A23" t="s">
        <v>65</v>
      </c>
      <c r="B23" t="s">
        <v>14</v>
      </c>
      <c r="C23" t="s">
        <v>66</v>
      </c>
      <c r="D23" t="s">
        <v>67</v>
      </c>
      <c r="E23">
        <v>51.4116</v>
      </c>
      <c r="F23">
        <v>29.764399999999998</v>
      </c>
      <c r="G23">
        <v>0.4</v>
      </c>
      <c r="H23">
        <v>0.35102055423670198</v>
      </c>
      <c r="I23">
        <v>0.57894327350247798</v>
      </c>
      <c r="J23" t="s">
        <v>37</v>
      </c>
      <c r="K23" t="s">
        <v>38</v>
      </c>
      <c r="L23" t="s">
        <v>18</v>
      </c>
      <c r="M23" t="s">
        <v>29</v>
      </c>
    </row>
    <row r="24" spans="1:13" hidden="1" x14ac:dyDescent="0.3">
      <c r="A24" t="s">
        <v>68</v>
      </c>
      <c r="B24" t="s">
        <v>14</v>
      </c>
      <c r="C24" t="s">
        <v>69</v>
      </c>
      <c r="D24" t="s">
        <v>16</v>
      </c>
      <c r="E24">
        <v>176.6464</v>
      </c>
      <c r="F24">
        <v>106.1272</v>
      </c>
      <c r="G24">
        <v>0.4</v>
      </c>
      <c r="H24">
        <v>0.41707219888824298</v>
      </c>
      <c r="I24">
        <v>0.60078892069127898</v>
      </c>
      <c r="J24" t="s">
        <v>37</v>
      </c>
      <c r="K24" t="s">
        <v>38</v>
      </c>
      <c r="L24" t="s">
        <v>18</v>
      </c>
      <c r="M24" t="s">
        <v>32</v>
      </c>
    </row>
    <row r="25" spans="1:13" hidden="1" x14ac:dyDescent="0.3">
      <c r="A25" t="s">
        <v>70</v>
      </c>
      <c r="B25" t="s">
        <v>14</v>
      </c>
      <c r="C25" t="s">
        <v>71</v>
      </c>
      <c r="D25" t="s">
        <v>16</v>
      </c>
      <c r="E25">
        <v>1290.854</v>
      </c>
      <c r="F25">
        <v>849.76520000000005</v>
      </c>
      <c r="G25">
        <v>0.2</v>
      </c>
      <c r="H25">
        <v>0.204659056267714</v>
      </c>
      <c r="I25">
        <v>0.65829691041744498</v>
      </c>
      <c r="J25" t="s">
        <v>17</v>
      </c>
      <c r="L25" t="s">
        <v>18</v>
      </c>
      <c r="M25" t="s">
        <v>24</v>
      </c>
    </row>
    <row r="26" spans="1:13" hidden="1" x14ac:dyDescent="0.3">
      <c r="A26" t="s">
        <v>72</v>
      </c>
      <c r="B26" t="s">
        <v>14</v>
      </c>
      <c r="C26" t="s">
        <v>73</v>
      </c>
      <c r="D26" t="s">
        <v>16</v>
      </c>
      <c r="E26">
        <v>245.8596</v>
      </c>
      <c r="F26">
        <v>216.98400000000001</v>
      </c>
      <c r="G26">
        <v>0.1</v>
      </c>
      <c r="H26">
        <v>0.121611595871905</v>
      </c>
      <c r="I26">
        <v>0.88255248117218099</v>
      </c>
      <c r="J26" t="s">
        <v>17</v>
      </c>
      <c r="L26" t="s">
        <v>18</v>
      </c>
      <c r="M26" t="s">
        <v>19</v>
      </c>
    </row>
    <row r="27" spans="1:13" hidden="1" x14ac:dyDescent="0.3">
      <c r="A27" t="s">
        <v>74</v>
      </c>
      <c r="B27" t="s">
        <v>14</v>
      </c>
      <c r="C27" t="s">
        <v>75</v>
      </c>
      <c r="D27" t="s">
        <v>67</v>
      </c>
      <c r="E27">
        <v>596.31719999999996</v>
      </c>
      <c r="F27">
        <v>463.16</v>
      </c>
      <c r="G27">
        <v>0.2</v>
      </c>
      <c r="H27">
        <v>0.24190462474493099</v>
      </c>
      <c r="I27">
        <v>0.77670072236722298</v>
      </c>
      <c r="J27" t="s">
        <v>76</v>
      </c>
      <c r="K27" t="s">
        <v>77</v>
      </c>
      <c r="L27" t="s">
        <v>18</v>
      </c>
      <c r="M27" t="s">
        <v>19</v>
      </c>
    </row>
    <row r="28" spans="1:13" hidden="1" x14ac:dyDescent="0.3">
      <c r="A28" t="s">
        <v>78</v>
      </c>
      <c r="B28" t="s">
        <v>14</v>
      </c>
      <c r="C28" t="s">
        <v>79</v>
      </c>
      <c r="D28" t="s">
        <v>16</v>
      </c>
      <c r="E28">
        <v>307.52159999999998</v>
      </c>
      <c r="F28">
        <v>207.8656</v>
      </c>
      <c r="G28">
        <v>0.2</v>
      </c>
      <c r="H28">
        <v>0.177893479870498</v>
      </c>
      <c r="I28">
        <v>0.675938210519196</v>
      </c>
      <c r="J28" t="s">
        <v>17</v>
      </c>
      <c r="L28" t="s">
        <v>18</v>
      </c>
      <c r="M28" t="s">
        <v>24</v>
      </c>
    </row>
    <row r="29" spans="1:13" hidden="1" x14ac:dyDescent="0.3">
      <c r="A29" t="s">
        <v>80</v>
      </c>
      <c r="B29" t="s">
        <v>14</v>
      </c>
      <c r="C29" t="s">
        <v>81</v>
      </c>
      <c r="D29" t="s">
        <v>16</v>
      </c>
      <c r="E29">
        <v>59.856400000000001</v>
      </c>
      <c r="F29">
        <v>51.730400000000003</v>
      </c>
      <c r="G29">
        <v>0.2</v>
      </c>
      <c r="H29">
        <v>0.16820398293862401</v>
      </c>
      <c r="I29">
        <v>0.86424175192627695</v>
      </c>
      <c r="J29" t="s">
        <v>17</v>
      </c>
      <c r="L29" t="s">
        <v>18</v>
      </c>
      <c r="M29" t="s">
        <v>32</v>
      </c>
    </row>
    <row r="30" spans="1:13" hidden="1" x14ac:dyDescent="0.3">
      <c r="A30" t="s">
        <v>82</v>
      </c>
      <c r="B30" t="s">
        <v>14</v>
      </c>
      <c r="C30" t="s">
        <v>83</v>
      </c>
      <c r="D30" t="s">
        <v>84</v>
      </c>
      <c r="E30">
        <v>286.20319999999998</v>
      </c>
      <c r="F30">
        <v>265.86</v>
      </c>
      <c r="G30">
        <v>0.1</v>
      </c>
      <c r="H30">
        <v>5.6680695731303903E-2</v>
      </c>
      <c r="I30">
        <v>0.92892043135786095</v>
      </c>
      <c r="J30" t="s">
        <v>17</v>
      </c>
      <c r="L30" t="s">
        <v>18</v>
      </c>
      <c r="M30" t="s">
        <v>32</v>
      </c>
    </row>
    <row r="31" spans="1:13" hidden="1" x14ac:dyDescent="0.3">
      <c r="A31" t="s">
        <v>85</v>
      </c>
      <c r="B31" t="s">
        <v>14</v>
      </c>
      <c r="C31" t="s">
        <v>86</v>
      </c>
      <c r="D31" t="s">
        <v>16</v>
      </c>
      <c r="E31">
        <v>163.45760000000001</v>
      </c>
      <c r="F31">
        <v>63.255200000000002</v>
      </c>
      <c r="G31">
        <v>0.9</v>
      </c>
      <c r="H31">
        <v>0.89681043889154399</v>
      </c>
      <c r="I31">
        <v>0.386982312232652</v>
      </c>
      <c r="J31" t="s">
        <v>37</v>
      </c>
      <c r="K31" t="s">
        <v>38</v>
      </c>
      <c r="L31" t="s">
        <v>18</v>
      </c>
      <c r="M31" t="s">
        <v>32</v>
      </c>
    </row>
    <row r="32" spans="1:13" hidden="1" x14ac:dyDescent="0.3">
      <c r="A32" t="s">
        <v>87</v>
      </c>
      <c r="B32" t="s">
        <v>14</v>
      </c>
      <c r="C32" t="s">
        <v>88</v>
      </c>
      <c r="D32" t="s">
        <v>16</v>
      </c>
      <c r="E32">
        <v>697.02520000000004</v>
      </c>
      <c r="F32">
        <v>430.49439999999998</v>
      </c>
      <c r="G32">
        <v>0.1</v>
      </c>
      <c r="H32">
        <v>0.14522392370610801</v>
      </c>
      <c r="I32">
        <v>0.61761669448966805</v>
      </c>
      <c r="J32" t="s">
        <v>17</v>
      </c>
      <c r="L32" t="s">
        <v>18</v>
      </c>
      <c r="M32" t="s">
        <v>24</v>
      </c>
    </row>
    <row r="33" spans="1:13" hidden="1" x14ac:dyDescent="0.3">
      <c r="A33" t="s">
        <v>89</v>
      </c>
      <c r="B33" t="s">
        <v>14</v>
      </c>
      <c r="C33" t="s">
        <v>90</v>
      </c>
      <c r="D33" t="s">
        <v>16</v>
      </c>
      <c r="E33">
        <v>571.85760000000005</v>
      </c>
      <c r="F33">
        <v>552.06880000000001</v>
      </c>
      <c r="G33">
        <v>0</v>
      </c>
      <c r="H33">
        <v>2.9322283589749101E-2</v>
      </c>
      <c r="I33">
        <v>0.965395580997787</v>
      </c>
      <c r="J33" t="s">
        <v>17</v>
      </c>
      <c r="L33" t="s">
        <v>18</v>
      </c>
      <c r="M33" t="s">
        <v>29</v>
      </c>
    </row>
    <row r="34" spans="1:13" hidden="1" x14ac:dyDescent="0.3">
      <c r="A34" t="s">
        <v>91</v>
      </c>
      <c r="B34" t="s">
        <v>14</v>
      </c>
      <c r="C34" t="s">
        <v>92</v>
      </c>
      <c r="D34" t="s">
        <v>16</v>
      </c>
      <c r="E34">
        <v>910.57560000000001</v>
      </c>
      <c r="F34">
        <v>886.15359999999998</v>
      </c>
      <c r="G34">
        <v>0</v>
      </c>
      <c r="H34">
        <v>2.83209655379098E-2</v>
      </c>
      <c r="I34">
        <v>0.97317960200119602</v>
      </c>
      <c r="J34" t="s">
        <v>17</v>
      </c>
      <c r="L34" t="s">
        <v>18</v>
      </c>
      <c r="M34" t="s">
        <v>19</v>
      </c>
    </row>
    <row r="35" spans="1:13" hidden="1" x14ac:dyDescent="0.3">
      <c r="A35" t="s">
        <v>93</v>
      </c>
      <c r="B35" t="s">
        <v>14</v>
      </c>
      <c r="C35" t="s">
        <v>94</v>
      </c>
      <c r="D35" t="s">
        <v>16</v>
      </c>
      <c r="E35">
        <v>20.376799999999999</v>
      </c>
      <c r="F35">
        <v>11.6912</v>
      </c>
      <c r="G35">
        <v>0.2</v>
      </c>
      <c r="H35">
        <v>0.15564044213264</v>
      </c>
      <c r="I35">
        <v>0.57375053982961</v>
      </c>
      <c r="J35" t="s">
        <v>37</v>
      </c>
      <c r="K35" t="s">
        <v>95</v>
      </c>
      <c r="L35" t="s">
        <v>18</v>
      </c>
      <c r="M35" t="s">
        <v>32</v>
      </c>
    </row>
    <row r="36" spans="1:13" hidden="1" x14ac:dyDescent="0.3">
      <c r="A36" t="s">
        <v>96</v>
      </c>
      <c r="B36" t="s">
        <v>14</v>
      </c>
      <c r="C36" t="s">
        <v>97</v>
      </c>
      <c r="D36" t="s">
        <v>16</v>
      </c>
      <c r="E36">
        <v>5647.1167999999998</v>
      </c>
      <c r="F36">
        <v>5524.0147999999999</v>
      </c>
      <c r="G36">
        <v>0</v>
      </c>
      <c r="H36">
        <v>2.11698181898472E-2</v>
      </c>
      <c r="I36">
        <v>0.97820091130397702</v>
      </c>
      <c r="J36" t="s">
        <v>98</v>
      </c>
      <c r="K36" t="s">
        <v>99</v>
      </c>
      <c r="L36" t="s">
        <v>18</v>
      </c>
      <c r="M36" t="s">
        <v>24</v>
      </c>
    </row>
    <row r="37" spans="1:13" hidden="1" x14ac:dyDescent="0.3">
      <c r="A37" t="s">
        <v>100</v>
      </c>
      <c r="B37" t="s">
        <v>14</v>
      </c>
      <c r="C37" t="s">
        <v>101</v>
      </c>
      <c r="D37" t="s">
        <v>16</v>
      </c>
      <c r="E37">
        <v>577.54240000000004</v>
      </c>
      <c r="F37">
        <v>515.44240000000002</v>
      </c>
      <c r="G37">
        <v>0.1</v>
      </c>
      <c r="H37">
        <v>6.6333308521045894E-2</v>
      </c>
      <c r="I37">
        <v>0.89247542691237902</v>
      </c>
      <c r="J37" t="s">
        <v>17</v>
      </c>
      <c r="L37" t="s">
        <v>18</v>
      </c>
      <c r="M37" t="s">
        <v>29</v>
      </c>
    </row>
    <row r="38" spans="1:13" hidden="1" x14ac:dyDescent="0.3">
      <c r="A38" t="s">
        <v>102</v>
      </c>
      <c r="B38" t="s">
        <v>14</v>
      </c>
      <c r="C38" t="s">
        <v>103</v>
      </c>
      <c r="D38" t="s">
        <v>16</v>
      </c>
      <c r="E38">
        <v>1963.4028000000001</v>
      </c>
      <c r="F38">
        <v>1693.7084</v>
      </c>
      <c r="G38">
        <v>0.2</v>
      </c>
      <c r="H38">
        <v>0.16791322873207101</v>
      </c>
      <c r="I38">
        <v>0.86263929133644901</v>
      </c>
      <c r="J38" t="s">
        <v>17</v>
      </c>
      <c r="L38" t="s">
        <v>18</v>
      </c>
      <c r="M38" t="s">
        <v>24</v>
      </c>
    </row>
    <row r="39" spans="1:13" hidden="1" x14ac:dyDescent="0.3">
      <c r="A39" t="s">
        <v>104</v>
      </c>
      <c r="B39" t="s">
        <v>14</v>
      </c>
      <c r="C39" t="s">
        <v>105</v>
      </c>
      <c r="D39" t="s">
        <v>16</v>
      </c>
      <c r="E39">
        <v>43.596800000000002</v>
      </c>
      <c r="F39">
        <v>30.241599999999998</v>
      </c>
      <c r="G39">
        <v>0.2</v>
      </c>
      <c r="H39">
        <v>0.15452713831298701</v>
      </c>
      <c r="I39">
        <v>0.69366559013505602</v>
      </c>
      <c r="J39" t="s">
        <v>17</v>
      </c>
      <c r="L39" t="s">
        <v>18</v>
      </c>
      <c r="M39" t="s">
        <v>19</v>
      </c>
    </row>
    <row r="40" spans="1:13" hidden="1" x14ac:dyDescent="0.3">
      <c r="A40" t="s">
        <v>106</v>
      </c>
      <c r="B40" t="s">
        <v>14</v>
      </c>
      <c r="C40" t="s">
        <v>107</v>
      </c>
      <c r="D40" t="s">
        <v>16</v>
      </c>
      <c r="E40">
        <v>27.102799999999998</v>
      </c>
      <c r="F40">
        <v>16.549600000000002</v>
      </c>
      <c r="G40">
        <v>0.5</v>
      </c>
      <c r="H40">
        <v>0.47178643984322099</v>
      </c>
      <c r="I40">
        <v>0.61062325663769101</v>
      </c>
      <c r="J40" t="s">
        <v>37</v>
      </c>
      <c r="K40" t="s">
        <v>38</v>
      </c>
      <c r="L40" t="s">
        <v>18</v>
      </c>
      <c r="M40" t="s">
        <v>29</v>
      </c>
    </row>
    <row r="41" spans="1:13" hidden="1" x14ac:dyDescent="0.3">
      <c r="A41" t="s">
        <v>108</v>
      </c>
      <c r="B41" t="s">
        <v>14</v>
      </c>
      <c r="C41" t="s">
        <v>109</v>
      </c>
      <c r="D41" t="s">
        <v>16</v>
      </c>
      <c r="E41">
        <v>187.72040000000001</v>
      </c>
      <c r="F41">
        <v>184.89920000000001</v>
      </c>
      <c r="G41">
        <v>0</v>
      </c>
      <c r="H41">
        <v>1.21417150270118E-2</v>
      </c>
      <c r="I41">
        <v>0.98497126577612204</v>
      </c>
      <c r="J41" t="s">
        <v>17</v>
      </c>
      <c r="L41" t="s">
        <v>18</v>
      </c>
      <c r="M41" t="s">
        <v>29</v>
      </c>
    </row>
    <row r="42" spans="1:13" hidden="1" x14ac:dyDescent="0.3">
      <c r="A42" t="s">
        <v>110</v>
      </c>
      <c r="B42" t="s">
        <v>14</v>
      </c>
      <c r="C42" t="s">
        <v>111</v>
      </c>
      <c r="D42" t="s">
        <v>16</v>
      </c>
      <c r="E42">
        <v>760.38720000000001</v>
      </c>
      <c r="F42">
        <v>741.59760000000006</v>
      </c>
      <c r="G42">
        <v>0</v>
      </c>
      <c r="H42">
        <v>3.30905426088514E-2</v>
      </c>
      <c r="I42">
        <v>0.97528943148964098</v>
      </c>
      <c r="J42" t="s">
        <v>17</v>
      </c>
      <c r="L42" t="s">
        <v>18</v>
      </c>
      <c r="M42" t="s">
        <v>19</v>
      </c>
    </row>
    <row r="43" spans="1:13" hidden="1" x14ac:dyDescent="0.3">
      <c r="A43" t="s">
        <v>112</v>
      </c>
      <c r="B43" t="s">
        <v>14</v>
      </c>
      <c r="C43" t="s">
        <v>113</v>
      </c>
      <c r="D43" t="s">
        <v>16</v>
      </c>
      <c r="E43">
        <v>701.61760000000004</v>
      </c>
      <c r="F43">
        <v>465.94920000000002</v>
      </c>
      <c r="G43">
        <v>0.2</v>
      </c>
      <c r="H43">
        <v>0.20862491918381901</v>
      </c>
      <c r="I43">
        <v>0.66410705774769596</v>
      </c>
      <c r="J43" t="s">
        <v>17</v>
      </c>
      <c r="L43" t="s">
        <v>18</v>
      </c>
      <c r="M43" t="s">
        <v>19</v>
      </c>
    </row>
    <row r="44" spans="1:13" hidden="1" x14ac:dyDescent="0.3">
      <c r="A44" t="s">
        <v>114</v>
      </c>
      <c r="B44" t="s">
        <v>14</v>
      </c>
      <c r="C44" t="s">
        <v>115</v>
      </c>
      <c r="D44" t="s">
        <v>67</v>
      </c>
      <c r="E44">
        <v>137.06479999999999</v>
      </c>
      <c r="F44">
        <v>105.50960000000001</v>
      </c>
      <c r="G44">
        <v>0.2</v>
      </c>
      <c r="H44">
        <v>0.18206071576482</v>
      </c>
      <c r="I44">
        <v>0.76977896586140304</v>
      </c>
      <c r="J44" t="s">
        <v>76</v>
      </c>
      <c r="K44" t="s">
        <v>116</v>
      </c>
      <c r="L44" t="s">
        <v>18</v>
      </c>
      <c r="M44" t="s">
        <v>19</v>
      </c>
    </row>
    <row r="45" spans="1:13" hidden="1" x14ac:dyDescent="0.3">
      <c r="A45" t="s">
        <v>117</v>
      </c>
      <c r="B45" t="s">
        <v>14</v>
      </c>
      <c r="C45" t="s">
        <v>118</v>
      </c>
      <c r="D45" t="s">
        <v>16</v>
      </c>
      <c r="E45">
        <v>2252.3447999999999</v>
      </c>
      <c r="F45">
        <v>2221.2952</v>
      </c>
      <c r="G45">
        <v>0</v>
      </c>
      <c r="H45">
        <v>1.4390642899381099E-2</v>
      </c>
      <c r="I45">
        <v>0.98621454406092701</v>
      </c>
      <c r="J45" t="s">
        <v>17</v>
      </c>
      <c r="L45" t="s">
        <v>18</v>
      </c>
      <c r="M45" t="s">
        <v>32</v>
      </c>
    </row>
    <row r="46" spans="1:13" hidden="1" x14ac:dyDescent="0.3">
      <c r="A46" t="s">
        <v>119</v>
      </c>
      <c r="B46" t="s">
        <v>120</v>
      </c>
      <c r="C46" t="s">
        <v>121</v>
      </c>
      <c r="D46" t="s">
        <v>84</v>
      </c>
      <c r="E46">
        <v>18.7044</v>
      </c>
      <c r="F46">
        <v>18.186800000000002</v>
      </c>
      <c r="G46">
        <v>0</v>
      </c>
      <c r="H46">
        <v>2.2111331921119901E-2</v>
      </c>
      <c r="I46">
        <v>0.97232736682277998</v>
      </c>
      <c r="J46" t="s">
        <v>17</v>
      </c>
      <c r="L46" t="s">
        <v>18</v>
      </c>
      <c r="M46" t="s">
        <v>29</v>
      </c>
    </row>
    <row r="47" spans="1:13" hidden="1" x14ac:dyDescent="0.3">
      <c r="A47" t="s">
        <v>122</v>
      </c>
      <c r="B47" t="s">
        <v>120</v>
      </c>
      <c r="C47" t="s">
        <v>123</v>
      </c>
      <c r="D47" t="s">
        <v>84</v>
      </c>
      <c r="E47">
        <v>350.79599999999999</v>
      </c>
      <c r="F47">
        <v>116.1724</v>
      </c>
      <c r="G47">
        <v>0.8</v>
      </c>
      <c r="H47">
        <v>0.810900222588813</v>
      </c>
      <c r="I47">
        <v>0.33116797226878297</v>
      </c>
      <c r="J47" t="s">
        <v>76</v>
      </c>
      <c r="K47" t="s">
        <v>124</v>
      </c>
      <c r="L47" t="s">
        <v>18</v>
      </c>
      <c r="M47" t="s">
        <v>32</v>
      </c>
    </row>
    <row r="48" spans="1:13" hidden="1" x14ac:dyDescent="0.3">
      <c r="A48" t="s">
        <v>125</v>
      </c>
      <c r="B48" t="s">
        <v>120</v>
      </c>
      <c r="C48" t="s">
        <v>126</v>
      </c>
      <c r="D48" t="s">
        <v>127</v>
      </c>
      <c r="E48">
        <v>867.58720000000005</v>
      </c>
      <c r="F48">
        <v>530.98360000000002</v>
      </c>
      <c r="G48">
        <v>0.3</v>
      </c>
      <c r="H48">
        <v>0.32869547427463602</v>
      </c>
      <c r="I48">
        <v>0.61202332169031504</v>
      </c>
      <c r="J48" t="s">
        <v>17</v>
      </c>
      <c r="L48" t="s">
        <v>18</v>
      </c>
      <c r="M48" t="s">
        <v>19</v>
      </c>
    </row>
    <row r="49" spans="1:13" hidden="1" x14ac:dyDescent="0.3">
      <c r="A49" t="s">
        <v>128</v>
      </c>
      <c r="B49" t="s">
        <v>120</v>
      </c>
      <c r="C49" t="s">
        <v>129</v>
      </c>
      <c r="D49" t="s">
        <v>130</v>
      </c>
      <c r="E49">
        <v>1787.3463999999999</v>
      </c>
      <c r="F49">
        <v>1248.4128000000001</v>
      </c>
      <c r="G49">
        <v>0.3</v>
      </c>
      <c r="H49">
        <v>0.26643964013393001</v>
      </c>
      <c r="I49">
        <v>0.69847277505915994</v>
      </c>
      <c r="J49" t="s">
        <v>17</v>
      </c>
      <c r="L49" t="s">
        <v>18</v>
      </c>
      <c r="M49" t="s">
        <v>19</v>
      </c>
    </row>
    <row r="50" spans="1:13" hidden="1" x14ac:dyDescent="0.3">
      <c r="A50" t="s">
        <v>131</v>
      </c>
      <c r="B50" t="s">
        <v>120</v>
      </c>
      <c r="C50" t="s">
        <v>132</v>
      </c>
      <c r="D50" t="s">
        <v>133</v>
      </c>
      <c r="E50">
        <v>3235.1676000000002</v>
      </c>
      <c r="F50">
        <v>2106.6480000000001</v>
      </c>
      <c r="G50">
        <v>0.2</v>
      </c>
      <c r="H50">
        <v>0.24364901577722101</v>
      </c>
      <c r="I50">
        <v>0.65117120980069199</v>
      </c>
      <c r="J50" t="s">
        <v>17</v>
      </c>
      <c r="L50" t="s">
        <v>18</v>
      </c>
      <c r="M50" t="s">
        <v>19</v>
      </c>
    </row>
    <row r="51" spans="1:13" hidden="1" x14ac:dyDescent="0.3">
      <c r="A51" t="s">
        <v>134</v>
      </c>
      <c r="B51" t="s">
        <v>120</v>
      </c>
      <c r="C51" t="s">
        <v>135</v>
      </c>
      <c r="D51" t="s">
        <v>136</v>
      </c>
      <c r="E51">
        <v>653.40639999999996</v>
      </c>
      <c r="F51">
        <v>286.02960000000002</v>
      </c>
      <c r="G51">
        <v>0.5</v>
      </c>
      <c r="H51">
        <v>0.48977032314669999</v>
      </c>
      <c r="I51">
        <v>0.43775145147032501</v>
      </c>
      <c r="J51" t="s">
        <v>76</v>
      </c>
      <c r="K51" t="s">
        <v>38</v>
      </c>
      <c r="L51" t="s">
        <v>18</v>
      </c>
      <c r="M51" t="s">
        <v>19</v>
      </c>
    </row>
    <row r="52" spans="1:13" hidden="1" x14ac:dyDescent="0.3">
      <c r="A52" t="s">
        <v>137</v>
      </c>
      <c r="B52" t="s">
        <v>120</v>
      </c>
      <c r="C52" t="s">
        <v>138</v>
      </c>
      <c r="D52" t="s">
        <v>139</v>
      </c>
      <c r="E52">
        <v>1274.7652</v>
      </c>
      <c r="F52">
        <v>859.36440000000005</v>
      </c>
      <c r="G52">
        <v>0.3</v>
      </c>
      <c r="H52">
        <v>0.31563835106850402</v>
      </c>
      <c r="I52">
        <v>0.67413544078548704</v>
      </c>
      <c r="J52" t="s">
        <v>17</v>
      </c>
      <c r="L52" t="s">
        <v>18</v>
      </c>
      <c r="M52" t="s">
        <v>29</v>
      </c>
    </row>
    <row r="53" spans="1:13" hidden="1" x14ac:dyDescent="0.3">
      <c r="A53" t="s">
        <v>140</v>
      </c>
      <c r="B53" t="s">
        <v>120</v>
      </c>
      <c r="C53" t="s">
        <v>141</v>
      </c>
      <c r="D53" t="s">
        <v>67</v>
      </c>
      <c r="E53">
        <v>6.4404000000000003</v>
      </c>
      <c r="F53">
        <v>0.31719999999999998</v>
      </c>
      <c r="G53">
        <v>1.5</v>
      </c>
      <c r="H53">
        <v>1.4935813034891401</v>
      </c>
      <c r="I53">
        <v>4.9251599279547899E-2</v>
      </c>
      <c r="J53" t="s">
        <v>37</v>
      </c>
      <c r="K53" t="s">
        <v>142</v>
      </c>
      <c r="L53" t="s">
        <v>18</v>
      </c>
      <c r="M53" t="s">
        <v>32</v>
      </c>
    </row>
    <row r="54" spans="1:13" hidden="1" x14ac:dyDescent="0.3">
      <c r="A54" t="s">
        <v>143</v>
      </c>
      <c r="B54" t="s">
        <v>120</v>
      </c>
      <c r="C54" t="s">
        <v>144</v>
      </c>
      <c r="D54" t="s">
        <v>67</v>
      </c>
      <c r="E54">
        <v>13.215999999999999</v>
      </c>
      <c r="F54">
        <v>9.5167999999999999</v>
      </c>
      <c r="G54">
        <v>0.4</v>
      </c>
      <c r="H54">
        <v>0.40534238056917099</v>
      </c>
      <c r="I54">
        <v>0.72009685230024201</v>
      </c>
      <c r="J54" t="s">
        <v>37</v>
      </c>
      <c r="K54" t="s">
        <v>145</v>
      </c>
      <c r="L54" t="s">
        <v>18</v>
      </c>
      <c r="M54" t="s">
        <v>19</v>
      </c>
    </row>
    <row r="55" spans="1:13" hidden="1" x14ac:dyDescent="0.3">
      <c r="A55" t="s">
        <v>146</v>
      </c>
      <c r="B55" t="s">
        <v>120</v>
      </c>
      <c r="C55" t="s">
        <v>147</v>
      </c>
      <c r="D55" t="s">
        <v>67</v>
      </c>
      <c r="E55">
        <v>220.1216</v>
      </c>
      <c r="F55">
        <v>215.21719999999999</v>
      </c>
      <c r="G55">
        <v>0</v>
      </c>
      <c r="H55">
        <v>2.24312784052643E-2</v>
      </c>
      <c r="I55">
        <v>0.97771958771878797</v>
      </c>
      <c r="J55" t="s">
        <v>17</v>
      </c>
      <c r="L55" t="s">
        <v>18</v>
      </c>
      <c r="M55" t="s">
        <v>29</v>
      </c>
    </row>
    <row r="56" spans="1:13" hidden="1" x14ac:dyDescent="0.3">
      <c r="A56" t="s">
        <v>148</v>
      </c>
      <c r="B56" t="s">
        <v>120</v>
      </c>
      <c r="C56" t="s">
        <v>149</v>
      </c>
      <c r="D56" t="s">
        <v>67</v>
      </c>
      <c r="E56">
        <v>28.078800000000001</v>
      </c>
      <c r="F56">
        <v>26.27</v>
      </c>
      <c r="G56">
        <v>0.1</v>
      </c>
      <c r="H56">
        <v>6.2440310979795098E-2</v>
      </c>
      <c r="I56">
        <v>0.93558129264783396</v>
      </c>
      <c r="J56" t="s">
        <v>17</v>
      </c>
      <c r="L56" t="s">
        <v>18</v>
      </c>
      <c r="M56" t="s">
        <v>29</v>
      </c>
    </row>
    <row r="57" spans="1:13" hidden="1" x14ac:dyDescent="0.3">
      <c r="A57" t="s">
        <v>150</v>
      </c>
      <c r="B57" t="s">
        <v>120</v>
      </c>
      <c r="C57" t="s">
        <v>151</v>
      </c>
      <c r="D57" t="s">
        <v>127</v>
      </c>
      <c r="E57">
        <v>1363.9048</v>
      </c>
      <c r="F57">
        <v>1200.1276</v>
      </c>
      <c r="G57">
        <v>0.1</v>
      </c>
      <c r="H57">
        <v>7.1700140843923593E-2</v>
      </c>
      <c r="I57">
        <v>0.87992035807777802</v>
      </c>
      <c r="J57" t="s">
        <v>17</v>
      </c>
      <c r="L57" t="s">
        <v>18</v>
      </c>
      <c r="M57" t="s">
        <v>19</v>
      </c>
    </row>
    <row r="58" spans="1:13" hidden="1" x14ac:dyDescent="0.3">
      <c r="A58" t="s">
        <v>152</v>
      </c>
      <c r="B58" t="s">
        <v>120</v>
      </c>
      <c r="C58" t="s">
        <v>153</v>
      </c>
      <c r="D58" t="s">
        <v>127</v>
      </c>
      <c r="E58">
        <v>1919.2855999999999</v>
      </c>
      <c r="F58">
        <v>1914.6164000000001</v>
      </c>
      <c r="G58">
        <v>0</v>
      </c>
      <c r="H58">
        <v>3.0426838253249599E-3</v>
      </c>
      <c r="I58">
        <v>0.99756721980303498</v>
      </c>
      <c r="J58" t="s">
        <v>17</v>
      </c>
      <c r="L58" t="s">
        <v>18</v>
      </c>
      <c r="M58" t="s">
        <v>24</v>
      </c>
    </row>
    <row r="59" spans="1:13" hidden="1" x14ac:dyDescent="0.3">
      <c r="A59" t="s">
        <v>154</v>
      </c>
      <c r="B59" t="s">
        <v>120</v>
      </c>
      <c r="C59" t="s">
        <v>155</v>
      </c>
      <c r="D59" t="s">
        <v>130</v>
      </c>
      <c r="E59">
        <v>5176.9952000000003</v>
      </c>
      <c r="F59">
        <v>4815.0392000000002</v>
      </c>
      <c r="G59">
        <v>0</v>
      </c>
      <c r="H59">
        <v>3.6984060934340299E-2</v>
      </c>
      <c r="I59">
        <v>0.930083767510544</v>
      </c>
      <c r="J59" t="s">
        <v>17</v>
      </c>
      <c r="L59" t="s">
        <v>18</v>
      </c>
      <c r="M59" t="s">
        <v>19</v>
      </c>
    </row>
    <row r="60" spans="1:13" hidden="1" x14ac:dyDescent="0.3">
      <c r="A60" t="s">
        <v>156</v>
      </c>
      <c r="B60" t="s">
        <v>120</v>
      </c>
      <c r="C60" t="s">
        <v>157</v>
      </c>
      <c r="D60" t="s">
        <v>127</v>
      </c>
      <c r="E60">
        <v>5302.9359999999997</v>
      </c>
      <c r="F60">
        <v>4534.9768000000004</v>
      </c>
      <c r="G60">
        <v>0.1</v>
      </c>
      <c r="H60">
        <v>9.6192739207511396E-2</v>
      </c>
      <c r="I60">
        <v>0.85518226129827002</v>
      </c>
      <c r="J60" t="s">
        <v>17</v>
      </c>
      <c r="L60" t="s">
        <v>18</v>
      </c>
      <c r="M60" t="s">
        <v>19</v>
      </c>
    </row>
    <row r="61" spans="1:13" hidden="1" x14ac:dyDescent="0.3">
      <c r="A61" t="s">
        <v>158</v>
      </c>
      <c r="B61" t="s">
        <v>120</v>
      </c>
      <c r="C61" t="s">
        <v>159</v>
      </c>
      <c r="D61" t="s">
        <v>127</v>
      </c>
      <c r="E61">
        <v>2130.1055999999999</v>
      </c>
      <c r="F61">
        <v>1983.6596</v>
      </c>
      <c r="G61">
        <v>0</v>
      </c>
      <c r="H61">
        <v>2.7559459577760299E-2</v>
      </c>
      <c r="I61">
        <v>0.93124941786923598</v>
      </c>
      <c r="J61" t="s">
        <v>17</v>
      </c>
      <c r="L61" t="s">
        <v>18</v>
      </c>
      <c r="M61" t="s">
        <v>24</v>
      </c>
    </row>
    <row r="62" spans="1:13" hidden="1" x14ac:dyDescent="0.3">
      <c r="A62" t="s">
        <v>160</v>
      </c>
      <c r="B62" t="s">
        <v>120</v>
      </c>
      <c r="C62" t="s">
        <v>161</v>
      </c>
      <c r="D62" t="s">
        <v>127</v>
      </c>
      <c r="E62">
        <v>407.17919999999998</v>
      </c>
      <c r="F62">
        <v>143.76679999999999</v>
      </c>
      <c r="G62">
        <v>0.7</v>
      </c>
      <c r="H62">
        <v>0.65560286167193205</v>
      </c>
      <c r="I62">
        <v>0.35307992156770301</v>
      </c>
      <c r="J62" t="s">
        <v>76</v>
      </c>
      <c r="K62" t="s">
        <v>38</v>
      </c>
      <c r="L62" t="s">
        <v>18</v>
      </c>
      <c r="M62" t="s">
        <v>32</v>
      </c>
    </row>
    <row r="63" spans="1:13" hidden="1" x14ac:dyDescent="0.3">
      <c r="A63" t="s">
        <v>162</v>
      </c>
      <c r="B63" t="s">
        <v>120</v>
      </c>
      <c r="C63" t="s">
        <v>163</v>
      </c>
      <c r="D63" t="s">
        <v>67</v>
      </c>
      <c r="E63">
        <v>12.9664</v>
      </c>
      <c r="F63">
        <v>11.972</v>
      </c>
      <c r="G63">
        <v>0</v>
      </c>
      <c r="H63">
        <v>2.6604995527876301E-2</v>
      </c>
      <c r="I63">
        <v>0.92330947680157904</v>
      </c>
      <c r="J63" t="s">
        <v>17</v>
      </c>
      <c r="L63" t="s">
        <v>18</v>
      </c>
      <c r="M63" t="s">
        <v>29</v>
      </c>
    </row>
    <row r="64" spans="1:13" hidden="1" x14ac:dyDescent="0.3">
      <c r="A64" t="s">
        <v>164</v>
      </c>
      <c r="B64" t="s">
        <v>165</v>
      </c>
      <c r="C64" t="s">
        <v>166</v>
      </c>
      <c r="D64" t="s">
        <v>167</v>
      </c>
      <c r="E64">
        <v>2355.4843999999998</v>
      </c>
      <c r="F64">
        <v>832.548</v>
      </c>
      <c r="G64">
        <v>0.6</v>
      </c>
      <c r="H64">
        <v>0.64550006804606397</v>
      </c>
      <c r="I64">
        <v>0.35345086556293898</v>
      </c>
      <c r="J64" t="s">
        <v>76</v>
      </c>
      <c r="K64" t="s">
        <v>38</v>
      </c>
      <c r="L64" t="s">
        <v>18</v>
      </c>
      <c r="M64" t="s">
        <v>24</v>
      </c>
    </row>
    <row r="65" spans="1:13" hidden="1" x14ac:dyDescent="0.3">
      <c r="A65" t="s">
        <v>168</v>
      </c>
      <c r="B65" t="s">
        <v>165</v>
      </c>
      <c r="C65" t="s">
        <v>169</v>
      </c>
      <c r="D65" t="s">
        <v>167</v>
      </c>
      <c r="E65">
        <v>1122.1012000000001</v>
      </c>
      <c r="F65">
        <v>401.05160000000001</v>
      </c>
      <c r="G65">
        <v>0.6</v>
      </c>
      <c r="H65">
        <v>0.62493566747044105</v>
      </c>
      <c r="I65">
        <v>0.35741125666740198</v>
      </c>
      <c r="J65" t="s">
        <v>76</v>
      </c>
      <c r="K65" t="s">
        <v>38</v>
      </c>
      <c r="L65" t="s">
        <v>18</v>
      </c>
      <c r="M65" t="s">
        <v>24</v>
      </c>
    </row>
    <row r="66" spans="1:13" hidden="1" x14ac:dyDescent="0.3">
      <c r="A66" t="s">
        <v>170</v>
      </c>
      <c r="B66" t="s">
        <v>165</v>
      </c>
      <c r="C66" t="s">
        <v>171</v>
      </c>
      <c r="D66" t="s">
        <v>167</v>
      </c>
      <c r="E66">
        <v>4141.8068000000003</v>
      </c>
      <c r="F66">
        <v>672.31399999999996</v>
      </c>
      <c r="G66">
        <v>1.3</v>
      </c>
      <c r="H66">
        <v>1.25774061909311</v>
      </c>
      <c r="I66">
        <v>0.16232384378720899</v>
      </c>
      <c r="J66" t="s">
        <v>76</v>
      </c>
      <c r="K66" t="s">
        <v>172</v>
      </c>
      <c r="L66" t="s">
        <v>18</v>
      </c>
      <c r="M66" t="s">
        <v>32</v>
      </c>
    </row>
    <row r="67" spans="1:13" hidden="1" x14ac:dyDescent="0.3">
      <c r="A67" t="s">
        <v>173</v>
      </c>
      <c r="B67" t="s">
        <v>165</v>
      </c>
      <c r="C67" t="s">
        <v>174</v>
      </c>
      <c r="D67" t="s">
        <v>167</v>
      </c>
      <c r="E67">
        <v>1299.9023999999999</v>
      </c>
      <c r="F67">
        <v>641.09040000000005</v>
      </c>
      <c r="G67">
        <v>0.3</v>
      </c>
      <c r="H67">
        <v>0.295742388543145</v>
      </c>
      <c r="I67">
        <v>0.49318348823727098</v>
      </c>
      <c r="J67" t="s">
        <v>98</v>
      </c>
      <c r="K67" t="s">
        <v>175</v>
      </c>
      <c r="L67" t="s">
        <v>18</v>
      </c>
      <c r="M67" t="s">
        <v>19</v>
      </c>
    </row>
    <row r="68" spans="1:13" hidden="1" x14ac:dyDescent="0.3">
      <c r="A68" t="s">
        <v>176</v>
      </c>
      <c r="B68" t="s">
        <v>165</v>
      </c>
      <c r="C68" t="s">
        <v>177</v>
      </c>
      <c r="D68" t="s">
        <v>167</v>
      </c>
      <c r="E68">
        <v>1650.386</v>
      </c>
      <c r="F68">
        <v>899.23320000000001</v>
      </c>
      <c r="G68">
        <v>0.4</v>
      </c>
      <c r="H68">
        <v>0.36168687842500502</v>
      </c>
      <c r="I68">
        <v>0.54486235341307998</v>
      </c>
      <c r="J68" t="s">
        <v>76</v>
      </c>
      <c r="K68" t="s">
        <v>38</v>
      </c>
      <c r="L68" t="s">
        <v>18</v>
      </c>
      <c r="M68" t="s">
        <v>19</v>
      </c>
    </row>
    <row r="69" spans="1:13" hidden="1" x14ac:dyDescent="0.3">
      <c r="A69" t="s">
        <v>178</v>
      </c>
      <c r="B69" t="s">
        <v>165</v>
      </c>
      <c r="C69" t="s">
        <v>179</v>
      </c>
      <c r="D69" t="s">
        <v>167</v>
      </c>
      <c r="E69">
        <v>1121.1792</v>
      </c>
      <c r="F69">
        <v>411.51119999999997</v>
      </c>
      <c r="G69">
        <v>0.5</v>
      </c>
      <c r="H69">
        <v>0.46407362191690099</v>
      </c>
      <c r="I69">
        <v>0.36703427962273999</v>
      </c>
      <c r="J69" t="s">
        <v>76</v>
      </c>
      <c r="K69" t="s">
        <v>124</v>
      </c>
      <c r="L69" t="s">
        <v>18</v>
      </c>
      <c r="M69" t="s">
        <v>32</v>
      </c>
    </row>
    <row r="70" spans="1:13" hidden="1" x14ac:dyDescent="0.3">
      <c r="A70" t="s">
        <v>180</v>
      </c>
      <c r="B70" t="s">
        <v>181</v>
      </c>
      <c r="C70" t="s">
        <v>182</v>
      </c>
      <c r="D70" t="s">
        <v>183</v>
      </c>
      <c r="E70">
        <v>335.9332</v>
      </c>
      <c r="F70">
        <v>332.89760000000001</v>
      </c>
      <c r="G70">
        <v>0</v>
      </c>
      <c r="H70">
        <v>2.5581328140548198E-2</v>
      </c>
      <c r="I70">
        <v>0.99096367968393695</v>
      </c>
      <c r="J70" t="s">
        <v>17</v>
      </c>
      <c r="L70" t="s">
        <v>18</v>
      </c>
      <c r="M70" t="s">
        <v>29</v>
      </c>
    </row>
    <row r="71" spans="1:13" hidden="1" x14ac:dyDescent="0.3">
      <c r="A71" t="s">
        <v>184</v>
      </c>
      <c r="B71" t="s">
        <v>181</v>
      </c>
      <c r="C71" t="s">
        <v>185</v>
      </c>
      <c r="D71" t="s">
        <v>183</v>
      </c>
      <c r="E71">
        <v>2094.6480000000001</v>
      </c>
      <c r="F71">
        <v>2084.2795999999998</v>
      </c>
      <c r="G71">
        <v>0</v>
      </c>
      <c r="H71">
        <v>1.1159916081734099E-2</v>
      </c>
      <c r="I71">
        <v>0.99505005136901303</v>
      </c>
      <c r="J71" t="s">
        <v>17</v>
      </c>
      <c r="L71" t="s">
        <v>18</v>
      </c>
      <c r="M71" t="s">
        <v>32</v>
      </c>
    </row>
    <row r="72" spans="1:13" hidden="1" x14ac:dyDescent="0.3">
      <c r="A72" t="s">
        <v>186</v>
      </c>
      <c r="B72" t="s">
        <v>181</v>
      </c>
      <c r="C72" t="s">
        <v>187</v>
      </c>
      <c r="D72" t="s">
        <v>183</v>
      </c>
      <c r="E72">
        <v>361.43</v>
      </c>
      <c r="F72">
        <v>361.39319999999998</v>
      </c>
      <c r="G72">
        <v>0</v>
      </c>
      <c r="H72">
        <v>2.9743162946055E-4</v>
      </c>
      <c r="I72">
        <v>0.99989818222062399</v>
      </c>
      <c r="J72" t="s">
        <v>17</v>
      </c>
      <c r="L72" t="s">
        <v>18</v>
      </c>
      <c r="M72" t="s">
        <v>29</v>
      </c>
    </row>
    <row r="73" spans="1:13" hidden="1" x14ac:dyDescent="0.3">
      <c r="A73" t="s">
        <v>188</v>
      </c>
      <c r="B73" t="s">
        <v>181</v>
      </c>
      <c r="C73" t="s">
        <v>189</v>
      </c>
      <c r="D73" t="s">
        <v>183</v>
      </c>
      <c r="E73">
        <v>160.0684</v>
      </c>
      <c r="F73">
        <v>156.46879999999999</v>
      </c>
      <c r="G73">
        <v>0.1</v>
      </c>
      <c r="H73">
        <v>6.3105221499171193E-2</v>
      </c>
      <c r="I73">
        <v>0.97751211357144796</v>
      </c>
      <c r="J73" t="s">
        <v>17</v>
      </c>
      <c r="L73" t="s">
        <v>18</v>
      </c>
      <c r="M73" t="s">
        <v>29</v>
      </c>
    </row>
    <row r="74" spans="1:13" hidden="1" x14ac:dyDescent="0.3">
      <c r="A74" t="s">
        <v>190</v>
      </c>
      <c r="B74" t="s">
        <v>181</v>
      </c>
      <c r="C74" t="s">
        <v>191</v>
      </c>
      <c r="D74" t="s">
        <v>183</v>
      </c>
      <c r="E74">
        <v>107.7996</v>
      </c>
      <c r="F74">
        <v>107.19280000000001</v>
      </c>
      <c r="G74">
        <v>0</v>
      </c>
      <c r="H74">
        <v>9.5098586309521095E-3</v>
      </c>
      <c r="I74">
        <v>0.99437103662722304</v>
      </c>
      <c r="J74" t="s">
        <v>17</v>
      </c>
      <c r="L74" t="s">
        <v>18</v>
      </c>
      <c r="M74" t="s">
        <v>29</v>
      </c>
    </row>
    <row r="75" spans="1:13" hidden="1" x14ac:dyDescent="0.3">
      <c r="A75" t="s">
        <v>192</v>
      </c>
      <c r="B75" t="s">
        <v>181</v>
      </c>
      <c r="C75" t="s">
        <v>193</v>
      </c>
      <c r="D75" t="s">
        <v>183</v>
      </c>
      <c r="E75">
        <v>592.28599999999994</v>
      </c>
      <c r="F75">
        <v>591.93439999999998</v>
      </c>
      <c r="G75">
        <v>0</v>
      </c>
      <c r="H75">
        <v>1.85510040757317E-3</v>
      </c>
      <c r="I75">
        <v>0.99940636786957704</v>
      </c>
      <c r="J75" t="s">
        <v>17</v>
      </c>
      <c r="L75" t="s">
        <v>18</v>
      </c>
      <c r="M75" t="s">
        <v>29</v>
      </c>
    </row>
    <row r="76" spans="1:13" hidden="1" x14ac:dyDescent="0.3">
      <c r="A76" t="s">
        <v>194</v>
      </c>
      <c r="B76" t="s">
        <v>181</v>
      </c>
      <c r="C76" t="s">
        <v>195</v>
      </c>
      <c r="D76" t="s">
        <v>183</v>
      </c>
      <c r="E76">
        <v>8.2235999999999994</v>
      </c>
      <c r="F76">
        <v>8.1067999999999998</v>
      </c>
      <c r="G76">
        <v>0</v>
      </c>
      <c r="H76">
        <v>4.4384454496813899E-2</v>
      </c>
      <c r="I76">
        <v>0.98579697456102</v>
      </c>
      <c r="J76" t="s">
        <v>17</v>
      </c>
      <c r="L76" t="s">
        <v>18</v>
      </c>
      <c r="M76" t="s">
        <v>29</v>
      </c>
    </row>
    <row r="77" spans="1:13" hidden="1" x14ac:dyDescent="0.3">
      <c r="A77" t="s">
        <v>196</v>
      </c>
      <c r="B77" t="s">
        <v>181</v>
      </c>
      <c r="C77" t="s">
        <v>197</v>
      </c>
      <c r="D77" t="s">
        <v>183</v>
      </c>
      <c r="E77">
        <v>247.00479999999999</v>
      </c>
      <c r="F77">
        <v>244.04519999999999</v>
      </c>
      <c r="G77">
        <v>0</v>
      </c>
      <c r="H77">
        <v>2.4892806969619999E-2</v>
      </c>
      <c r="I77">
        <v>0.98801804661285897</v>
      </c>
      <c r="J77" t="s">
        <v>17</v>
      </c>
      <c r="L77" t="s">
        <v>18</v>
      </c>
      <c r="M77" t="s">
        <v>32</v>
      </c>
    </row>
    <row r="78" spans="1:13" hidden="1" x14ac:dyDescent="0.3">
      <c r="A78" t="s">
        <v>198</v>
      </c>
      <c r="B78" t="s">
        <v>181</v>
      </c>
      <c r="C78" t="s">
        <v>199</v>
      </c>
      <c r="D78" t="s">
        <v>183</v>
      </c>
      <c r="E78">
        <v>343.19920000000002</v>
      </c>
      <c r="F78">
        <v>342.92439999999999</v>
      </c>
      <c r="G78">
        <v>0</v>
      </c>
      <c r="H78">
        <v>2.36025264610566E-3</v>
      </c>
      <c r="I78">
        <v>0.99919929883286396</v>
      </c>
      <c r="J78" t="s">
        <v>17</v>
      </c>
      <c r="L78" t="s">
        <v>18</v>
      </c>
      <c r="M78" t="s">
        <v>32</v>
      </c>
    </row>
    <row r="79" spans="1:13" hidden="1" x14ac:dyDescent="0.3">
      <c r="A79" t="s">
        <v>200</v>
      </c>
      <c r="B79" t="s">
        <v>181</v>
      </c>
      <c r="C79" t="s">
        <v>201</v>
      </c>
      <c r="D79" t="s">
        <v>183</v>
      </c>
      <c r="E79">
        <v>1217.99</v>
      </c>
      <c r="F79">
        <v>1198.2608</v>
      </c>
      <c r="G79">
        <v>0</v>
      </c>
      <c r="H79">
        <v>3.2934937705610803E-2</v>
      </c>
      <c r="I79">
        <v>0.98380183745350902</v>
      </c>
      <c r="J79" t="s">
        <v>17</v>
      </c>
      <c r="L79" t="s">
        <v>18</v>
      </c>
      <c r="M79" t="s">
        <v>19</v>
      </c>
    </row>
    <row r="80" spans="1:13" hidden="1" x14ac:dyDescent="0.3">
      <c r="A80" t="s">
        <v>202</v>
      </c>
      <c r="B80" t="s">
        <v>181</v>
      </c>
      <c r="C80" t="s">
        <v>203</v>
      </c>
      <c r="D80" t="s">
        <v>67</v>
      </c>
      <c r="E80">
        <v>17.0928</v>
      </c>
      <c r="F80">
        <v>1.3532</v>
      </c>
      <c r="G80">
        <v>1.2</v>
      </c>
      <c r="H80">
        <v>1.21430507861919</v>
      </c>
      <c r="I80">
        <v>7.91678367499766E-2</v>
      </c>
      <c r="J80" t="s">
        <v>37</v>
      </c>
      <c r="K80" t="s">
        <v>142</v>
      </c>
      <c r="L80" t="s">
        <v>18</v>
      </c>
      <c r="M80" t="s">
        <v>32</v>
      </c>
    </row>
    <row r="81" spans="1:13" hidden="1" x14ac:dyDescent="0.3">
      <c r="A81" t="s">
        <v>204</v>
      </c>
      <c r="B81" t="s">
        <v>181</v>
      </c>
      <c r="C81" t="s">
        <v>205</v>
      </c>
      <c r="D81" t="s">
        <v>183</v>
      </c>
      <c r="E81">
        <v>1.5427999999999999</v>
      </c>
      <c r="F81">
        <v>1.01</v>
      </c>
      <c r="G81">
        <v>0.6</v>
      </c>
      <c r="H81">
        <v>0.59676385773790397</v>
      </c>
      <c r="I81">
        <v>0.654653876069484</v>
      </c>
      <c r="J81" t="s">
        <v>37</v>
      </c>
      <c r="K81" t="s">
        <v>206</v>
      </c>
      <c r="L81" t="s">
        <v>18</v>
      </c>
      <c r="M81" t="s">
        <v>29</v>
      </c>
    </row>
    <row r="82" spans="1:13" hidden="1" x14ac:dyDescent="0.3">
      <c r="A82" t="s">
        <v>207</v>
      </c>
      <c r="B82" t="s">
        <v>181</v>
      </c>
      <c r="C82" t="s">
        <v>208</v>
      </c>
      <c r="D82" t="s">
        <v>183</v>
      </c>
      <c r="E82">
        <v>139.92240000000001</v>
      </c>
      <c r="F82">
        <v>122.5984</v>
      </c>
      <c r="G82">
        <v>0.1</v>
      </c>
      <c r="H82">
        <v>0.11990156090673799</v>
      </c>
      <c r="I82">
        <v>0.87618851592025304</v>
      </c>
      <c r="J82" t="s">
        <v>17</v>
      </c>
      <c r="L82" t="s">
        <v>18</v>
      </c>
      <c r="M82" t="s">
        <v>19</v>
      </c>
    </row>
    <row r="83" spans="1:13" hidden="1" x14ac:dyDescent="0.3">
      <c r="A83" t="s">
        <v>209</v>
      </c>
      <c r="B83" t="s">
        <v>181</v>
      </c>
      <c r="C83" t="s">
        <v>210</v>
      </c>
      <c r="D83" t="s">
        <v>183</v>
      </c>
      <c r="E83">
        <v>217.01480000000001</v>
      </c>
      <c r="F83">
        <v>194.7612</v>
      </c>
      <c r="G83">
        <v>0.1</v>
      </c>
      <c r="H83">
        <v>9.8568206364455402E-2</v>
      </c>
      <c r="I83">
        <v>0.89745584172139403</v>
      </c>
      <c r="J83" t="s">
        <v>37</v>
      </c>
      <c r="K83" t="s">
        <v>77</v>
      </c>
      <c r="L83" t="s">
        <v>18</v>
      </c>
      <c r="M83" t="s">
        <v>32</v>
      </c>
    </row>
    <row r="84" spans="1:13" hidden="1" x14ac:dyDescent="0.3">
      <c r="A84" t="s">
        <v>211</v>
      </c>
      <c r="B84" t="s">
        <v>181</v>
      </c>
      <c r="C84" t="s">
        <v>212</v>
      </c>
      <c r="D84" t="s">
        <v>183</v>
      </c>
      <c r="E84">
        <v>418.2756</v>
      </c>
      <c r="F84">
        <v>384.40440000000001</v>
      </c>
      <c r="G84">
        <v>0.1</v>
      </c>
      <c r="H84">
        <v>6.2885739135577406E-2</v>
      </c>
      <c r="I84">
        <v>0.919021812412677</v>
      </c>
      <c r="J84" t="s">
        <v>17</v>
      </c>
      <c r="L84" t="s">
        <v>18</v>
      </c>
      <c r="M84" t="s">
        <v>19</v>
      </c>
    </row>
    <row r="85" spans="1:13" hidden="1" x14ac:dyDescent="0.3">
      <c r="A85" t="s">
        <v>213</v>
      </c>
      <c r="B85" t="s">
        <v>214</v>
      </c>
      <c r="C85" t="s">
        <v>215</v>
      </c>
      <c r="D85" t="s">
        <v>84</v>
      </c>
      <c r="E85">
        <v>180.0652</v>
      </c>
      <c r="F85">
        <v>52.962800000000001</v>
      </c>
      <c r="G85">
        <v>0.8</v>
      </c>
      <c r="H85">
        <v>0.83019402910575202</v>
      </c>
      <c r="I85">
        <v>0.29413123690752002</v>
      </c>
      <c r="J85" t="s">
        <v>37</v>
      </c>
      <c r="K85" t="s">
        <v>38</v>
      </c>
      <c r="L85" t="s">
        <v>18</v>
      </c>
      <c r="M85" t="s">
        <v>19</v>
      </c>
    </row>
    <row r="86" spans="1:13" hidden="1" x14ac:dyDescent="0.3">
      <c r="A86" t="s">
        <v>216</v>
      </c>
      <c r="B86" t="s">
        <v>214</v>
      </c>
      <c r="C86" t="s">
        <v>217</v>
      </c>
      <c r="D86" t="s">
        <v>84</v>
      </c>
      <c r="E86">
        <v>501.64960000000002</v>
      </c>
      <c r="F86">
        <v>168.94800000000001</v>
      </c>
      <c r="G86">
        <v>0.9</v>
      </c>
      <c r="H86">
        <v>0.87895128450780002</v>
      </c>
      <c r="I86">
        <v>0.336784879326127</v>
      </c>
      <c r="J86" t="s">
        <v>76</v>
      </c>
      <c r="K86" t="s">
        <v>218</v>
      </c>
      <c r="L86" t="s">
        <v>18</v>
      </c>
      <c r="M86" t="s">
        <v>19</v>
      </c>
    </row>
    <row r="87" spans="1:13" hidden="1" x14ac:dyDescent="0.3">
      <c r="A87" t="s">
        <v>219</v>
      </c>
      <c r="B87" t="s">
        <v>214</v>
      </c>
      <c r="C87" t="s">
        <v>220</v>
      </c>
      <c r="D87" t="s">
        <v>84</v>
      </c>
      <c r="E87">
        <v>477.154</v>
      </c>
      <c r="F87">
        <v>136.99959999999999</v>
      </c>
      <c r="G87">
        <v>0.9</v>
      </c>
      <c r="H87">
        <v>0.867968056413707</v>
      </c>
      <c r="I87">
        <v>0.28711820502395502</v>
      </c>
      <c r="J87" t="s">
        <v>76</v>
      </c>
      <c r="K87" t="s">
        <v>221</v>
      </c>
      <c r="L87" t="s">
        <v>18</v>
      </c>
      <c r="M87" t="s">
        <v>19</v>
      </c>
    </row>
    <row r="88" spans="1:13" hidden="1" x14ac:dyDescent="0.3">
      <c r="A88" t="s">
        <v>222</v>
      </c>
      <c r="B88" t="s">
        <v>214</v>
      </c>
      <c r="C88" t="s">
        <v>223</v>
      </c>
      <c r="D88" t="s">
        <v>84</v>
      </c>
      <c r="E88">
        <v>35.839199999999998</v>
      </c>
      <c r="F88">
        <v>5.1219999999999999</v>
      </c>
      <c r="G88">
        <v>1.9</v>
      </c>
      <c r="H88">
        <v>1.9039690894666199</v>
      </c>
      <c r="I88">
        <v>0.14291613652090401</v>
      </c>
      <c r="J88" t="s">
        <v>37</v>
      </c>
      <c r="K88" t="s">
        <v>224</v>
      </c>
      <c r="L88" t="s">
        <v>18</v>
      </c>
      <c r="M88" t="s">
        <v>19</v>
      </c>
    </row>
    <row r="89" spans="1:13" hidden="1" x14ac:dyDescent="0.3">
      <c r="A89" t="s">
        <v>225</v>
      </c>
      <c r="B89" t="s">
        <v>214</v>
      </c>
      <c r="C89" t="s">
        <v>226</v>
      </c>
      <c r="D89" t="s">
        <v>84</v>
      </c>
      <c r="E89">
        <v>279.06880000000001</v>
      </c>
      <c r="F89">
        <v>258.22519999999997</v>
      </c>
      <c r="G89">
        <v>0.1</v>
      </c>
      <c r="H89">
        <v>6.4276042298823305E-2</v>
      </c>
      <c r="I89">
        <v>0.92531017440860497</v>
      </c>
      <c r="J89" t="s">
        <v>17</v>
      </c>
      <c r="L89" t="s">
        <v>18</v>
      </c>
      <c r="M89" t="s">
        <v>29</v>
      </c>
    </row>
    <row r="90" spans="1:13" hidden="1" x14ac:dyDescent="0.3">
      <c r="A90" t="s">
        <v>227</v>
      </c>
      <c r="B90" t="s">
        <v>214</v>
      </c>
      <c r="C90" t="s">
        <v>228</v>
      </c>
      <c r="D90" t="s">
        <v>84</v>
      </c>
      <c r="E90">
        <v>134.5308</v>
      </c>
      <c r="F90">
        <v>128.20679999999999</v>
      </c>
      <c r="G90">
        <v>0</v>
      </c>
      <c r="H90">
        <v>2.62102138428605E-2</v>
      </c>
      <c r="I90">
        <v>0.952992177256063</v>
      </c>
      <c r="J90" t="s">
        <v>76</v>
      </c>
      <c r="K90" t="s">
        <v>77</v>
      </c>
      <c r="L90" t="s">
        <v>18</v>
      </c>
      <c r="M90" t="s">
        <v>29</v>
      </c>
    </row>
    <row r="91" spans="1:13" hidden="1" x14ac:dyDescent="0.3">
      <c r="A91" t="s">
        <v>229</v>
      </c>
      <c r="B91" t="s">
        <v>214</v>
      </c>
      <c r="C91" t="s">
        <v>230</v>
      </c>
      <c r="D91" t="s">
        <v>84</v>
      </c>
      <c r="E91">
        <v>97.877600000000001</v>
      </c>
      <c r="F91">
        <v>97.706800000000001</v>
      </c>
      <c r="G91">
        <v>0</v>
      </c>
      <c r="H91">
        <v>3.37380536619065E-3</v>
      </c>
      <c r="I91">
        <v>0.99825496334196995</v>
      </c>
      <c r="J91" t="s">
        <v>17</v>
      </c>
      <c r="L91" t="s">
        <v>18</v>
      </c>
      <c r="M91" t="s">
        <v>29</v>
      </c>
    </row>
    <row r="92" spans="1:13" hidden="1" x14ac:dyDescent="0.3">
      <c r="A92" t="s">
        <v>231</v>
      </c>
      <c r="B92" t="s">
        <v>214</v>
      </c>
      <c r="C92" t="s">
        <v>232</v>
      </c>
      <c r="D92" t="s">
        <v>84</v>
      </c>
      <c r="E92">
        <v>61.962400000000002</v>
      </c>
      <c r="F92">
        <v>54.056800000000003</v>
      </c>
      <c r="G92">
        <v>0.1</v>
      </c>
      <c r="H92">
        <v>7.8472728190848301E-2</v>
      </c>
      <c r="I92">
        <v>0.87241294720669305</v>
      </c>
      <c r="J92" t="s">
        <v>17</v>
      </c>
      <c r="L92" t="s">
        <v>18</v>
      </c>
      <c r="M92" t="s">
        <v>29</v>
      </c>
    </row>
    <row r="93" spans="1:13" hidden="1" x14ac:dyDescent="0.3">
      <c r="A93" t="s">
        <v>233</v>
      </c>
      <c r="B93" t="s">
        <v>214</v>
      </c>
      <c r="C93" t="s">
        <v>234</v>
      </c>
      <c r="D93" t="s">
        <v>84</v>
      </c>
      <c r="E93">
        <v>108.3896</v>
      </c>
      <c r="F93">
        <v>95.825599999999994</v>
      </c>
      <c r="G93">
        <v>0.1</v>
      </c>
      <c r="H93">
        <v>5.0273429959627303E-2</v>
      </c>
      <c r="I93">
        <v>0.884084819945825</v>
      </c>
      <c r="J93" t="s">
        <v>17</v>
      </c>
      <c r="L93" t="s">
        <v>18</v>
      </c>
      <c r="M93" t="s">
        <v>29</v>
      </c>
    </row>
    <row r="94" spans="1:13" hidden="1" x14ac:dyDescent="0.3">
      <c r="A94" t="s">
        <v>235</v>
      </c>
      <c r="B94" t="s">
        <v>214</v>
      </c>
      <c r="C94" t="s">
        <v>236</v>
      </c>
      <c r="D94" t="s">
        <v>84</v>
      </c>
      <c r="E94">
        <v>78.044399999999996</v>
      </c>
      <c r="F94">
        <v>29.268000000000001</v>
      </c>
      <c r="G94">
        <v>0.5</v>
      </c>
      <c r="H94">
        <v>0.47667651146629603</v>
      </c>
      <c r="I94">
        <v>0.37501729784584198</v>
      </c>
      <c r="J94" t="s">
        <v>76</v>
      </c>
      <c r="K94" t="s">
        <v>206</v>
      </c>
      <c r="L94" t="s">
        <v>18</v>
      </c>
      <c r="M94" t="s">
        <v>19</v>
      </c>
    </row>
    <row r="95" spans="1:13" hidden="1" x14ac:dyDescent="0.3">
      <c r="A95" t="s">
        <v>237</v>
      </c>
      <c r="B95" t="s">
        <v>214</v>
      </c>
      <c r="C95" t="s">
        <v>238</v>
      </c>
      <c r="D95" t="s">
        <v>84</v>
      </c>
      <c r="E95">
        <v>869.16480000000001</v>
      </c>
      <c r="F95">
        <v>388.6148</v>
      </c>
      <c r="G95">
        <v>0.6</v>
      </c>
      <c r="H95">
        <v>0.55428052019749097</v>
      </c>
      <c r="I95">
        <v>0.447112906551209</v>
      </c>
      <c r="J95" t="s">
        <v>76</v>
      </c>
      <c r="K95" t="s">
        <v>239</v>
      </c>
      <c r="L95" t="s">
        <v>18</v>
      </c>
      <c r="M95" t="s">
        <v>19</v>
      </c>
    </row>
    <row r="96" spans="1:13" hidden="1" x14ac:dyDescent="0.3">
      <c r="A96" t="s">
        <v>240</v>
      </c>
      <c r="B96" t="s">
        <v>214</v>
      </c>
      <c r="C96" t="s">
        <v>241</v>
      </c>
      <c r="D96" t="s">
        <v>84</v>
      </c>
      <c r="E96">
        <v>1300.9767999999999</v>
      </c>
      <c r="F96">
        <v>1106.6751999999999</v>
      </c>
      <c r="G96">
        <v>0.1</v>
      </c>
      <c r="H96">
        <v>5.6699537300901097E-2</v>
      </c>
      <c r="I96">
        <v>0.85064945047444396</v>
      </c>
      <c r="J96" t="s">
        <v>17</v>
      </c>
      <c r="L96" t="s">
        <v>18</v>
      </c>
      <c r="M96" t="s">
        <v>19</v>
      </c>
    </row>
    <row r="97" spans="1:13" hidden="1" x14ac:dyDescent="0.3">
      <c r="A97" t="s">
        <v>242</v>
      </c>
      <c r="B97" t="s">
        <v>214</v>
      </c>
      <c r="C97" t="s">
        <v>243</v>
      </c>
      <c r="D97" t="s">
        <v>84</v>
      </c>
      <c r="E97">
        <v>151.6788</v>
      </c>
      <c r="F97">
        <v>29.776</v>
      </c>
      <c r="G97">
        <v>0.7</v>
      </c>
      <c r="H97">
        <v>0.668766102124425</v>
      </c>
      <c r="I97">
        <v>0.19630956995967799</v>
      </c>
      <c r="J97" t="s">
        <v>37</v>
      </c>
      <c r="K97" t="s">
        <v>38</v>
      </c>
      <c r="L97" t="s">
        <v>18</v>
      </c>
      <c r="M97" t="s">
        <v>19</v>
      </c>
    </row>
    <row r="98" spans="1:13" hidden="1" x14ac:dyDescent="0.3">
      <c r="A98" t="s">
        <v>244</v>
      </c>
      <c r="B98" t="s">
        <v>214</v>
      </c>
      <c r="C98" t="s">
        <v>245</v>
      </c>
      <c r="D98" t="s">
        <v>84</v>
      </c>
      <c r="E98">
        <v>76.61</v>
      </c>
      <c r="F98">
        <v>60.018799999999999</v>
      </c>
      <c r="G98">
        <v>0.2</v>
      </c>
      <c r="H98">
        <v>0.241095755607629</v>
      </c>
      <c r="I98">
        <v>0.78343297219684105</v>
      </c>
      <c r="J98" t="s">
        <v>37</v>
      </c>
      <c r="K98" t="s">
        <v>95</v>
      </c>
      <c r="L98" t="s">
        <v>18</v>
      </c>
      <c r="M98" t="s">
        <v>19</v>
      </c>
    </row>
    <row r="99" spans="1:13" hidden="1" x14ac:dyDescent="0.3">
      <c r="A99" t="s">
        <v>246</v>
      </c>
      <c r="B99" t="s">
        <v>214</v>
      </c>
      <c r="C99" t="s">
        <v>247</v>
      </c>
      <c r="D99" t="s">
        <v>84</v>
      </c>
      <c r="E99">
        <v>2055.6608000000001</v>
      </c>
      <c r="F99">
        <v>756.9556</v>
      </c>
      <c r="G99">
        <v>0.8</v>
      </c>
      <c r="H99">
        <v>0.82335673099564299</v>
      </c>
      <c r="I99">
        <v>0.36822981690364498</v>
      </c>
      <c r="J99" t="s">
        <v>76</v>
      </c>
      <c r="K99" t="s">
        <v>38</v>
      </c>
      <c r="L99" t="s">
        <v>18</v>
      </c>
      <c r="M99" t="s">
        <v>32</v>
      </c>
    </row>
    <row r="100" spans="1:13" hidden="1" x14ac:dyDescent="0.3">
      <c r="A100" t="s">
        <v>248</v>
      </c>
      <c r="B100" t="s">
        <v>214</v>
      </c>
      <c r="C100" t="s">
        <v>249</v>
      </c>
      <c r="D100" t="s">
        <v>84</v>
      </c>
      <c r="E100">
        <v>1009.5924</v>
      </c>
      <c r="F100">
        <v>638.29679999999996</v>
      </c>
      <c r="G100">
        <v>0.3</v>
      </c>
      <c r="H100">
        <v>0.29920706338619601</v>
      </c>
      <c r="I100">
        <v>0.63223217607422599</v>
      </c>
      <c r="J100" t="s">
        <v>76</v>
      </c>
      <c r="K100" t="s">
        <v>77</v>
      </c>
      <c r="L100" t="s">
        <v>18</v>
      </c>
      <c r="M100" t="s">
        <v>19</v>
      </c>
    </row>
    <row r="101" spans="1:13" hidden="1" x14ac:dyDescent="0.3">
      <c r="A101" t="s">
        <v>250</v>
      </c>
      <c r="B101" t="s">
        <v>214</v>
      </c>
      <c r="C101" t="s">
        <v>251</v>
      </c>
      <c r="D101" t="s">
        <v>84</v>
      </c>
      <c r="E101">
        <v>689.04359999999997</v>
      </c>
      <c r="F101">
        <v>330.84399999999999</v>
      </c>
      <c r="G101">
        <v>0.4</v>
      </c>
      <c r="H101">
        <v>0.352681209784937</v>
      </c>
      <c r="I101">
        <v>0.48014958705080502</v>
      </c>
      <c r="J101" t="s">
        <v>76</v>
      </c>
      <c r="K101" t="s">
        <v>252</v>
      </c>
      <c r="L101" t="s">
        <v>18</v>
      </c>
      <c r="M101" t="s">
        <v>19</v>
      </c>
    </row>
    <row r="102" spans="1:13" hidden="1" x14ac:dyDescent="0.3">
      <c r="A102" t="s">
        <v>253</v>
      </c>
      <c r="B102" t="s">
        <v>214</v>
      </c>
      <c r="C102" t="s">
        <v>254</v>
      </c>
      <c r="D102" t="s">
        <v>84</v>
      </c>
      <c r="E102">
        <v>556.93359999999996</v>
      </c>
      <c r="F102">
        <v>88.866</v>
      </c>
      <c r="G102">
        <v>1.5</v>
      </c>
      <c r="H102">
        <v>1.5127384374941899</v>
      </c>
      <c r="I102">
        <v>0.15956300715201999</v>
      </c>
      <c r="J102" t="s">
        <v>37</v>
      </c>
      <c r="K102" t="s">
        <v>255</v>
      </c>
      <c r="L102" t="s">
        <v>18</v>
      </c>
      <c r="M102" t="s">
        <v>32</v>
      </c>
    </row>
    <row r="103" spans="1:13" hidden="1" x14ac:dyDescent="0.3">
      <c r="A103" t="s">
        <v>256</v>
      </c>
      <c r="B103" t="s">
        <v>214</v>
      </c>
      <c r="C103" t="s">
        <v>257</v>
      </c>
      <c r="D103" t="s">
        <v>84</v>
      </c>
      <c r="E103">
        <v>88.580799999999996</v>
      </c>
      <c r="F103">
        <v>51.416800000000002</v>
      </c>
      <c r="G103">
        <v>0.5</v>
      </c>
      <c r="H103">
        <v>0.45663000949919902</v>
      </c>
      <c r="I103">
        <v>0.58045084262052304</v>
      </c>
      <c r="J103" t="s">
        <v>37</v>
      </c>
      <c r="K103" t="s">
        <v>239</v>
      </c>
      <c r="L103" t="s">
        <v>18</v>
      </c>
      <c r="M103" t="s">
        <v>24</v>
      </c>
    </row>
    <row r="104" spans="1:13" hidden="1" x14ac:dyDescent="0.3">
      <c r="A104" t="s">
        <v>258</v>
      </c>
      <c r="B104" t="s">
        <v>214</v>
      </c>
      <c r="C104" t="s">
        <v>259</v>
      </c>
      <c r="D104" t="s">
        <v>84</v>
      </c>
      <c r="E104">
        <v>247.44479999999999</v>
      </c>
      <c r="F104">
        <v>119.5484</v>
      </c>
      <c r="G104">
        <v>0.3</v>
      </c>
      <c r="H104">
        <v>0.31655192477703098</v>
      </c>
      <c r="I104">
        <v>0.48313159136906503</v>
      </c>
      <c r="J104" t="s">
        <v>37</v>
      </c>
      <c r="K104" t="s">
        <v>77</v>
      </c>
      <c r="L104" t="s">
        <v>18</v>
      </c>
      <c r="M104" t="s">
        <v>19</v>
      </c>
    </row>
    <row r="105" spans="1:13" hidden="1" x14ac:dyDescent="0.3">
      <c r="A105" t="s">
        <v>260</v>
      </c>
      <c r="B105" t="s">
        <v>214</v>
      </c>
      <c r="C105" t="s">
        <v>261</v>
      </c>
      <c r="D105" t="s">
        <v>84</v>
      </c>
      <c r="E105">
        <v>97.686000000000007</v>
      </c>
      <c r="F105">
        <v>43.419199999999996</v>
      </c>
      <c r="G105">
        <v>0.2</v>
      </c>
      <c r="H105">
        <v>0.23668396583874801</v>
      </c>
      <c r="I105">
        <v>0.44447720246504102</v>
      </c>
      <c r="J105" t="s">
        <v>37</v>
      </c>
      <c r="K105" t="s">
        <v>77</v>
      </c>
      <c r="L105" t="s">
        <v>18</v>
      </c>
      <c r="M105" t="s">
        <v>19</v>
      </c>
    </row>
    <row r="106" spans="1:13" hidden="1" x14ac:dyDescent="0.3">
      <c r="A106" t="s">
        <v>262</v>
      </c>
      <c r="B106" t="s">
        <v>214</v>
      </c>
      <c r="C106" t="s">
        <v>263</v>
      </c>
      <c r="D106" t="s">
        <v>84</v>
      </c>
      <c r="E106">
        <v>517.29</v>
      </c>
      <c r="F106">
        <v>264.14319999999998</v>
      </c>
      <c r="G106">
        <v>0.3</v>
      </c>
      <c r="H106">
        <v>0.33262800736109999</v>
      </c>
      <c r="I106">
        <v>0.51062885422103699</v>
      </c>
      <c r="J106" t="s">
        <v>76</v>
      </c>
      <c r="K106" t="s">
        <v>77</v>
      </c>
      <c r="L106" t="s">
        <v>18</v>
      </c>
      <c r="M106" t="s">
        <v>19</v>
      </c>
    </row>
    <row r="107" spans="1:13" hidden="1" x14ac:dyDescent="0.3">
      <c r="A107" t="s">
        <v>264</v>
      </c>
      <c r="B107" t="s">
        <v>214</v>
      </c>
      <c r="C107" t="s">
        <v>265</v>
      </c>
      <c r="D107" t="s">
        <v>84</v>
      </c>
      <c r="E107">
        <v>694.00160000000005</v>
      </c>
      <c r="F107">
        <v>233.50720000000001</v>
      </c>
      <c r="G107">
        <v>0.5</v>
      </c>
      <c r="H107">
        <v>0.52611774979841697</v>
      </c>
      <c r="I107">
        <v>0.33646493034021802</v>
      </c>
      <c r="J107" t="s">
        <v>76</v>
      </c>
      <c r="K107" t="s">
        <v>239</v>
      </c>
      <c r="L107" t="s">
        <v>18</v>
      </c>
      <c r="M107" t="s">
        <v>19</v>
      </c>
    </row>
    <row r="108" spans="1:13" hidden="1" x14ac:dyDescent="0.3">
      <c r="A108" t="s">
        <v>266</v>
      </c>
      <c r="B108" t="s">
        <v>214</v>
      </c>
      <c r="C108" t="s">
        <v>267</v>
      </c>
      <c r="D108" t="s">
        <v>84</v>
      </c>
      <c r="E108">
        <v>40.588000000000001</v>
      </c>
      <c r="F108">
        <v>19.376000000000001</v>
      </c>
      <c r="G108">
        <v>0.3</v>
      </c>
      <c r="H108">
        <v>0.25794064169097303</v>
      </c>
      <c r="I108">
        <v>0.47738247757958002</v>
      </c>
      <c r="J108" t="s">
        <v>37</v>
      </c>
      <c r="K108" t="s">
        <v>77</v>
      </c>
      <c r="L108" t="s">
        <v>18</v>
      </c>
      <c r="M108" t="s">
        <v>19</v>
      </c>
    </row>
    <row r="109" spans="1:13" hidden="1" x14ac:dyDescent="0.3">
      <c r="A109" t="s">
        <v>268</v>
      </c>
      <c r="B109" t="s">
        <v>214</v>
      </c>
      <c r="C109" t="s">
        <v>269</v>
      </c>
      <c r="D109" t="s">
        <v>84</v>
      </c>
      <c r="E109">
        <v>64.817599999999999</v>
      </c>
      <c r="F109">
        <v>64.022400000000005</v>
      </c>
      <c r="G109">
        <v>0</v>
      </c>
      <c r="H109">
        <v>6.8380743982494304E-3</v>
      </c>
      <c r="I109">
        <v>0.98773172718520896</v>
      </c>
      <c r="J109" t="s">
        <v>17</v>
      </c>
      <c r="L109" t="s">
        <v>18</v>
      </c>
      <c r="M109" t="s">
        <v>32</v>
      </c>
    </row>
    <row r="110" spans="1:13" hidden="1" x14ac:dyDescent="0.3">
      <c r="A110" t="s">
        <v>270</v>
      </c>
      <c r="B110" t="s">
        <v>214</v>
      </c>
      <c r="C110" t="s">
        <v>271</v>
      </c>
      <c r="D110" t="s">
        <v>84</v>
      </c>
      <c r="E110">
        <v>523.98919999999998</v>
      </c>
      <c r="F110">
        <v>279.56720000000001</v>
      </c>
      <c r="G110">
        <v>0.4</v>
      </c>
      <c r="H110">
        <v>0.422116895813481</v>
      </c>
      <c r="I110">
        <v>0.53353618738706798</v>
      </c>
      <c r="J110" t="s">
        <v>76</v>
      </c>
      <c r="K110" t="s">
        <v>239</v>
      </c>
      <c r="L110" t="s">
        <v>18</v>
      </c>
      <c r="M110" t="s">
        <v>24</v>
      </c>
    </row>
    <row r="111" spans="1:13" hidden="1" x14ac:dyDescent="0.3">
      <c r="A111" t="s">
        <v>272</v>
      </c>
      <c r="B111" t="s">
        <v>214</v>
      </c>
      <c r="C111" t="s">
        <v>273</v>
      </c>
      <c r="D111" t="s">
        <v>84</v>
      </c>
      <c r="E111">
        <v>91.795599999999993</v>
      </c>
      <c r="F111">
        <v>31.213200000000001</v>
      </c>
      <c r="G111">
        <v>0.5</v>
      </c>
      <c r="H111">
        <v>0.53302375637755095</v>
      </c>
      <c r="I111">
        <v>0.34002936959941399</v>
      </c>
      <c r="J111" t="s">
        <v>37</v>
      </c>
      <c r="K111" t="s">
        <v>239</v>
      </c>
      <c r="L111" t="s">
        <v>18</v>
      </c>
      <c r="M111" t="s">
        <v>24</v>
      </c>
    </row>
    <row r="112" spans="1:13" hidden="1" x14ac:dyDescent="0.3">
      <c r="A112" t="s">
        <v>274</v>
      </c>
      <c r="B112" t="s">
        <v>214</v>
      </c>
      <c r="C112" t="s">
        <v>275</v>
      </c>
      <c r="D112" t="s">
        <v>84</v>
      </c>
      <c r="E112">
        <v>16.934000000000001</v>
      </c>
      <c r="F112">
        <v>14.134399999999999</v>
      </c>
      <c r="G112">
        <v>0.1</v>
      </c>
      <c r="H112">
        <v>0.12652062345561699</v>
      </c>
      <c r="I112">
        <v>0.83467580016534804</v>
      </c>
      <c r="J112" t="s">
        <v>17</v>
      </c>
      <c r="L112" t="s">
        <v>18</v>
      </c>
      <c r="M112" t="s">
        <v>29</v>
      </c>
    </row>
    <row r="113" spans="1:13" hidden="1" x14ac:dyDescent="0.3">
      <c r="A113" t="s">
        <v>276</v>
      </c>
      <c r="B113" t="s">
        <v>214</v>
      </c>
      <c r="C113" t="s">
        <v>277</v>
      </c>
      <c r="D113" t="s">
        <v>84</v>
      </c>
      <c r="E113">
        <v>498.22239999999999</v>
      </c>
      <c r="F113">
        <v>177.678</v>
      </c>
      <c r="G113">
        <v>0.8</v>
      </c>
      <c r="H113">
        <v>0.76469125411278605</v>
      </c>
      <c r="I113">
        <v>0.35662386917970801</v>
      </c>
      <c r="J113" t="s">
        <v>37</v>
      </c>
      <c r="K113" t="s">
        <v>124</v>
      </c>
      <c r="L113" t="s">
        <v>18</v>
      </c>
      <c r="M113" t="s">
        <v>32</v>
      </c>
    </row>
    <row r="114" spans="1:13" hidden="1" x14ac:dyDescent="0.3">
      <c r="A114" t="s">
        <v>278</v>
      </c>
      <c r="B114" t="s">
        <v>214</v>
      </c>
      <c r="C114" t="s">
        <v>279</v>
      </c>
      <c r="D114" t="s">
        <v>84</v>
      </c>
      <c r="E114">
        <v>427.97719999999998</v>
      </c>
      <c r="F114">
        <v>198.7996</v>
      </c>
      <c r="G114">
        <v>0.4</v>
      </c>
      <c r="H114">
        <v>0.41799130618170899</v>
      </c>
      <c r="I114">
        <v>0.46450979164310602</v>
      </c>
      <c r="J114" t="s">
        <v>37</v>
      </c>
      <c r="K114" t="s">
        <v>38</v>
      </c>
      <c r="L114" t="s">
        <v>18</v>
      </c>
      <c r="M114" t="s">
        <v>24</v>
      </c>
    </row>
    <row r="115" spans="1:13" hidden="1" x14ac:dyDescent="0.3">
      <c r="A115" t="s">
        <v>280</v>
      </c>
      <c r="B115" t="s">
        <v>214</v>
      </c>
      <c r="C115" t="s">
        <v>281</v>
      </c>
      <c r="D115" t="s">
        <v>84</v>
      </c>
      <c r="E115">
        <v>283.26760000000002</v>
      </c>
      <c r="F115">
        <v>277.94839999999999</v>
      </c>
      <c r="G115">
        <v>0</v>
      </c>
      <c r="H115">
        <v>1.1626910845833499E-2</v>
      </c>
      <c r="I115">
        <v>0.98122199644435104</v>
      </c>
      <c r="J115" t="s">
        <v>17</v>
      </c>
      <c r="L115" t="s">
        <v>18</v>
      </c>
      <c r="M115" t="s">
        <v>29</v>
      </c>
    </row>
    <row r="116" spans="1:13" hidden="1" x14ac:dyDescent="0.3">
      <c r="A116" t="s">
        <v>282</v>
      </c>
      <c r="B116" t="s">
        <v>214</v>
      </c>
      <c r="C116" t="s">
        <v>283</v>
      </c>
      <c r="D116" t="s">
        <v>84</v>
      </c>
      <c r="E116">
        <v>12.629200000000001</v>
      </c>
      <c r="F116">
        <v>5.3667999999999996</v>
      </c>
      <c r="G116">
        <v>0.4</v>
      </c>
      <c r="H116">
        <v>0.38871304574822202</v>
      </c>
      <c r="I116">
        <v>0.42495169923669002</v>
      </c>
      <c r="J116" t="s">
        <v>37</v>
      </c>
      <c r="K116" t="s">
        <v>206</v>
      </c>
      <c r="L116" t="s">
        <v>18</v>
      </c>
      <c r="M116" t="s">
        <v>29</v>
      </c>
    </row>
    <row r="117" spans="1:13" hidden="1" x14ac:dyDescent="0.3">
      <c r="A117" t="s">
        <v>284</v>
      </c>
      <c r="B117" t="s">
        <v>214</v>
      </c>
      <c r="C117" t="s">
        <v>285</v>
      </c>
      <c r="D117" t="s">
        <v>84</v>
      </c>
      <c r="E117">
        <v>106.53400000000001</v>
      </c>
      <c r="F117">
        <v>101.2808</v>
      </c>
      <c r="G117">
        <v>0</v>
      </c>
      <c r="H117">
        <v>2.36032556079472E-2</v>
      </c>
      <c r="I117">
        <v>0.95068992058873203</v>
      </c>
      <c r="J117" t="s">
        <v>17</v>
      </c>
      <c r="L117" t="s">
        <v>18</v>
      </c>
      <c r="M117" t="s">
        <v>29</v>
      </c>
    </row>
    <row r="118" spans="1:13" hidden="1" x14ac:dyDescent="0.3">
      <c r="A118" t="s">
        <v>286</v>
      </c>
      <c r="B118" t="s">
        <v>214</v>
      </c>
      <c r="C118" t="s">
        <v>287</v>
      </c>
      <c r="D118" t="s">
        <v>84</v>
      </c>
      <c r="E118">
        <v>75.126800000000003</v>
      </c>
      <c r="F118">
        <v>63.685200000000002</v>
      </c>
      <c r="G118">
        <v>0.1</v>
      </c>
      <c r="H118">
        <v>9.4855569833796893E-2</v>
      </c>
      <c r="I118">
        <v>0.84770281710388296</v>
      </c>
      <c r="J118" t="s">
        <v>17</v>
      </c>
      <c r="L118" t="s">
        <v>18</v>
      </c>
      <c r="M118" t="s">
        <v>19</v>
      </c>
    </row>
    <row r="119" spans="1:13" hidden="1" x14ac:dyDescent="0.3">
      <c r="A119" t="s">
        <v>288</v>
      </c>
      <c r="B119" t="s">
        <v>214</v>
      </c>
      <c r="C119" t="s">
        <v>289</v>
      </c>
      <c r="D119" t="s">
        <v>84</v>
      </c>
      <c r="E119">
        <v>316.87599999999998</v>
      </c>
      <c r="F119">
        <v>203.61240000000001</v>
      </c>
      <c r="G119">
        <v>0.4</v>
      </c>
      <c r="H119">
        <v>0.36732774536912599</v>
      </c>
      <c r="I119">
        <v>0.64256175917393599</v>
      </c>
      <c r="J119" t="s">
        <v>76</v>
      </c>
      <c r="K119" t="s">
        <v>239</v>
      </c>
      <c r="L119" t="s">
        <v>18</v>
      </c>
      <c r="M119" t="s">
        <v>24</v>
      </c>
    </row>
    <row r="120" spans="1:13" hidden="1" x14ac:dyDescent="0.3">
      <c r="A120" t="s">
        <v>290</v>
      </c>
      <c r="B120" t="s">
        <v>214</v>
      </c>
      <c r="C120" t="s">
        <v>291</v>
      </c>
      <c r="D120" t="s">
        <v>84</v>
      </c>
      <c r="E120">
        <v>84.004400000000004</v>
      </c>
      <c r="F120">
        <v>35.802799999999998</v>
      </c>
      <c r="G120">
        <v>0.4</v>
      </c>
      <c r="H120">
        <v>0.44003057326063599</v>
      </c>
      <c r="I120">
        <v>0.42620148468413599</v>
      </c>
      <c r="J120" t="s">
        <v>37</v>
      </c>
      <c r="K120" t="s">
        <v>292</v>
      </c>
      <c r="L120" t="s">
        <v>293</v>
      </c>
      <c r="M120" t="s">
        <v>24</v>
      </c>
    </row>
    <row r="121" spans="1:13" hidden="1" x14ac:dyDescent="0.3">
      <c r="A121" t="s">
        <v>294</v>
      </c>
      <c r="B121" t="s">
        <v>214</v>
      </c>
      <c r="C121" t="s">
        <v>295</v>
      </c>
      <c r="D121" t="s">
        <v>84</v>
      </c>
      <c r="E121">
        <v>279.49160000000001</v>
      </c>
      <c r="F121">
        <v>67.108000000000004</v>
      </c>
      <c r="G121">
        <v>1</v>
      </c>
      <c r="H121">
        <v>0.99507414178346498</v>
      </c>
      <c r="I121">
        <v>0.24010739499863301</v>
      </c>
      <c r="J121" t="s">
        <v>37</v>
      </c>
      <c r="K121" t="s">
        <v>239</v>
      </c>
      <c r="L121" t="s">
        <v>18</v>
      </c>
      <c r="M121" t="s">
        <v>19</v>
      </c>
    </row>
    <row r="122" spans="1:13" hidden="1" x14ac:dyDescent="0.3">
      <c r="A122" t="s">
        <v>296</v>
      </c>
      <c r="B122" t="s">
        <v>214</v>
      </c>
      <c r="C122" t="s">
        <v>297</v>
      </c>
      <c r="D122" t="s">
        <v>84</v>
      </c>
      <c r="E122">
        <v>266.61799999999999</v>
      </c>
      <c r="F122">
        <v>148.17599999999999</v>
      </c>
      <c r="G122">
        <v>0.3</v>
      </c>
      <c r="H122">
        <v>0.32626249927470402</v>
      </c>
      <c r="I122">
        <v>0.555761426460329</v>
      </c>
      <c r="J122" t="s">
        <v>37</v>
      </c>
      <c r="K122" t="s">
        <v>77</v>
      </c>
      <c r="L122" t="s">
        <v>18</v>
      </c>
      <c r="M122" t="s">
        <v>19</v>
      </c>
    </row>
    <row r="123" spans="1:13" hidden="1" x14ac:dyDescent="0.3">
      <c r="A123" t="s">
        <v>298</v>
      </c>
      <c r="B123" t="s">
        <v>214</v>
      </c>
      <c r="C123" t="s">
        <v>299</v>
      </c>
      <c r="D123" t="s">
        <v>84</v>
      </c>
      <c r="E123">
        <v>186.76759999999999</v>
      </c>
      <c r="F123">
        <v>144.44319999999999</v>
      </c>
      <c r="G123">
        <v>0.1</v>
      </c>
      <c r="H123">
        <v>0.13207213766069201</v>
      </c>
      <c r="I123">
        <v>0.77338467699965097</v>
      </c>
      <c r="J123" t="s">
        <v>17</v>
      </c>
      <c r="L123" t="s">
        <v>18</v>
      </c>
      <c r="M123" t="s">
        <v>19</v>
      </c>
    </row>
    <row r="124" spans="1:13" hidden="1" x14ac:dyDescent="0.3">
      <c r="A124" t="s">
        <v>300</v>
      </c>
      <c r="B124" t="s">
        <v>214</v>
      </c>
      <c r="C124" t="s">
        <v>301</v>
      </c>
      <c r="D124" t="s">
        <v>84</v>
      </c>
      <c r="E124">
        <v>563.63919999999996</v>
      </c>
      <c r="F124">
        <v>243.76679999999999</v>
      </c>
      <c r="G124">
        <v>0.6</v>
      </c>
      <c r="H124">
        <v>0.55739560666240695</v>
      </c>
      <c r="I124">
        <v>0.432487307483227</v>
      </c>
      <c r="J124" t="s">
        <v>76</v>
      </c>
      <c r="K124" t="s">
        <v>124</v>
      </c>
      <c r="L124" t="s">
        <v>18</v>
      </c>
      <c r="M124" t="s">
        <v>19</v>
      </c>
    </row>
    <row r="125" spans="1:13" hidden="1" x14ac:dyDescent="0.3">
      <c r="A125" t="s">
        <v>302</v>
      </c>
      <c r="B125" t="s">
        <v>214</v>
      </c>
      <c r="C125" t="s">
        <v>303</v>
      </c>
      <c r="D125" t="s">
        <v>84</v>
      </c>
      <c r="E125">
        <v>286.9588</v>
      </c>
      <c r="F125">
        <v>257.45240000000001</v>
      </c>
      <c r="G125">
        <v>0.1</v>
      </c>
      <c r="H125">
        <v>8.7179732125865703E-2</v>
      </c>
      <c r="I125">
        <v>0.89717548303101402</v>
      </c>
      <c r="J125" t="s">
        <v>37</v>
      </c>
      <c r="K125" t="s">
        <v>304</v>
      </c>
      <c r="L125" t="s">
        <v>18</v>
      </c>
      <c r="M125" t="s">
        <v>19</v>
      </c>
    </row>
    <row r="126" spans="1:13" hidden="1" x14ac:dyDescent="0.3">
      <c r="A126" t="s">
        <v>305</v>
      </c>
      <c r="B126" t="s">
        <v>214</v>
      </c>
      <c r="C126" t="s">
        <v>306</v>
      </c>
      <c r="D126" t="s">
        <v>84</v>
      </c>
      <c r="E126">
        <v>694.2568</v>
      </c>
      <c r="F126">
        <v>661.61040000000003</v>
      </c>
      <c r="G126">
        <v>0</v>
      </c>
      <c r="H126">
        <v>3.2713410037785801E-2</v>
      </c>
      <c r="I126">
        <v>0.952976477868132</v>
      </c>
      <c r="J126" t="s">
        <v>17</v>
      </c>
      <c r="L126" t="s">
        <v>18</v>
      </c>
      <c r="M126" t="s">
        <v>24</v>
      </c>
    </row>
    <row r="127" spans="1:13" hidden="1" x14ac:dyDescent="0.3">
      <c r="A127" t="s">
        <v>307</v>
      </c>
      <c r="B127" t="s">
        <v>214</v>
      </c>
      <c r="C127" t="s">
        <v>308</v>
      </c>
      <c r="D127" t="s">
        <v>84</v>
      </c>
      <c r="E127">
        <v>791.67359999999996</v>
      </c>
      <c r="F127">
        <v>622.36440000000005</v>
      </c>
      <c r="G127">
        <v>0.1</v>
      </c>
      <c r="H127">
        <v>0.139972419530103</v>
      </c>
      <c r="I127">
        <v>0.78613762035263002</v>
      </c>
      <c r="J127" t="s">
        <v>17</v>
      </c>
      <c r="L127" t="s">
        <v>18</v>
      </c>
      <c r="M127" t="s">
        <v>32</v>
      </c>
    </row>
    <row r="128" spans="1:13" hidden="1" x14ac:dyDescent="0.3">
      <c r="A128" t="s">
        <v>309</v>
      </c>
      <c r="B128" t="s">
        <v>214</v>
      </c>
      <c r="C128" t="s">
        <v>310</v>
      </c>
      <c r="D128" t="s">
        <v>84</v>
      </c>
      <c r="E128">
        <v>49.024000000000001</v>
      </c>
      <c r="F128">
        <v>49.024000000000001</v>
      </c>
      <c r="G128">
        <v>0</v>
      </c>
      <c r="H128">
        <v>0</v>
      </c>
      <c r="I128">
        <v>1</v>
      </c>
      <c r="J128" t="s">
        <v>17</v>
      </c>
      <c r="L128" t="s">
        <v>18</v>
      </c>
      <c r="M128" t="s">
        <v>29</v>
      </c>
    </row>
    <row r="129" spans="1:13" hidden="1" x14ac:dyDescent="0.3">
      <c r="A129" t="s">
        <v>311</v>
      </c>
      <c r="B129" t="s">
        <v>214</v>
      </c>
      <c r="C129" t="s">
        <v>312</v>
      </c>
      <c r="D129" t="s">
        <v>84</v>
      </c>
      <c r="E129">
        <v>1646.1872000000001</v>
      </c>
      <c r="F129">
        <v>1617.4104</v>
      </c>
      <c r="G129">
        <v>0</v>
      </c>
      <c r="H129">
        <v>1.29545227292766E-2</v>
      </c>
      <c r="I129">
        <v>0.98251912054716495</v>
      </c>
      <c r="J129" t="s">
        <v>17</v>
      </c>
      <c r="L129" t="s">
        <v>18</v>
      </c>
      <c r="M129" t="s">
        <v>24</v>
      </c>
    </row>
    <row r="130" spans="1:13" hidden="1" x14ac:dyDescent="0.3">
      <c r="A130" t="s">
        <v>313</v>
      </c>
      <c r="B130" t="s">
        <v>214</v>
      </c>
      <c r="C130" t="s">
        <v>314</v>
      </c>
      <c r="D130" t="s">
        <v>84</v>
      </c>
      <c r="E130">
        <v>1268.0852</v>
      </c>
      <c r="F130">
        <v>1249.8040000000001</v>
      </c>
      <c r="G130">
        <v>0</v>
      </c>
      <c r="H130">
        <v>6.3958877236639997E-3</v>
      </c>
      <c r="I130">
        <v>0.98558361851396104</v>
      </c>
      <c r="J130" t="s">
        <v>17</v>
      </c>
      <c r="L130" t="s">
        <v>18</v>
      </c>
      <c r="M130" t="s">
        <v>19</v>
      </c>
    </row>
    <row r="131" spans="1:13" hidden="1" x14ac:dyDescent="0.3">
      <c r="A131" t="s">
        <v>315</v>
      </c>
      <c r="B131" t="s">
        <v>214</v>
      </c>
      <c r="C131" t="s">
        <v>316</v>
      </c>
      <c r="D131" t="s">
        <v>84</v>
      </c>
      <c r="E131">
        <v>97.855999999999995</v>
      </c>
      <c r="F131">
        <v>91.320800000000006</v>
      </c>
      <c r="G131">
        <v>0</v>
      </c>
      <c r="H131">
        <v>4.91485233886612E-2</v>
      </c>
      <c r="I131">
        <v>0.93321615434924798</v>
      </c>
      <c r="J131" t="s">
        <v>17</v>
      </c>
      <c r="L131" t="s">
        <v>18</v>
      </c>
      <c r="M131" t="s">
        <v>19</v>
      </c>
    </row>
    <row r="132" spans="1:13" hidden="1" x14ac:dyDescent="0.3">
      <c r="A132" t="s">
        <v>317</v>
      </c>
      <c r="B132" t="s">
        <v>214</v>
      </c>
      <c r="C132" t="s">
        <v>318</v>
      </c>
      <c r="D132" t="s">
        <v>84</v>
      </c>
      <c r="E132">
        <v>388.81079999999997</v>
      </c>
      <c r="F132">
        <v>388.31599999999997</v>
      </c>
      <c r="G132">
        <v>0</v>
      </c>
      <c r="H132">
        <v>1.4736195080967899E-3</v>
      </c>
      <c r="I132">
        <v>0.99872740160509899</v>
      </c>
      <c r="J132" t="s">
        <v>17</v>
      </c>
      <c r="L132" t="s">
        <v>18</v>
      </c>
      <c r="M132" t="s">
        <v>32</v>
      </c>
    </row>
    <row r="133" spans="1:13" hidden="1" x14ac:dyDescent="0.3">
      <c r="A133" t="s">
        <v>319</v>
      </c>
      <c r="B133" t="s">
        <v>214</v>
      </c>
      <c r="C133" t="s">
        <v>320</v>
      </c>
      <c r="D133" t="s">
        <v>84</v>
      </c>
      <c r="E133">
        <v>683.27760000000001</v>
      </c>
      <c r="F133">
        <v>668.57399999999996</v>
      </c>
      <c r="G133">
        <v>0</v>
      </c>
      <c r="H133">
        <v>2.1532938767652901E-2</v>
      </c>
      <c r="I133">
        <v>0.97848078145690698</v>
      </c>
      <c r="J133" t="s">
        <v>17</v>
      </c>
      <c r="L133" t="s">
        <v>18</v>
      </c>
      <c r="M133" t="s">
        <v>24</v>
      </c>
    </row>
    <row r="134" spans="1:13" hidden="1" x14ac:dyDescent="0.3">
      <c r="A134" t="s">
        <v>321</v>
      </c>
      <c r="B134" t="s">
        <v>214</v>
      </c>
      <c r="C134" t="s">
        <v>322</v>
      </c>
      <c r="D134" t="s">
        <v>84</v>
      </c>
      <c r="E134">
        <v>1014.1516</v>
      </c>
      <c r="F134">
        <v>800.52</v>
      </c>
      <c r="G134">
        <v>0.2</v>
      </c>
      <c r="H134">
        <v>0.17293331435797499</v>
      </c>
      <c r="I134">
        <v>0.78934944243050098</v>
      </c>
      <c r="J134" t="s">
        <v>17</v>
      </c>
      <c r="L134" t="s">
        <v>18</v>
      </c>
      <c r="M134" t="s">
        <v>19</v>
      </c>
    </row>
    <row r="135" spans="1:13" hidden="1" x14ac:dyDescent="0.3">
      <c r="A135" t="s">
        <v>323</v>
      </c>
      <c r="B135" t="s">
        <v>214</v>
      </c>
      <c r="C135" t="s">
        <v>324</v>
      </c>
      <c r="D135" t="s">
        <v>84</v>
      </c>
      <c r="E135">
        <v>1050.6224</v>
      </c>
      <c r="F135">
        <v>1008.654</v>
      </c>
      <c r="G135">
        <v>0</v>
      </c>
      <c r="H135">
        <v>2.21867265223065E-2</v>
      </c>
      <c r="I135">
        <v>0.96005377383920198</v>
      </c>
      <c r="J135" t="s">
        <v>17</v>
      </c>
      <c r="L135" t="s">
        <v>18</v>
      </c>
      <c r="M135" t="s">
        <v>29</v>
      </c>
    </row>
    <row r="136" spans="1:13" hidden="1" x14ac:dyDescent="0.3">
      <c r="A136" t="s">
        <v>325</v>
      </c>
      <c r="B136" t="s">
        <v>214</v>
      </c>
      <c r="C136" t="s">
        <v>326</v>
      </c>
      <c r="D136" t="s">
        <v>84</v>
      </c>
      <c r="E136">
        <v>914.23479999999995</v>
      </c>
      <c r="F136">
        <v>763.51959999999997</v>
      </c>
      <c r="G136">
        <v>0.1</v>
      </c>
      <c r="H136">
        <v>6.6264099549214403E-2</v>
      </c>
      <c r="I136">
        <v>0.83514606969675598</v>
      </c>
      <c r="J136" t="s">
        <v>37</v>
      </c>
      <c r="K136" t="s">
        <v>77</v>
      </c>
      <c r="L136" t="s">
        <v>18</v>
      </c>
      <c r="M136" t="s">
        <v>29</v>
      </c>
    </row>
    <row r="137" spans="1:13" hidden="1" x14ac:dyDescent="0.3">
      <c r="A137" t="s">
        <v>327</v>
      </c>
      <c r="B137" t="s">
        <v>214</v>
      </c>
      <c r="C137" t="s">
        <v>328</v>
      </c>
      <c r="D137" t="s">
        <v>84</v>
      </c>
      <c r="E137">
        <v>1179.4079999999999</v>
      </c>
      <c r="F137">
        <v>1049.864</v>
      </c>
      <c r="G137">
        <v>0.1</v>
      </c>
      <c r="H137">
        <v>7.1760992991227998E-2</v>
      </c>
      <c r="I137">
        <v>0.89016184390813002</v>
      </c>
      <c r="J137" t="s">
        <v>76</v>
      </c>
      <c r="K137" t="s">
        <v>77</v>
      </c>
      <c r="L137" t="s">
        <v>18</v>
      </c>
      <c r="M137" t="s">
        <v>19</v>
      </c>
    </row>
    <row r="138" spans="1:13" hidden="1" x14ac:dyDescent="0.3">
      <c r="A138" t="s">
        <v>329</v>
      </c>
      <c r="B138" t="s">
        <v>214</v>
      </c>
      <c r="C138" t="s">
        <v>330</v>
      </c>
      <c r="D138" t="s">
        <v>84</v>
      </c>
      <c r="E138">
        <v>531.50400000000002</v>
      </c>
      <c r="F138">
        <v>520.87599999999998</v>
      </c>
      <c r="G138">
        <v>0</v>
      </c>
      <c r="H138">
        <v>1.86093835759178E-2</v>
      </c>
      <c r="I138">
        <v>0.98000391342304105</v>
      </c>
      <c r="J138" t="s">
        <v>17</v>
      </c>
      <c r="L138" t="s">
        <v>18</v>
      </c>
      <c r="M138" t="s">
        <v>29</v>
      </c>
    </row>
    <row r="139" spans="1:13" hidden="1" x14ac:dyDescent="0.3">
      <c r="A139" t="s">
        <v>331</v>
      </c>
      <c r="B139" t="s">
        <v>214</v>
      </c>
      <c r="C139" t="s">
        <v>332</v>
      </c>
      <c r="D139" t="s">
        <v>84</v>
      </c>
      <c r="E139">
        <v>358.88279999999997</v>
      </c>
      <c r="F139">
        <v>333.10520000000002</v>
      </c>
      <c r="G139">
        <v>0.1</v>
      </c>
      <c r="H139">
        <v>5.1297095295519499E-2</v>
      </c>
      <c r="I139">
        <v>0.92817265135024596</v>
      </c>
      <c r="J139" t="s">
        <v>37</v>
      </c>
      <c r="K139" t="s">
        <v>77</v>
      </c>
      <c r="L139" t="s">
        <v>18</v>
      </c>
      <c r="M139" t="s">
        <v>29</v>
      </c>
    </row>
    <row r="140" spans="1:13" hidden="1" x14ac:dyDescent="0.3">
      <c r="A140" t="s">
        <v>333</v>
      </c>
      <c r="B140" t="s">
        <v>214</v>
      </c>
      <c r="C140" t="s">
        <v>334</v>
      </c>
      <c r="D140" t="s">
        <v>84</v>
      </c>
      <c r="E140">
        <v>993.57759999999996</v>
      </c>
      <c r="F140">
        <v>906.35680000000002</v>
      </c>
      <c r="G140">
        <v>0.1</v>
      </c>
      <c r="H140">
        <v>6.8567967713043299E-2</v>
      </c>
      <c r="I140">
        <v>0.91221541226372305</v>
      </c>
      <c r="J140" t="s">
        <v>17</v>
      </c>
      <c r="L140" t="s">
        <v>18</v>
      </c>
      <c r="M140" t="s">
        <v>29</v>
      </c>
    </row>
    <row r="141" spans="1:13" hidden="1" x14ac:dyDescent="0.3">
      <c r="A141" t="s">
        <v>335</v>
      </c>
      <c r="B141" t="s">
        <v>214</v>
      </c>
      <c r="C141" t="s">
        <v>336</v>
      </c>
      <c r="D141" t="s">
        <v>84</v>
      </c>
      <c r="E141">
        <v>1215.3227999999999</v>
      </c>
      <c r="F141">
        <v>1173.3119999999999</v>
      </c>
      <c r="G141">
        <v>0</v>
      </c>
      <c r="H141">
        <v>2.1103003396628101E-2</v>
      </c>
      <c r="I141">
        <v>0.96543239376402701</v>
      </c>
      <c r="J141" t="s">
        <v>17</v>
      </c>
      <c r="L141" t="s">
        <v>18</v>
      </c>
      <c r="M141" t="s">
        <v>29</v>
      </c>
    </row>
    <row r="142" spans="1:13" hidden="1" x14ac:dyDescent="0.3">
      <c r="A142" t="s">
        <v>337</v>
      </c>
      <c r="B142" t="s">
        <v>214</v>
      </c>
      <c r="C142" t="s">
        <v>338</v>
      </c>
      <c r="D142" t="s">
        <v>84</v>
      </c>
      <c r="E142">
        <v>107.4468</v>
      </c>
      <c r="F142">
        <v>100.29600000000001</v>
      </c>
      <c r="G142">
        <v>0</v>
      </c>
      <c r="H142">
        <v>3.9209257815269002E-2</v>
      </c>
      <c r="I142">
        <v>0.933447994728554</v>
      </c>
      <c r="J142" t="s">
        <v>37</v>
      </c>
      <c r="K142" t="s">
        <v>77</v>
      </c>
      <c r="L142" t="s">
        <v>18</v>
      </c>
      <c r="M142" t="s">
        <v>29</v>
      </c>
    </row>
    <row r="143" spans="1:13" hidden="1" x14ac:dyDescent="0.3">
      <c r="A143" t="s">
        <v>339</v>
      </c>
      <c r="B143" t="s">
        <v>214</v>
      </c>
      <c r="C143" t="s">
        <v>340</v>
      </c>
      <c r="D143" t="s">
        <v>84</v>
      </c>
      <c r="E143">
        <v>878.80520000000001</v>
      </c>
      <c r="F143">
        <v>732.31640000000004</v>
      </c>
      <c r="G143">
        <v>0.1</v>
      </c>
      <c r="H143">
        <v>8.8077489213796004E-2</v>
      </c>
      <c r="I143">
        <v>0.83330913381031402</v>
      </c>
      <c r="J143" t="s">
        <v>17</v>
      </c>
      <c r="L143" t="s">
        <v>18</v>
      </c>
      <c r="M143" t="s">
        <v>19</v>
      </c>
    </row>
    <row r="144" spans="1:13" hidden="1" x14ac:dyDescent="0.3">
      <c r="A144" t="s">
        <v>341</v>
      </c>
      <c r="B144" t="s">
        <v>214</v>
      </c>
      <c r="C144" t="s">
        <v>342</v>
      </c>
      <c r="D144" t="s">
        <v>84</v>
      </c>
      <c r="E144">
        <v>1571.0644</v>
      </c>
      <c r="F144">
        <v>1047.7295999999999</v>
      </c>
      <c r="G144">
        <v>0.2</v>
      </c>
      <c r="H144">
        <v>0.153444445251182</v>
      </c>
      <c r="I144">
        <v>0.66689156727120802</v>
      </c>
      <c r="J144" t="s">
        <v>17</v>
      </c>
      <c r="L144" t="s">
        <v>18</v>
      </c>
      <c r="M144" t="s">
        <v>29</v>
      </c>
    </row>
    <row r="145" spans="1:13" hidden="1" x14ac:dyDescent="0.3">
      <c r="A145" t="s">
        <v>343</v>
      </c>
      <c r="B145" t="s">
        <v>214</v>
      </c>
      <c r="C145" t="s">
        <v>344</v>
      </c>
      <c r="D145" t="s">
        <v>84</v>
      </c>
      <c r="E145">
        <v>1343.1468</v>
      </c>
      <c r="F145">
        <v>937.77800000000002</v>
      </c>
      <c r="G145">
        <v>0.3</v>
      </c>
      <c r="H145">
        <v>0.28220426567353901</v>
      </c>
      <c r="I145">
        <v>0.698194717062945</v>
      </c>
      <c r="J145" t="s">
        <v>17</v>
      </c>
      <c r="L145" t="s">
        <v>18</v>
      </c>
      <c r="M145" t="s">
        <v>19</v>
      </c>
    </row>
    <row r="146" spans="1:13" hidden="1" x14ac:dyDescent="0.3">
      <c r="A146" t="s">
        <v>345</v>
      </c>
      <c r="B146" t="s">
        <v>214</v>
      </c>
      <c r="C146" t="s">
        <v>346</v>
      </c>
      <c r="D146" t="s">
        <v>84</v>
      </c>
      <c r="E146">
        <v>2298.4987999999998</v>
      </c>
      <c r="F146">
        <v>1567.7116000000001</v>
      </c>
      <c r="G146">
        <v>0.2</v>
      </c>
      <c r="H146">
        <v>0.17041730483321099</v>
      </c>
      <c r="I146">
        <v>0.68205891601944701</v>
      </c>
      <c r="J146" t="s">
        <v>17</v>
      </c>
      <c r="L146" t="s">
        <v>18</v>
      </c>
      <c r="M146" t="s">
        <v>29</v>
      </c>
    </row>
    <row r="147" spans="1:13" hidden="1" x14ac:dyDescent="0.3">
      <c r="A147" t="s">
        <v>347</v>
      </c>
      <c r="B147" t="s">
        <v>214</v>
      </c>
      <c r="C147" t="s">
        <v>348</v>
      </c>
      <c r="D147" t="s">
        <v>84</v>
      </c>
      <c r="E147">
        <v>318.33960000000002</v>
      </c>
      <c r="F147">
        <v>318.03879999999998</v>
      </c>
      <c r="G147">
        <v>0</v>
      </c>
      <c r="H147">
        <v>2.0502904028183999E-3</v>
      </c>
      <c r="I147">
        <v>0.99905509713525997</v>
      </c>
      <c r="J147" t="s">
        <v>17</v>
      </c>
      <c r="L147" t="s">
        <v>18</v>
      </c>
      <c r="M147" t="s">
        <v>29</v>
      </c>
    </row>
    <row r="148" spans="1:13" hidden="1" x14ac:dyDescent="0.3">
      <c r="A148" t="s">
        <v>349</v>
      </c>
      <c r="B148" t="s">
        <v>214</v>
      </c>
      <c r="C148" t="s">
        <v>350</v>
      </c>
      <c r="D148" t="s">
        <v>84</v>
      </c>
      <c r="E148">
        <v>388.32560000000001</v>
      </c>
      <c r="F148">
        <v>385.3768</v>
      </c>
      <c r="G148">
        <v>0</v>
      </c>
      <c r="H148">
        <v>3.6965455538816201E-3</v>
      </c>
      <c r="I148">
        <v>0.99240637238441098</v>
      </c>
      <c r="J148" t="s">
        <v>17</v>
      </c>
      <c r="L148" t="s">
        <v>18</v>
      </c>
      <c r="M148" t="s">
        <v>29</v>
      </c>
    </row>
    <row r="149" spans="1:13" hidden="1" x14ac:dyDescent="0.3">
      <c r="A149" t="s">
        <v>351</v>
      </c>
      <c r="B149" t="s">
        <v>214</v>
      </c>
      <c r="C149" t="s">
        <v>352</v>
      </c>
      <c r="D149" t="s">
        <v>84</v>
      </c>
      <c r="E149">
        <v>852.19240000000002</v>
      </c>
      <c r="F149">
        <v>846.10799999999995</v>
      </c>
      <c r="G149">
        <v>0</v>
      </c>
      <c r="H149">
        <v>6.4647902606792904E-3</v>
      </c>
      <c r="I149">
        <v>0.99286029774496898</v>
      </c>
      <c r="J149" t="s">
        <v>17</v>
      </c>
      <c r="L149" t="s">
        <v>18</v>
      </c>
      <c r="M149" t="s">
        <v>29</v>
      </c>
    </row>
    <row r="150" spans="1:13" hidden="1" x14ac:dyDescent="0.3">
      <c r="A150" t="s">
        <v>353</v>
      </c>
      <c r="B150" t="s">
        <v>214</v>
      </c>
      <c r="C150" t="s">
        <v>354</v>
      </c>
      <c r="D150" t="s">
        <v>84</v>
      </c>
      <c r="E150">
        <v>1084.7883999999999</v>
      </c>
      <c r="F150">
        <v>1082.2572</v>
      </c>
      <c r="G150">
        <v>0</v>
      </c>
      <c r="H150">
        <v>3.71235364236108E-3</v>
      </c>
      <c r="I150">
        <v>0.99766664171556396</v>
      </c>
      <c r="J150" t="s">
        <v>17</v>
      </c>
      <c r="L150" t="s">
        <v>18</v>
      </c>
      <c r="M150" t="s">
        <v>29</v>
      </c>
    </row>
    <row r="151" spans="1:13" hidden="1" x14ac:dyDescent="0.3">
      <c r="A151" t="s">
        <v>355</v>
      </c>
      <c r="B151" t="s">
        <v>214</v>
      </c>
      <c r="C151" t="s">
        <v>356</v>
      </c>
      <c r="D151" t="s">
        <v>84</v>
      </c>
      <c r="E151">
        <v>332.5684</v>
      </c>
      <c r="F151">
        <v>330.90519999999998</v>
      </c>
      <c r="G151">
        <v>0</v>
      </c>
      <c r="H151">
        <v>3.6259816184996099E-3</v>
      </c>
      <c r="I151">
        <v>0.99499892352971597</v>
      </c>
      <c r="J151" t="s">
        <v>17</v>
      </c>
      <c r="L151" t="s">
        <v>18</v>
      </c>
      <c r="M151" t="s">
        <v>29</v>
      </c>
    </row>
    <row r="152" spans="1:13" hidden="1" x14ac:dyDescent="0.3">
      <c r="A152" t="s">
        <v>357</v>
      </c>
      <c r="B152" t="s">
        <v>214</v>
      </c>
      <c r="C152" t="s">
        <v>358</v>
      </c>
      <c r="D152" t="s">
        <v>84</v>
      </c>
      <c r="E152">
        <v>304.18439999999998</v>
      </c>
      <c r="F152">
        <v>287.084</v>
      </c>
      <c r="G152">
        <v>0</v>
      </c>
      <c r="H152">
        <v>3.2271314494366599E-2</v>
      </c>
      <c r="I152">
        <v>0.94378278438999497</v>
      </c>
      <c r="J152" t="s">
        <v>17</v>
      </c>
      <c r="L152" t="s">
        <v>18</v>
      </c>
      <c r="M152" t="s">
        <v>29</v>
      </c>
    </row>
    <row r="153" spans="1:13" hidden="1" x14ac:dyDescent="0.3">
      <c r="A153" t="s">
        <v>359</v>
      </c>
      <c r="B153" t="s">
        <v>214</v>
      </c>
      <c r="C153" t="s">
        <v>360</v>
      </c>
      <c r="D153" t="s">
        <v>84</v>
      </c>
      <c r="E153">
        <v>2402.9412000000002</v>
      </c>
      <c r="F153">
        <v>2155.9756000000002</v>
      </c>
      <c r="G153">
        <v>0.1</v>
      </c>
      <c r="H153">
        <v>5.87123922110903E-2</v>
      </c>
      <c r="I153">
        <v>0.897223619121433</v>
      </c>
      <c r="J153" t="s">
        <v>17</v>
      </c>
      <c r="L153" t="s">
        <v>18</v>
      </c>
      <c r="M153" t="s">
        <v>29</v>
      </c>
    </row>
    <row r="154" spans="1:13" hidden="1" x14ac:dyDescent="0.3">
      <c r="A154" t="s">
        <v>361</v>
      </c>
      <c r="B154" t="s">
        <v>214</v>
      </c>
      <c r="C154" t="s">
        <v>362</v>
      </c>
      <c r="D154" t="s">
        <v>84</v>
      </c>
      <c r="E154">
        <v>4052.18</v>
      </c>
      <c r="F154">
        <v>3696.5036</v>
      </c>
      <c r="G154">
        <v>0</v>
      </c>
      <c r="H154">
        <v>4.6238102939345403E-2</v>
      </c>
      <c r="I154">
        <v>0.91222591296536704</v>
      </c>
      <c r="J154" t="s">
        <v>17</v>
      </c>
      <c r="L154" t="s">
        <v>18</v>
      </c>
      <c r="M154" t="s">
        <v>29</v>
      </c>
    </row>
    <row r="155" spans="1:13" hidden="1" x14ac:dyDescent="0.3">
      <c r="A155" t="s">
        <v>363</v>
      </c>
      <c r="B155" t="s">
        <v>214</v>
      </c>
      <c r="C155" t="s">
        <v>364</v>
      </c>
      <c r="D155" t="s">
        <v>84</v>
      </c>
      <c r="E155">
        <v>334.19639999999998</v>
      </c>
      <c r="F155">
        <v>131.68119999999999</v>
      </c>
      <c r="G155">
        <v>0.6</v>
      </c>
      <c r="H155">
        <v>0.61709086410242697</v>
      </c>
      <c r="I155">
        <v>0.39402339462663299</v>
      </c>
      <c r="J155" t="s">
        <v>37</v>
      </c>
      <c r="K155" t="s">
        <v>239</v>
      </c>
      <c r="L155" t="s">
        <v>18</v>
      </c>
      <c r="M155" t="s">
        <v>19</v>
      </c>
    </row>
    <row r="156" spans="1:13" hidden="1" x14ac:dyDescent="0.3">
      <c r="A156" t="s">
        <v>365</v>
      </c>
      <c r="B156" t="s">
        <v>214</v>
      </c>
      <c r="C156" t="s">
        <v>366</v>
      </c>
      <c r="D156" t="s">
        <v>84</v>
      </c>
      <c r="E156">
        <v>498.23840000000001</v>
      </c>
      <c r="F156">
        <v>469.34280000000001</v>
      </c>
      <c r="G156">
        <v>0</v>
      </c>
      <c r="H156">
        <v>3.1998737237409397E-2</v>
      </c>
      <c r="I156">
        <v>0.94200447014923006</v>
      </c>
      <c r="J156" t="s">
        <v>17</v>
      </c>
      <c r="L156" t="s">
        <v>18</v>
      </c>
      <c r="M156" t="s">
        <v>29</v>
      </c>
    </row>
    <row r="157" spans="1:13" hidden="1" x14ac:dyDescent="0.3">
      <c r="A157" t="s">
        <v>367</v>
      </c>
      <c r="B157" t="s">
        <v>214</v>
      </c>
      <c r="C157" t="s">
        <v>368</v>
      </c>
      <c r="D157" t="s">
        <v>84</v>
      </c>
      <c r="E157">
        <v>37.525199999999998</v>
      </c>
      <c r="F157">
        <v>37.480400000000003</v>
      </c>
      <c r="G157">
        <v>0</v>
      </c>
      <c r="H157">
        <v>3.73082621811435E-3</v>
      </c>
      <c r="I157">
        <v>0.99880613561020304</v>
      </c>
      <c r="J157" t="s">
        <v>17</v>
      </c>
      <c r="L157" t="s">
        <v>18</v>
      </c>
      <c r="M157" t="s">
        <v>29</v>
      </c>
    </row>
    <row r="158" spans="1:13" hidden="1" x14ac:dyDescent="0.3">
      <c r="A158" t="s">
        <v>369</v>
      </c>
      <c r="B158" t="s">
        <v>214</v>
      </c>
      <c r="C158" t="s">
        <v>370</v>
      </c>
      <c r="D158" t="s">
        <v>84</v>
      </c>
      <c r="E158">
        <v>50.834800000000001</v>
      </c>
      <c r="F158">
        <v>50.79</v>
      </c>
      <c r="G158">
        <v>0</v>
      </c>
      <c r="H158">
        <v>2.75401890043842E-3</v>
      </c>
      <c r="I158">
        <v>0.99911871395186003</v>
      </c>
      <c r="J158" t="s">
        <v>17</v>
      </c>
      <c r="L158" t="s">
        <v>18</v>
      </c>
      <c r="M158" t="s">
        <v>29</v>
      </c>
    </row>
    <row r="159" spans="1:13" hidden="1" x14ac:dyDescent="0.3">
      <c r="A159" t="s">
        <v>371</v>
      </c>
      <c r="B159" t="s">
        <v>214</v>
      </c>
      <c r="C159" t="s">
        <v>372</v>
      </c>
      <c r="D159" t="s">
        <v>84</v>
      </c>
      <c r="E159">
        <v>547.94880000000001</v>
      </c>
      <c r="F159">
        <v>354.31279999999998</v>
      </c>
      <c r="G159">
        <v>0.4</v>
      </c>
      <c r="H159">
        <v>0.44287459437252202</v>
      </c>
      <c r="I159">
        <v>0.64661661819498495</v>
      </c>
      <c r="J159" t="s">
        <v>37</v>
      </c>
      <c r="K159" t="s">
        <v>38</v>
      </c>
      <c r="L159" t="s">
        <v>18</v>
      </c>
      <c r="M159" t="s">
        <v>32</v>
      </c>
    </row>
    <row r="160" spans="1:13" hidden="1" x14ac:dyDescent="0.3">
      <c r="A160" t="s">
        <v>373</v>
      </c>
      <c r="B160" t="s">
        <v>214</v>
      </c>
      <c r="C160" t="s">
        <v>374</v>
      </c>
      <c r="D160" t="s">
        <v>84</v>
      </c>
      <c r="E160">
        <v>2523.64</v>
      </c>
      <c r="F160">
        <v>2232.7588000000001</v>
      </c>
      <c r="G160">
        <v>0.1</v>
      </c>
      <c r="H160">
        <v>7.0583922325214404E-2</v>
      </c>
      <c r="I160">
        <v>0.88473744274143695</v>
      </c>
      <c r="J160" t="s">
        <v>17</v>
      </c>
      <c r="L160" t="s">
        <v>18</v>
      </c>
      <c r="M160" t="s">
        <v>29</v>
      </c>
    </row>
    <row r="161" spans="1:13" hidden="1" x14ac:dyDescent="0.3">
      <c r="A161" t="s">
        <v>375</v>
      </c>
      <c r="B161" t="s">
        <v>214</v>
      </c>
      <c r="C161" t="s">
        <v>376</v>
      </c>
      <c r="D161" t="s">
        <v>84</v>
      </c>
      <c r="E161">
        <v>1135.9860000000001</v>
      </c>
      <c r="F161">
        <v>1051.0576000000001</v>
      </c>
      <c r="G161">
        <v>0</v>
      </c>
      <c r="H161">
        <v>4.3603909371978E-2</v>
      </c>
      <c r="I161">
        <v>0.92523816314637697</v>
      </c>
      <c r="J161" t="s">
        <v>17</v>
      </c>
      <c r="L161" t="s">
        <v>18</v>
      </c>
      <c r="M161" t="s">
        <v>29</v>
      </c>
    </row>
    <row r="162" spans="1:13" hidden="1" x14ac:dyDescent="0.3">
      <c r="A162" t="s">
        <v>377</v>
      </c>
      <c r="B162" t="s">
        <v>214</v>
      </c>
      <c r="C162" t="s">
        <v>378</v>
      </c>
      <c r="D162" t="s">
        <v>84</v>
      </c>
      <c r="E162">
        <v>422.87639999999999</v>
      </c>
      <c r="F162">
        <v>370.70600000000002</v>
      </c>
      <c r="G162">
        <v>0.1</v>
      </c>
      <c r="H162">
        <v>0.102175837159518</v>
      </c>
      <c r="I162">
        <v>0.87662967240545897</v>
      </c>
      <c r="J162" t="s">
        <v>37</v>
      </c>
      <c r="K162" t="s">
        <v>77</v>
      </c>
      <c r="L162" t="s">
        <v>18</v>
      </c>
      <c r="M162" t="s">
        <v>19</v>
      </c>
    </row>
    <row r="163" spans="1:13" hidden="1" x14ac:dyDescent="0.3">
      <c r="A163" t="s">
        <v>379</v>
      </c>
      <c r="B163" t="s">
        <v>214</v>
      </c>
      <c r="C163" t="s">
        <v>380</v>
      </c>
      <c r="D163" t="s">
        <v>84</v>
      </c>
      <c r="E163">
        <v>394.07119999999998</v>
      </c>
      <c r="F163">
        <v>371.08280000000002</v>
      </c>
      <c r="G163">
        <v>0</v>
      </c>
      <c r="H163">
        <v>3.9334701388881302E-2</v>
      </c>
      <c r="I163">
        <v>0.94166434898059004</v>
      </c>
      <c r="J163" t="s">
        <v>17</v>
      </c>
      <c r="L163" t="s">
        <v>18</v>
      </c>
      <c r="M163" t="s">
        <v>29</v>
      </c>
    </row>
    <row r="164" spans="1:13" hidden="1" x14ac:dyDescent="0.3">
      <c r="A164" t="s">
        <v>381</v>
      </c>
      <c r="B164" t="s">
        <v>214</v>
      </c>
      <c r="C164" t="s">
        <v>382</v>
      </c>
      <c r="D164" t="s">
        <v>84</v>
      </c>
      <c r="E164">
        <v>319.74639999999999</v>
      </c>
      <c r="F164">
        <v>315.73360000000002</v>
      </c>
      <c r="G164">
        <v>0</v>
      </c>
      <c r="H164">
        <v>1.2386037414429301E-2</v>
      </c>
      <c r="I164">
        <v>0.98745005416792797</v>
      </c>
      <c r="J164" t="s">
        <v>17</v>
      </c>
      <c r="L164" t="s">
        <v>18</v>
      </c>
      <c r="M164" t="s">
        <v>29</v>
      </c>
    </row>
    <row r="165" spans="1:13" hidden="1" x14ac:dyDescent="0.3">
      <c r="A165" t="s">
        <v>383</v>
      </c>
      <c r="B165" t="s">
        <v>214</v>
      </c>
      <c r="C165" t="s">
        <v>384</v>
      </c>
      <c r="D165" t="s">
        <v>84</v>
      </c>
      <c r="E165">
        <v>219.44640000000001</v>
      </c>
      <c r="F165">
        <v>203.27600000000001</v>
      </c>
      <c r="G165">
        <v>0</v>
      </c>
      <c r="H165">
        <v>4.9766272796631802E-2</v>
      </c>
      <c r="I165">
        <v>0.92631275792175205</v>
      </c>
      <c r="J165" t="s">
        <v>37</v>
      </c>
      <c r="K165" t="s">
        <v>77</v>
      </c>
      <c r="L165" t="s">
        <v>18</v>
      </c>
      <c r="M165" t="s">
        <v>29</v>
      </c>
    </row>
    <row r="166" spans="1:13" hidden="1" x14ac:dyDescent="0.3">
      <c r="A166" t="s">
        <v>385</v>
      </c>
      <c r="B166" t="s">
        <v>214</v>
      </c>
      <c r="C166" t="s">
        <v>386</v>
      </c>
      <c r="D166" t="s">
        <v>84</v>
      </c>
      <c r="E166">
        <v>404.95440000000002</v>
      </c>
      <c r="F166">
        <v>395.74160000000001</v>
      </c>
      <c r="G166">
        <v>0</v>
      </c>
      <c r="H166">
        <v>1.55855097941994E-2</v>
      </c>
      <c r="I166">
        <v>0.97724978417323005</v>
      </c>
      <c r="J166" t="s">
        <v>17</v>
      </c>
      <c r="L166" t="s">
        <v>18</v>
      </c>
      <c r="M166" t="s">
        <v>19</v>
      </c>
    </row>
    <row r="167" spans="1:13" hidden="1" x14ac:dyDescent="0.3">
      <c r="A167" t="s">
        <v>387</v>
      </c>
      <c r="B167" t="s">
        <v>214</v>
      </c>
      <c r="C167" t="s">
        <v>388</v>
      </c>
      <c r="D167" t="s">
        <v>84</v>
      </c>
      <c r="E167">
        <v>211.16239999999999</v>
      </c>
      <c r="F167">
        <v>181.57079999999999</v>
      </c>
      <c r="G167">
        <v>0</v>
      </c>
      <c r="H167">
        <v>4.7198288955234299E-2</v>
      </c>
      <c r="I167">
        <v>0.85986330899819297</v>
      </c>
      <c r="J167" t="s">
        <v>17</v>
      </c>
      <c r="L167" t="s">
        <v>18</v>
      </c>
      <c r="M167" t="s">
        <v>19</v>
      </c>
    </row>
    <row r="168" spans="1:13" hidden="1" x14ac:dyDescent="0.3">
      <c r="A168" t="s">
        <v>389</v>
      </c>
      <c r="B168" t="s">
        <v>390</v>
      </c>
      <c r="C168" t="s">
        <v>391</v>
      </c>
      <c r="D168" t="s">
        <v>16</v>
      </c>
      <c r="E168">
        <v>176.51240000000001</v>
      </c>
      <c r="F168">
        <v>133.41679999999999</v>
      </c>
      <c r="G168">
        <v>0.3</v>
      </c>
      <c r="H168">
        <v>0.34894045282275199</v>
      </c>
      <c r="I168">
        <v>0.75584944740426196</v>
      </c>
      <c r="J168" t="s">
        <v>98</v>
      </c>
      <c r="K168" t="s">
        <v>145</v>
      </c>
      <c r="L168" t="s">
        <v>293</v>
      </c>
      <c r="M168" t="s">
        <v>29</v>
      </c>
    </row>
    <row r="169" spans="1:13" hidden="1" x14ac:dyDescent="0.3">
      <c r="A169" t="s">
        <v>392</v>
      </c>
      <c r="B169" t="s">
        <v>390</v>
      </c>
      <c r="C169" t="s">
        <v>393</v>
      </c>
      <c r="D169" t="s">
        <v>394</v>
      </c>
      <c r="E169">
        <v>788.08280000000002</v>
      </c>
      <c r="F169">
        <v>632.21199999999999</v>
      </c>
      <c r="G169">
        <v>0</v>
      </c>
      <c r="H169">
        <v>3.4684008136302402E-2</v>
      </c>
      <c r="I169">
        <v>0.80221519870754698</v>
      </c>
      <c r="J169" t="s">
        <v>17</v>
      </c>
      <c r="L169" t="s">
        <v>18</v>
      </c>
      <c r="M169" t="s">
        <v>29</v>
      </c>
    </row>
    <row r="170" spans="1:13" hidden="1" x14ac:dyDescent="0.3">
      <c r="A170" t="s">
        <v>395</v>
      </c>
      <c r="B170" t="s">
        <v>390</v>
      </c>
      <c r="C170" t="s">
        <v>396</v>
      </c>
      <c r="D170" t="s">
        <v>394</v>
      </c>
      <c r="E170">
        <v>214.07320000000001</v>
      </c>
      <c r="F170">
        <v>182.42080000000001</v>
      </c>
      <c r="G170">
        <v>0.1</v>
      </c>
      <c r="H170">
        <v>5.1621480574149302E-2</v>
      </c>
      <c r="I170">
        <v>0.85214216445589597</v>
      </c>
      <c r="J170" t="s">
        <v>17</v>
      </c>
      <c r="L170" t="s">
        <v>18</v>
      </c>
      <c r="M170" t="s">
        <v>29</v>
      </c>
    </row>
    <row r="171" spans="1:13" hidden="1" x14ac:dyDescent="0.3">
      <c r="A171" t="s">
        <v>397</v>
      </c>
      <c r="B171" t="s">
        <v>390</v>
      </c>
      <c r="C171" t="s">
        <v>398</v>
      </c>
      <c r="D171" t="s">
        <v>394</v>
      </c>
      <c r="E171">
        <v>1062.2747999999999</v>
      </c>
      <c r="F171">
        <v>884.35119999999995</v>
      </c>
      <c r="G171">
        <v>0</v>
      </c>
      <c r="H171">
        <v>3.05417904518256E-2</v>
      </c>
      <c r="I171">
        <v>0.83250699348228896</v>
      </c>
      <c r="J171" t="s">
        <v>17</v>
      </c>
      <c r="L171" t="s">
        <v>18</v>
      </c>
      <c r="M171" t="s">
        <v>24</v>
      </c>
    </row>
    <row r="172" spans="1:13" hidden="1" x14ac:dyDescent="0.3">
      <c r="A172" t="s">
        <v>399</v>
      </c>
      <c r="B172" t="s">
        <v>390</v>
      </c>
      <c r="C172" t="s">
        <v>400</v>
      </c>
      <c r="D172" t="s">
        <v>394</v>
      </c>
      <c r="E172">
        <v>389.35840000000002</v>
      </c>
      <c r="F172">
        <v>288.91039999999998</v>
      </c>
      <c r="G172">
        <v>0</v>
      </c>
      <c r="H172">
        <v>2.87855062682533E-2</v>
      </c>
      <c r="I172">
        <v>0.74201660988950002</v>
      </c>
      <c r="J172" t="s">
        <v>17</v>
      </c>
      <c r="L172" t="s">
        <v>18</v>
      </c>
      <c r="M172" t="s">
        <v>29</v>
      </c>
    </row>
    <row r="173" spans="1:13" hidden="1" x14ac:dyDescent="0.3">
      <c r="A173" t="s">
        <v>401</v>
      </c>
      <c r="B173" t="s">
        <v>390</v>
      </c>
      <c r="C173" t="s">
        <v>402</v>
      </c>
      <c r="D173" t="s">
        <v>16</v>
      </c>
      <c r="E173">
        <v>1029.4780000000001</v>
      </c>
      <c r="F173">
        <v>946.18640000000005</v>
      </c>
      <c r="G173">
        <v>0</v>
      </c>
      <c r="H173">
        <v>2.60574312597362E-2</v>
      </c>
      <c r="I173">
        <v>0.91909336576400902</v>
      </c>
      <c r="J173" t="s">
        <v>17</v>
      </c>
      <c r="L173" t="s">
        <v>18</v>
      </c>
      <c r="M173" t="s">
        <v>29</v>
      </c>
    </row>
    <row r="174" spans="1:13" hidden="1" x14ac:dyDescent="0.3">
      <c r="A174" t="s">
        <v>403</v>
      </c>
      <c r="B174" t="s">
        <v>390</v>
      </c>
      <c r="C174" t="s">
        <v>404</v>
      </c>
      <c r="D174" t="s">
        <v>16</v>
      </c>
      <c r="E174">
        <v>185.23439999999999</v>
      </c>
      <c r="F174">
        <v>150.9288</v>
      </c>
      <c r="G174">
        <v>0.1</v>
      </c>
      <c r="H174">
        <v>5.34738376257844E-2</v>
      </c>
      <c r="I174">
        <v>0.81479897902333498</v>
      </c>
      <c r="J174" t="s">
        <v>17</v>
      </c>
      <c r="L174" t="s">
        <v>18</v>
      </c>
      <c r="M174" t="s">
        <v>29</v>
      </c>
    </row>
    <row r="175" spans="1:13" hidden="1" x14ac:dyDescent="0.3">
      <c r="A175" t="s">
        <v>405</v>
      </c>
      <c r="B175" t="s">
        <v>390</v>
      </c>
      <c r="C175" t="s">
        <v>406</v>
      </c>
      <c r="D175" t="s">
        <v>16</v>
      </c>
      <c r="E175">
        <v>680.32079999999996</v>
      </c>
      <c r="F175">
        <v>514.94839999999999</v>
      </c>
      <c r="G175">
        <v>0.3</v>
      </c>
      <c r="H175">
        <v>0.25290981371195398</v>
      </c>
      <c r="I175">
        <v>0.756919970696177</v>
      </c>
      <c r="J175" t="s">
        <v>17</v>
      </c>
      <c r="L175" t="s">
        <v>18</v>
      </c>
      <c r="M175" t="s">
        <v>29</v>
      </c>
    </row>
    <row r="176" spans="1:13" hidden="1" x14ac:dyDescent="0.3">
      <c r="A176" t="s">
        <v>407</v>
      </c>
      <c r="B176" t="s">
        <v>390</v>
      </c>
      <c r="C176" t="s">
        <v>408</v>
      </c>
      <c r="D176" t="s">
        <v>167</v>
      </c>
      <c r="E176">
        <v>265.43079999999998</v>
      </c>
      <c r="F176">
        <v>244.24520000000001</v>
      </c>
      <c r="G176">
        <v>0.1</v>
      </c>
      <c r="H176">
        <v>8.8656749548884306E-2</v>
      </c>
      <c r="I176">
        <v>0.92018409317984196</v>
      </c>
      <c r="J176" t="s">
        <v>17</v>
      </c>
      <c r="L176" t="s">
        <v>18</v>
      </c>
      <c r="M176" t="s">
        <v>29</v>
      </c>
    </row>
    <row r="177" spans="1:13" hidden="1" x14ac:dyDescent="0.3">
      <c r="A177" t="s">
        <v>409</v>
      </c>
      <c r="B177" t="s">
        <v>390</v>
      </c>
      <c r="C177" t="s">
        <v>410</v>
      </c>
      <c r="D177" t="s">
        <v>167</v>
      </c>
      <c r="E177">
        <v>81.642799999999994</v>
      </c>
      <c r="F177">
        <v>81.260400000000004</v>
      </c>
      <c r="G177">
        <v>0</v>
      </c>
      <c r="H177">
        <v>4.4603307412152199E-4</v>
      </c>
      <c r="I177">
        <v>0.995316182198553</v>
      </c>
      <c r="J177" t="s">
        <v>17</v>
      </c>
      <c r="L177" t="s">
        <v>18</v>
      </c>
      <c r="M177" t="s">
        <v>29</v>
      </c>
    </row>
    <row r="178" spans="1:13" hidden="1" x14ac:dyDescent="0.3">
      <c r="A178" t="s">
        <v>411</v>
      </c>
      <c r="B178" t="s">
        <v>214</v>
      </c>
      <c r="C178" t="s">
        <v>412</v>
      </c>
      <c r="D178" t="s">
        <v>84</v>
      </c>
      <c r="E178">
        <v>497.67599999999999</v>
      </c>
      <c r="F178">
        <v>174.4068</v>
      </c>
      <c r="G178">
        <v>0.8</v>
      </c>
      <c r="H178">
        <v>0.82312947580216</v>
      </c>
      <c r="I178">
        <v>0.350442456537989</v>
      </c>
      <c r="J178" t="s">
        <v>76</v>
      </c>
      <c r="K178" t="s">
        <v>38</v>
      </c>
      <c r="L178" t="s">
        <v>18</v>
      </c>
      <c r="M178" t="s">
        <v>32</v>
      </c>
    </row>
    <row r="179" spans="1:13" hidden="1" x14ac:dyDescent="0.3">
      <c r="A179" t="s">
        <v>413</v>
      </c>
      <c r="B179" t="s">
        <v>214</v>
      </c>
      <c r="C179" t="s">
        <v>414</v>
      </c>
      <c r="D179" t="s">
        <v>84</v>
      </c>
      <c r="E179">
        <v>63.072000000000003</v>
      </c>
      <c r="F179">
        <v>36.533200000000001</v>
      </c>
      <c r="G179">
        <v>0.3</v>
      </c>
      <c r="H179">
        <v>0.33146349221885102</v>
      </c>
      <c r="I179">
        <v>0.57923008625063399</v>
      </c>
      <c r="J179" t="s">
        <v>37</v>
      </c>
      <c r="K179" t="s">
        <v>77</v>
      </c>
      <c r="L179" t="s">
        <v>18</v>
      </c>
      <c r="M179" t="s">
        <v>32</v>
      </c>
    </row>
    <row r="180" spans="1:13" hidden="1" x14ac:dyDescent="0.3">
      <c r="A180" t="s">
        <v>415</v>
      </c>
      <c r="B180" t="s">
        <v>214</v>
      </c>
      <c r="C180" t="s">
        <v>416</v>
      </c>
      <c r="D180" t="s">
        <v>84</v>
      </c>
      <c r="E180">
        <v>101.0616</v>
      </c>
      <c r="F180">
        <v>12.802</v>
      </c>
      <c r="G180">
        <v>1.2</v>
      </c>
      <c r="H180">
        <v>1.1911724898006499</v>
      </c>
      <c r="I180">
        <v>0.126675215907921</v>
      </c>
      <c r="J180" t="s">
        <v>37</v>
      </c>
      <c r="K180" t="s">
        <v>417</v>
      </c>
      <c r="L180" t="s">
        <v>18</v>
      </c>
      <c r="M180" t="s">
        <v>32</v>
      </c>
    </row>
    <row r="181" spans="1:13" hidden="1" x14ac:dyDescent="0.3">
      <c r="A181" t="s">
        <v>418</v>
      </c>
      <c r="B181" t="s">
        <v>214</v>
      </c>
      <c r="C181" t="s">
        <v>419</v>
      </c>
      <c r="D181" t="s">
        <v>84</v>
      </c>
      <c r="E181">
        <v>209.756</v>
      </c>
      <c r="F181">
        <v>28.494</v>
      </c>
      <c r="G181">
        <v>1</v>
      </c>
      <c r="H181">
        <v>1.0275827954962999</v>
      </c>
      <c r="I181">
        <v>0.13584355155514</v>
      </c>
      <c r="J181" t="s">
        <v>76</v>
      </c>
      <c r="K181" t="s">
        <v>420</v>
      </c>
      <c r="L181" t="s">
        <v>18</v>
      </c>
      <c r="M181" t="s">
        <v>32</v>
      </c>
    </row>
    <row r="182" spans="1:13" hidden="1" x14ac:dyDescent="0.3">
      <c r="A182" t="s">
        <v>421</v>
      </c>
      <c r="B182" t="s">
        <v>214</v>
      </c>
      <c r="C182" t="s">
        <v>422</v>
      </c>
      <c r="D182" t="s">
        <v>84</v>
      </c>
      <c r="E182">
        <v>219.49440000000001</v>
      </c>
      <c r="F182">
        <v>197.23759999999999</v>
      </c>
      <c r="G182">
        <v>0.1</v>
      </c>
      <c r="H182">
        <v>8.0061069954294004E-2</v>
      </c>
      <c r="I182">
        <v>0.89859969092605496</v>
      </c>
      <c r="J182" t="s">
        <v>17</v>
      </c>
      <c r="L182" t="s">
        <v>18</v>
      </c>
      <c r="M182" t="s">
        <v>19</v>
      </c>
    </row>
    <row r="183" spans="1:13" hidden="1" x14ac:dyDescent="0.3">
      <c r="A183" t="s">
        <v>423</v>
      </c>
      <c r="B183" t="s">
        <v>214</v>
      </c>
      <c r="C183" t="s">
        <v>424</v>
      </c>
      <c r="D183" t="s">
        <v>84</v>
      </c>
      <c r="E183">
        <v>578.92600000000004</v>
      </c>
      <c r="F183">
        <v>565.32560000000001</v>
      </c>
      <c r="G183">
        <v>0</v>
      </c>
      <c r="H183">
        <v>7.0287680903636501E-3</v>
      </c>
      <c r="I183">
        <v>0.97650753291439696</v>
      </c>
      <c r="J183" t="s">
        <v>17</v>
      </c>
      <c r="L183" t="s">
        <v>18</v>
      </c>
      <c r="M183" t="s">
        <v>32</v>
      </c>
    </row>
    <row r="184" spans="1:13" hidden="1" x14ac:dyDescent="0.3">
      <c r="A184" t="s">
        <v>425</v>
      </c>
      <c r="B184" t="s">
        <v>214</v>
      </c>
      <c r="C184" t="s">
        <v>426</v>
      </c>
      <c r="D184" t="s">
        <v>84</v>
      </c>
      <c r="E184">
        <v>305.53960000000001</v>
      </c>
      <c r="F184">
        <v>252.78800000000001</v>
      </c>
      <c r="G184">
        <v>0.1</v>
      </c>
      <c r="H184">
        <v>0.110805522571665</v>
      </c>
      <c r="I184">
        <v>0.82734938449876905</v>
      </c>
      <c r="J184" t="s">
        <v>17</v>
      </c>
      <c r="L184" t="s">
        <v>18</v>
      </c>
      <c r="M184" t="s">
        <v>32</v>
      </c>
    </row>
    <row r="185" spans="1:13" hidden="1" x14ac:dyDescent="0.3">
      <c r="A185" t="s">
        <v>427</v>
      </c>
      <c r="B185" t="s">
        <v>214</v>
      </c>
      <c r="C185" t="s">
        <v>428</v>
      </c>
      <c r="D185" t="s">
        <v>84</v>
      </c>
      <c r="E185">
        <v>951.34079999999994</v>
      </c>
      <c r="F185">
        <v>153.8836</v>
      </c>
      <c r="G185">
        <v>1.1000000000000001</v>
      </c>
      <c r="H185">
        <v>1.05818681705967</v>
      </c>
      <c r="I185">
        <v>0.161754441731081</v>
      </c>
      <c r="J185" t="s">
        <v>76</v>
      </c>
      <c r="K185" t="s">
        <v>429</v>
      </c>
      <c r="L185" t="s">
        <v>18</v>
      </c>
      <c r="M185" t="s">
        <v>32</v>
      </c>
    </row>
    <row r="186" spans="1:13" hidden="1" x14ac:dyDescent="0.3">
      <c r="A186" t="s">
        <v>430</v>
      </c>
      <c r="B186" t="s">
        <v>214</v>
      </c>
      <c r="C186" t="s">
        <v>431</v>
      </c>
      <c r="D186" t="s">
        <v>84</v>
      </c>
      <c r="E186">
        <v>19.175599999999999</v>
      </c>
      <c r="F186">
        <v>18.833200000000001</v>
      </c>
      <c r="G186">
        <v>0</v>
      </c>
      <c r="H186">
        <v>2.71733409129188E-2</v>
      </c>
      <c r="I186">
        <v>0.98214397463443104</v>
      </c>
      <c r="J186" t="s">
        <v>17</v>
      </c>
      <c r="L186" t="s">
        <v>18</v>
      </c>
      <c r="M186" t="s">
        <v>24</v>
      </c>
    </row>
    <row r="187" spans="1:13" hidden="1" x14ac:dyDescent="0.3">
      <c r="A187" t="s">
        <v>432</v>
      </c>
      <c r="B187" t="s">
        <v>214</v>
      </c>
      <c r="C187" t="s">
        <v>433</v>
      </c>
      <c r="D187" t="s">
        <v>84</v>
      </c>
      <c r="E187">
        <v>501.68880000000001</v>
      </c>
      <c r="F187">
        <v>432.68119999999999</v>
      </c>
      <c r="G187">
        <v>0.1</v>
      </c>
      <c r="H187">
        <v>9.4929978881168206E-2</v>
      </c>
      <c r="I187">
        <v>0.86244939093717099</v>
      </c>
      <c r="J187" t="s">
        <v>17</v>
      </c>
      <c r="L187" t="s">
        <v>18</v>
      </c>
      <c r="M187" t="s">
        <v>19</v>
      </c>
    </row>
    <row r="188" spans="1:13" hidden="1" x14ac:dyDescent="0.3">
      <c r="A188" t="s">
        <v>434</v>
      </c>
      <c r="B188" t="s">
        <v>214</v>
      </c>
      <c r="C188" t="s">
        <v>435</v>
      </c>
      <c r="D188" t="s">
        <v>84</v>
      </c>
      <c r="E188">
        <v>207.30600000000001</v>
      </c>
      <c r="F188">
        <v>196.04640000000001</v>
      </c>
      <c r="G188">
        <v>0.1</v>
      </c>
      <c r="H188">
        <v>6.6595046207177502E-2</v>
      </c>
      <c r="I188">
        <v>0.945686087233365</v>
      </c>
      <c r="J188" t="s">
        <v>17</v>
      </c>
      <c r="L188" t="s">
        <v>18</v>
      </c>
      <c r="M188" t="s">
        <v>19</v>
      </c>
    </row>
    <row r="189" spans="1:13" hidden="1" x14ac:dyDescent="0.3">
      <c r="A189" t="s">
        <v>436</v>
      </c>
      <c r="B189" t="s">
        <v>214</v>
      </c>
      <c r="C189" t="s">
        <v>437</v>
      </c>
      <c r="D189" t="s">
        <v>84</v>
      </c>
      <c r="E189">
        <v>25.273599999999998</v>
      </c>
      <c r="F189">
        <v>2.5131999999999999</v>
      </c>
      <c r="G189">
        <v>1.2</v>
      </c>
      <c r="H189">
        <v>1.2244700416223</v>
      </c>
      <c r="I189">
        <v>9.9439731577614598E-2</v>
      </c>
      <c r="J189" t="s">
        <v>37</v>
      </c>
      <c r="K189" t="s">
        <v>438</v>
      </c>
      <c r="L189" t="s">
        <v>18</v>
      </c>
      <c r="M189" t="s">
        <v>19</v>
      </c>
    </row>
    <row r="190" spans="1:13" hidden="1" x14ac:dyDescent="0.3">
      <c r="A190" t="s">
        <v>439</v>
      </c>
      <c r="B190" t="s">
        <v>214</v>
      </c>
      <c r="C190" t="s">
        <v>440</v>
      </c>
      <c r="D190" t="s">
        <v>84</v>
      </c>
      <c r="E190">
        <v>1193.6704</v>
      </c>
      <c r="F190">
        <v>153.04920000000001</v>
      </c>
      <c r="G190">
        <v>1.1000000000000001</v>
      </c>
      <c r="H190">
        <v>1.0816430635566501</v>
      </c>
      <c r="I190">
        <v>0.12821730353705699</v>
      </c>
      <c r="J190" t="s">
        <v>37</v>
      </c>
      <c r="K190" t="s">
        <v>239</v>
      </c>
      <c r="L190" t="s">
        <v>18</v>
      </c>
      <c r="M190" t="s">
        <v>32</v>
      </c>
    </row>
    <row r="191" spans="1:13" hidden="1" x14ac:dyDescent="0.3">
      <c r="A191" t="s">
        <v>441</v>
      </c>
      <c r="B191" t="s">
        <v>214</v>
      </c>
      <c r="C191" t="s">
        <v>442</v>
      </c>
      <c r="D191" t="s">
        <v>84</v>
      </c>
      <c r="E191">
        <v>2027.5060000000001</v>
      </c>
      <c r="F191">
        <v>195.70519999999999</v>
      </c>
      <c r="G191">
        <v>1.2</v>
      </c>
      <c r="H191">
        <v>1.1639619155480201</v>
      </c>
      <c r="I191">
        <v>9.6525090431298297E-2</v>
      </c>
      <c r="J191" t="s">
        <v>37</v>
      </c>
      <c r="K191" t="s">
        <v>175</v>
      </c>
      <c r="L191" t="s">
        <v>18</v>
      </c>
      <c r="M191" t="s">
        <v>32</v>
      </c>
    </row>
    <row r="192" spans="1:13" hidden="1" x14ac:dyDescent="0.3">
      <c r="A192" t="s">
        <v>443</v>
      </c>
      <c r="B192" t="s">
        <v>214</v>
      </c>
      <c r="C192" t="s">
        <v>444</v>
      </c>
      <c r="D192" t="s">
        <v>84</v>
      </c>
      <c r="E192">
        <v>2762.57</v>
      </c>
      <c r="F192">
        <v>397.76560000000001</v>
      </c>
      <c r="G192">
        <v>1.1000000000000001</v>
      </c>
      <c r="H192">
        <v>1.07282581562457</v>
      </c>
      <c r="I192">
        <v>0.143983899050522</v>
      </c>
      <c r="J192" t="s">
        <v>76</v>
      </c>
      <c r="K192" t="s">
        <v>429</v>
      </c>
      <c r="L192" t="s">
        <v>18</v>
      </c>
      <c r="M192" t="s">
        <v>32</v>
      </c>
    </row>
    <row r="193" spans="1:13" hidden="1" x14ac:dyDescent="0.3">
      <c r="A193" t="s">
        <v>445</v>
      </c>
      <c r="B193" t="s">
        <v>214</v>
      </c>
      <c r="C193" t="s">
        <v>446</v>
      </c>
      <c r="D193" t="s">
        <v>84</v>
      </c>
      <c r="E193">
        <v>866.5308</v>
      </c>
      <c r="F193">
        <v>326.54520000000002</v>
      </c>
      <c r="G193">
        <v>0.6</v>
      </c>
      <c r="H193">
        <v>0.58949952095379898</v>
      </c>
      <c r="I193">
        <v>0.37684200030743298</v>
      </c>
      <c r="J193" t="s">
        <v>37</v>
      </c>
      <c r="K193" t="s">
        <v>38</v>
      </c>
      <c r="L193" t="s">
        <v>18</v>
      </c>
      <c r="M193" t="s">
        <v>32</v>
      </c>
    </row>
    <row r="194" spans="1:13" hidden="1" x14ac:dyDescent="0.3">
      <c r="A194" t="s">
        <v>447</v>
      </c>
      <c r="B194" t="s">
        <v>214</v>
      </c>
      <c r="C194" t="s">
        <v>448</v>
      </c>
      <c r="D194" t="s">
        <v>84</v>
      </c>
      <c r="E194">
        <v>276.41039999999998</v>
      </c>
      <c r="F194">
        <v>264.24400000000003</v>
      </c>
      <c r="G194">
        <v>0</v>
      </c>
      <c r="H194">
        <v>2.6119145333529301E-2</v>
      </c>
      <c r="I194">
        <v>0.95598429002671403</v>
      </c>
      <c r="J194" t="s">
        <v>17</v>
      </c>
      <c r="L194" t="s">
        <v>18</v>
      </c>
      <c r="M194" t="s">
        <v>19</v>
      </c>
    </row>
    <row r="195" spans="1:13" hidden="1" x14ac:dyDescent="0.3">
      <c r="A195" t="s">
        <v>449</v>
      </c>
      <c r="B195" t="s">
        <v>214</v>
      </c>
      <c r="C195" t="s">
        <v>450</v>
      </c>
      <c r="D195" t="s">
        <v>84</v>
      </c>
      <c r="E195">
        <v>1347.8643999999999</v>
      </c>
      <c r="F195">
        <v>1104.1168</v>
      </c>
      <c r="G195">
        <v>0.1</v>
      </c>
      <c r="H195">
        <v>9.4901216934581201E-2</v>
      </c>
      <c r="I195">
        <v>0.81916014697027395</v>
      </c>
      <c r="J195" t="s">
        <v>17</v>
      </c>
      <c r="L195" t="s">
        <v>18</v>
      </c>
      <c r="M195" t="s">
        <v>19</v>
      </c>
    </row>
    <row r="196" spans="1:13" hidden="1" x14ac:dyDescent="0.3">
      <c r="A196" t="s">
        <v>451</v>
      </c>
      <c r="B196" t="s">
        <v>214</v>
      </c>
      <c r="C196" t="s">
        <v>452</v>
      </c>
      <c r="D196" t="s">
        <v>84</v>
      </c>
      <c r="E196">
        <v>207.13839999999999</v>
      </c>
      <c r="F196">
        <v>64.168800000000005</v>
      </c>
      <c r="G196">
        <v>0.7</v>
      </c>
      <c r="H196">
        <v>0.67924442005122498</v>
      </c>
      <c r="I196">
        <v>0.309787079556471</v>
      </c>
      <c r="J196" t="s">
        <v>76</v>
      </c>
      <c r="K196" t="s">
        <v>38</v>
      </c>
      <c r="L196" t="s">
        <v>18</v>
      </c>
      <c r="M196" t="s">
        <v>32</v>
      </c>
    </row>
    <row r="197" spans="1:13" hidden="1" x14ac:dyDescent="0.3">
      <c r="A197" t="s">
        <v>453</v>
      </c>
      <c r="B197" t="s">
        <v>214</v>
      </c>
      <c r="C197" t="s">
        <v>454</v>
      </c>
      <c r="D197" t="s">
        <v>84</v>
      </c>
      <c r="E197">
        <v>118.72239999999999</v>
      </c>
      <c r="F197">
        <v>118.6764</v>
      </c>
      <c r="G197">
        <v>0</v>
      </c>
      <c r="H197">
        <v>3.0542262065250299E-4</v>
      </c>
      <c r="I197">
        <v>0.99961254152544099</v>
      </c>
      <c r="J197" t="s">
        <v>17</v>
      </c>
      <c r="L197" t="s">
        <v>18</v>
      </c>
      <c r="M197" t="s">
        <v>29</v>
      </c>
    </row>
    <row r="198" spans="1:13" hidden="1" x14ac:dyDescent="0.3">
      <c r="A198" t="s">
        <v>455</v>
      </c>
      <c r="B198" t="s">
        <v>214</v>
      </c>
      <c r="C198" t="s">
        <v>456</v>
      </c>
      <c r="D198" t="s">
        <v>84</v>
      </c>
      <c r="E198">
        <v>373.15</v>
      </c>
      <c r="F198">
        <v>155.89080000000001</v>
      </c>
      <c r="G198">
        <v>0.4</v>
      </c>
      <c r="H198">
        <v>0.38235964734495298</v>
      </c>
      <c r="I198">
        <v>0.41776979766849798</v>
      </c>
      <c r="J198" t="s">
        <v>76</v>
      </c>
      <c r="K198" t="s">
        <v>206</v>
      </c>
      <c r="L198" t="s">
        <v>18</v>
      </c>
      <c r="M198" t="s">
        <v>32</v>
      </c>
    </row>
    <row r="199" spans="1:13" hidden="1" x14ac:dyDescent="0.3">
      <c r="A199" t="s">
        <v>457</v>
      </c>
      <c r="B199" t="s">
        <v>214</v>
      </c>
      <c r="C199" t="s">
        <v>458</v>
      </c>
      <c r="D199" t="s">
        <v>84</v>
      </c>
      <c r="E199">
        <v>218.83680000000001</v>
      </c>
      <c r="F199">
        <v>104.33839999999999</v>
      </c>
      <c r="G199">
        <v>0.4</v>
      </c>
      <c r="H199">
        <v>0.36985148481386598</v>
      </c>
      <c r="I199">
        <v>0.47678635403186298</v>
      </c>
      <c r="J199" t="s">
        <v>37</v>
      </c>
      <c r="K199" t="s">
        <v>38</v>
      </c>
      <c r="L199" t="s">
        <v>18</v>
      </c>
      <c r="M199" t="s">
        <v>32</v>
      </c>
    </row>
    <row r="200" spans="1:13" hidden="1" x14ac:dyDescent="0.3">
      <c r="A200" t="s">
        <v>459</v>
      </c>
      <c r="B200" t="s">
        <v>214</v>
      </c>
      <c r="C200" t="s">
        <v>460</v>
      </c>
      <c r="D200" t="s">
        <v>84</v>
      </c>
      <c r="E200">
        <v>46.991199999999999</v>
      </c>
      <c r="F200">
        <v>11.437200000000001</v>
      </c>
      <c r="G200">
        <v>0.9</v>
      </c>
      <c r="H200">
        <v>0.90051471320454102</v>
      </c>
      <c r="I200">
        <v>0.243390251791825</v>
      </c>
      <c r="J200" t="s">
        <v>37</v>
      </c>
      <c r="K200" t="s">
        <v>38</v>
      </c>
      <c r="L200" t="s">
        <v>18</v>
      </c>
      <c r="M200" t="s">
        <v>32</v>
      </c>
    </row>
    <row r="201" spans="1:13" hidden="1" x14ac:dyDescent="0.3">
      <c r="A201" t="s">
        <v>461</v>
      </c>
      <c r="B201" t="s">
        <v>214</v>
      </c>
      <c r="C201" t="s">
        <v>462</v>
      </c>
      <c r="D201" t="s">
        <v>84</v>
      </c>
      <c r="E201">
        <v>3217.4720000000002</v>
      </c>
      <c r="F201">
        <v>3148.2664</v>
      </c>
      <c r="G201">
        <v>0</v>
      </c>
      <c r="H201">
        <v>1.40766264286114E-2</v>
      </c>
      <c r="I201">
        <v>0.97849069082807905</v>
      </c>
      <c r="J201" t="s">
        <v>17</v>
      </c>
      <c r="L201" t="s">
        <v>18</v>
      </c>
      <c r="M201" t="s">
        <v>19</v>
      </c>
    </row>
    <row r="202" spans="1:13" hidden="1" x14ac:dyDescent="0.3">
      <c r="A202" t="s">
        <v>463</v>
      </c>
      <c r="B202" t="s">
        <v>214</v>
      </c>
      <c r="C202" t="s">
        <v>464</v>
      </c>
      <c r="D202" t="s">
        <v>84</v>
      </c>
      <c r="E202">
        <v>491.74959999999999</v>
      </c>
      <c r="F202">
        <v>211.3784</v>
      </c>
      <c r="G202">
        <v>0.5</v>
      </c>
      <c r="H202">
        <v>0.52469932827148802</v>
      </c>
      <c r="I202">
        <v>0.42984966332458602</v>
      </c>
      <c r="J202" t="s">
        <v>37</v>
      </c>
      <c r="K202" t="s">
        <v>38</v>
      </c>
      <c r="L202" t="s">
        <v>18</v>
      </c>
      <c r="M202" t="s">
        <v>19</v>
      </c>
    </row>
    <row r="203" spans="1:13" hidden="1" x14ac:dyDescent="0.3">
      <c r="A203" t="s">
        <v>465</v>
      </c>
      <c r="B203" t="s">
        <v>214</v>
      </c>
      <c r="C203" t="s">
        <v>466</v>
      </c>
      <c r="D203" t="s">
        <v>84</v>
      </c>
      <c r="E203">
        <v>1236.5136</v>
      </c>
      <c r="F203">
        <v>1199.1376</v>
      </c>
      <c r="G203">
        <v>0</v>
      </c>
      <c r="H203">
        <v>8.6343828484939603E-3</v>
      </c>
      <c r="I203">
        <v>0.969773078112525</v>
      </c>
      <c r="J203" t="s">
        <v>17</v>
      </c>
      <c r="L203" t="s">
        <v>18</v>
      </c>
      <c r="M203" t="s">
        <v>32</v>
      </c>
    </row>
    <row r="204" spans="1:13" hidden="1" x14ac:dyDescent="0.3">
      <c r="A204" t="s">
        <v>467</v>
      </c>
      <c r="B204" t="s">
        <v>214</v>
      </c>
      <c r="C204" t="s">
        <v>468</v>
      </c>
      <c r="D204" t="s">
        <v>84</v>
      </c>
      <c r="E204">
        <v>2095.8456000000001</v>
      </c>
      <c r="F204">
        <v>1809.9880000000001</v>
      </c>
      <c r="G204">
        <v>0.1</v>
      </c>
      <c r="H204">
        <v>5.1626229629339798E-2</v>
      </c>
      <c r="I204">
        <v>0.86360751001886804</v>
      </c>
      <c r="J204" t="s">
        <v>17</v>
      </c>
      <c r="L204" t="s">
        <v>18</v>
      </c>
      <c r="M204" t="s">
        <v>19</v>
      </c>
    </row>
    <row r="205" spans="1:13" hidden="1" x14ac:dyDescent="0.3">
      <c r="A205" t="s">
        <v>469</v>
      </c>
      <c r="B205" t="s">
        <v>214</v>
      </c>
      <c r="C205" t="s">
        <v>470</v>
      </c>
      <c r="D205" t="s">
        <v>84</v>
      </c>
      <c r="E205">
        <v>1607.8492000000001</v>
      </c>
      <c r="F205">
        <v>1293.4608000000001</v>
      </c>
      <c r="G205">
        <v>0.1</v>
      </c>
      <c r="H205">
        <v>0.114728451360096</v>
      </c>
      <c r="I205">
        <v>0.80446648852392399</v>
      </c>
      <c r="J205" t="s">
        <v>17</v>
      </c>
      <c r="L205" t="s">
        <v>18</v>
      </c>
      <c r="M205" t="s">
        <v>19</v>
      </c>
    </row>
    <row r="206" spans="1:13" hidden="1" x14ac:dyDescent="0.3">
      <c r="A206" t="s">
        <v>471</v>
      </c>
      <c r="B206" t="s">
        <v>214</v>
      </c>
      <c r="C206" t="s">
        <v>472</v>
      </c>
      <c r="D206" t="s">
        <v>84</v>
      </c>
      <c r="E206">
        <v>1049.7592</v>
      </c>
      <c r="F206">
        <v>616.48119999999994</v>
      </c>
      <c r="G206">
        <v>0.3</v>
      </c>
      <c r="H206">
        <v>0.28187503615698301</v>
      </c>
      <c r="I206">
        <v>0.58725963058956798</v>
      </c>
      <c r="J206" t="s">
        <v>76</v>
      </c>
      <c r="K206" t="s">
        <v>77</v>
      </c>
      <c r="L206" t="s">
        <v>18</v>
      </c>
      <c r="M206" t="s">
        <v>19</v>
      </c>
    </row>
    <row r="207" spans="1:13" hidden="1" x14ac:dyDescent="0.3">
      <c r="A207" t="s">
        <v>473</v>
      </c>
      <c r="B207" t="s">
        <v>214</v>
      </c>
      <c r="C207" t="s">
        <v>474</v>
      </c>
      <c r="D207" t="s">
        <v>84</v>
      </c>
      <c r="E207">
        <v>4963.7543999999998</v>
      </c>
      <c r="F207">
        <v>486.23759999999999</v>
      </c>
      <c r="G207">
        <v>1.2</v>
      </c>
      <c r="H207">
        <v>1.23950969813145</v>
      </c>
      <c r="I207">
        <v>9.7957626590066599E-2</v>
      </c>
      <c r="J207" t="s">
        <v>37</v>
      </c>
      <c r="K207" t="s">
        <v>175</v>
      </c>
      <c r="L207" t="s">
        <v>18</v>
      </c>
      <c r="M207" t="s">
        <v>32</v>
      </c>
    </row>
    <row r="208" spans="1:13" hidden="1" x14ac:dyDescent="0.3">
      <c r="A208" t="s">
        <v>475</v>
      </c>
      <c r="B208" t="s">
        <v>214</v>
      </c>
      <c r="C208" t="s">
        <v>476</v>
      </c>
      <c r="D208" t="s">
        <v>84</v>
      </c>
      <c r="E208">
        <v>354.27760000000001</v>
      </c>
      <c r="F208">
        <v>235.792</v>
      </c>
      <c r="G208">
        <v>0.4</v>
      </c>
      <c r="H208">
        <v>0.39325083526238303</v>
      </c>
      <c r="I208">
        <v>0.66555717889022603</v>
      </c>
      <c r="J208" t="s">
        <v>37</v>
      </c>
      <c r="K208" t="s">
        <v>38</v>
      </c>
      <c r="L208" t="s">
        <v>18</v>
      </c>
      <c r="M208" t="s">
        <v>19</v>
      </c>
    </row>
    <row r="209" spans="1:13" hidden="1" x14ac:dyDescent="0.3">
      <c r="A209" t="s">
        <v>477</v>
      </c>
      <c r="B209" t="s">
        <v>214</v>
      </c>
      <c r="C209" t="s">
        <v>478</v>
      </c>
      <c r="E209">
        <v>322.87599999999998</v>
      </c>
      <c r="F209">
        <v>305.54199999999997</v>
      </c>
      <c r="G209">
        <v>0.1</v>
      </c>
      <c r="H209">
        <v>6.2524055423696198E-2</v>
      </c>
      <c r="I209">
        <v>0.94631375512580695</v>
      </c>
      <c r="J209" t="s">
        <v>76</v>
      </c>
      <c r="K209" t="s">
        <v>95</v>
      </c>
      <c r="L209" t="s">
        <v>18</v>
      </c>
      <c r="M209" t="s">
        <v>24</v>
      </c>
    </row>
    <row r="210" spans="1:13" hidden="1" x14ac:dyDescent="0.3">
      <c r="A210" t="s">
        <v>479</v>
      </c>
      <c r="B210" t="s">
        <v>214</v>
      </c>
      <c r="C210" t="s">
        <v>480</v>
      </c>
      <c r="E210">
        <v>39.6004</v>
      </c>
      <c r="F210">
        <v>39.448</v>
      </c>
      <c r="G210">
        <v>0</v>
      </c>
      <c r="H210">
        <v>1.19635046818656E-2</v>
      </c>
      <c r="I210">
        <v>0.99615155402470701</v>
      </c>
      <c r="J210" t="s">
        <v>37</v>
      </c>
      <c r="K210" t="s">
        <v>95</v>
      </c>
      <c r="L210" t="s">
        <v>18</v>
      </c>
      <c r="M210" t="s">
        <v>19</v>
      </c>
    </row>
    <row r="211" spans="1:13" hidden="1" x14ac:dyDescent="0.3">
      <c r="A211" t="s">
        <v>481</v>
      </c>
      <c r="B211" t="s">
        <v>214</v>
      </c>
      <c r="C211" t="s">
        <v>482</v>
      </c>
      <c r="E211">
        <v>119.0592</v>
      </c>
      <c r="F211">
        <v>91.006399999999999</v>
      </c>
      <c r="G211">
        <v>0.2</v>
      </c>
      <c r="H211">
        <v>0.24311283739142101</v>
      </c>
      <c r="I211">
        <v>0.76437940117185399</v>
      </c>
      <c r="J211" t="s">
        <v>76</v>
      </c>
      <c r="K211" t="s">
        <v>483</v>
      </c>
      <c r="L211" t="s">
        <v>18</v>
      </c>
      <c r="M211" t="s">
        <v>19</v>
      </c>
    </row>
    <row r="212" spans="1:13" hidden="1" x14ac:dyDescent="0.3">
      <c r="A212" t="s">
        <v>484</v>
      </c>
      <c r="B212" t="s">
        <v>214</v>
      </c>
      <c r="C212" t="s">
        <v>485</v>
      </c>
      <c r="E212">
        <v>41.643999999999998</v>
      </c>
      <c r="F212">
        <v>35.144399999999997</v>
      </c>
      <c r="G212">
        <v>0.1</v>
      </c>
      <c r="H212">
        <v>0.123757979537406</v>
      </c>
      <c r="I212">
        <v>0.84392469503409895</v>
      </c>
      <c r="J212" t="s">
        <v>17</v>
      </c>
      <c r="L212" t="s">
        <v>18</v>
      </c>
      <c r="M212" t="s">
        <v>29</v>
      </c>
    </row>
    <row r="213" spans="1:13" hidden="1" x14ac:dyDescent="0.3">
      <c r="A213" t="s">
        <v>486</v>
      </c>
      <c r="B213" t="s">
        <v>214</v>
      </c>
      <c r="C213" t="s">
        <v>487</v>
      </c>
      <c r="E213">
        <v>96.925200000000004</v>
      </c>
      <c r="F213">
        <v>84.932400000000001</v>
      </c>
      <c r="G213">
        <v>0.2</v>
      </c>
      <c r="H213">
        <v>0.19077291983585101</v>
      </c>
      <c r="I213">
        <v>0.87626747223632195</v>
      </c>
      <c r="J213" t="s">
        <v>37</v>
      </c>
      <c r="K213" t="s">
        <v>95</v>
      </c>
      <c r="L213" t="s">
        <v>18</v>
      </c>
      <c r="M213" t="s">
        <v>19</v>
      </c>
    </row>
    <row r="214" spans="1:13" hidden="1" x14ac:dyDescent="0.3">
      <c r="A214" t="s">
        <v>488</v>
      </c>
      <c r="B214" t="s">
        <v>214</v>
      </c>
      <c r="C214" t="s">
        <v>489</v>
      </c>
      <c r="D214" t="s">
        <v>84</v>
      </c>
      <c r="E214">
        <v>298.82440000000003</v>
      </c>
      <c r="F214">
        <v>78.304400000000001</v>
      </c>
      <c r="G214">
        <v>0.6</v>
      </c>
      <c r="H214">
        <v>0.59654077132595196</v>
      </c>
      <c r="I214">
        <v>0.26204152003651598</v>
      </c>
      <c r="J214" t="s">
        <v>37</v>
      </c>
      <c r="K214" t="s">
        <v>239</v>
      </c>
      <c r="L214" t="s">
        <v>18</v>
      </c>
      <c r="M214" t="s">
        <v>19</v>
      </c>
    </row>
    <row r="215" spans="1:13" hidden="1" x14ac:dyDescent="0.3">
      <c r="A215" t="s">
        <v>490</v>
      </c>
      <c r="B215" t="s">
        <v>214</v>
      </c>
      <c r="C215" t="s">
        <v>491</v>
      </c>
      <c r="D215" t="s">
        <v>84</v>
      </c>
      <c r="E215">
        <v>1643.4048</v>
      </c>
      <c r="F215">
        <v>580.84879999999998</v>
      </c>
      <c r="G215">
        <v>0.5</v>
      </c>
      <c r="H215">
        <v>0.46337211211975698</v>
      </c>
      <c r="I215">
        <v>0.35344231682906102</v>
      </c>
      <c r="J215" t="s">
        <v>76</v>
      </c>
      <c r="K215" t="s">
        <v>239</v>
      </c>
      <c r="L215" t="s">
        <v>18</v>
      </c>
      <c r="M215" t="s">
        <v>19</v>
      </c>
    </row>
    <row r="216" spans="1:13" hidden="1" x14ac:dyDescent="0.3">
      <c r="A216" t="s">
        <v>492</v>
      </c>
      <c r="B216" t="s">
        <v>214</v>
      </c>
      <c r="C216" t="s">
        <v>493</v>
      </c>
      <c r="D216" t="s">
        <v>84</v>
      </c>
      <c r="E216">
        <v>61.564</v>
      </c>
      <c r="F216">
        <v>49.529600000000002</v>
      </c>
      <c r="G216">
        <v>0.1</v>
      </c>
      <c r="H216">
        <v>9.5183378486305203E-2</v>
      </c>
      <c r="I216">
        <v>0.804522123318823</v>
      </c>
      <c r="J216" t="s">
        <v>37</v>
      </c>
      <c r="K216" t="s">
        <v>77</v>
      </c>
      <c r="L216" t="s">
        <v>293</v>
      </c>
      <c r="M216" t="s">
        <v>24</v>
      </c>
    </row>
    <row r="217" spans="1:13" hidden="1" x14ac:dyDescent="0.3">
      <c r="A217" t="s">
        <v>494</v>
      </c>
      <c r="B217" t="s">
        <v>214</v>
      </c>
      <c r="C217" t="s">
        <v>495</v>
      </c>
      <c r="D217" t="s">
        <v>84</v>
      </c>
      <c r="E217">
        <v>342.2724</v>
      </c>
      <c r="F217">
        <v>293.00080000000003</v>
      </c>
      <c r="G217">
        <v>0.1</v>
      </c>
      <c r="H217">
        <v>0.13217426377913599</v>
      </c>
      <c r="I217">
        <v>0.856045652527052</v>
      </c>
      <c r="J217" t="s">
        <v>76</v>
      </c>
      <c r="K217" t="s">
        <v>77</v>
      </c>
      <c r="L217" t="s">
        <v>18</v>
      </c>
      <c r="M217" t="s">
        <v>29</v>
      </c>
    </row>
    <row r="218" spans="1:13" hidden="1" x14ac:dyDescent="0.3">
      <c r="A218" t="s">
        <v>496</v>
      </c>
      <c r="B218" t="s">
        <v>214</v>
      </c>
      <c r="C218" t="s">
        <v>497</v>
      </c>
      <c r="D218" t="s">
        <v>84</v>
      </c>
      <c r="E218">
        <v>394.28919999999999</v>
      </c>
      <c r="F218">
        <v>183.1524</v>
      </c>
      <c r="G218">
        <v>1</v>
      </c>
      <c r="H218">
        <v>0.96934559544667698</v>
      </c>
      <c r="I218">
        <v>0.46451284995886299</v>
      </c>
      <c r="J218" t="s">
        <v>76</v>
      </c>
      <c r="K218" t="s">
        <v>498</v>
      </c>
      <c r="L218" t="s">
        <v>18</v>
      </c>
      <c r="M218" t="s">
        <v>24</v>
      </c>
    </row>
    <row r="219" spans="1:13" hidden="1" x14ac:dyDescent="0.3">
      <c r="A219" t="s">
        <v>499</v>
      </c>
      <c r="B219" t="s">
        <v>214</v>
      </c>
      <c r="C219" t="s">
        <v>500</v>
      </c>
      <c r="D219" t="s">
        <v>84</v>
      </c>
      <c r="E219">
        <v>46.828800000000001</v>
      </c>
      <c r="F219">
        <v>37.494799999999998</v>
      </c>
      <c r="G219">
        <v>0.2</v>
      </c>
      <c r="H219">
        <v>0.15089904866335699</v>
      </c>
      <c r="I219">
        <v>0.80067821511548398</v>
      </c>
      <c r="J219" t="s">
        <v>76</v>
      </c>
      <c r="K219" t="s">
        <v>501</v>
      </c>
      <c r="L219" t="s">
        <v>18</v>
      </c>
      <c r="M219" t="s">
        <v>24</v>
      </c>
    </row>
    <row r="220" spans="1:13" hidden="1" x14ac:dyDescent="0.3">
      <c r="A220" t="s">
        <v>502</v>
      </c>
      <c r="B220" t="s">
        <v>214</v>
      </c>
      <c r="C220" t="s">
        <v>503</v>
      </c>
      <c r="D220" t="s">
        <v>84</v>
      </c>
      <c r="E220">
        <v>27.99</v>
      </c>
      <c r="F220">
        <v>12.3604</v>
      </c>
      <c r="G220">
        <v>0.5</v>
      </c>
      <c r="H220">
        <v>0.52418594629534898</v>
      </c>
      <c r="I220">
        <v>0.44160057163272598</v>
      </c>
      <c r="J220" t="s">
        <v>37</v>
      </c>
      <c r="K220" t="s">
        <v>504</v>
      </c>
      <c r="L220" t="s">
        <v>18</v>
      </c>
      <c r="M220" t="s">
        <v>32</v>
      </c>
    </row>
    <row r="221" spans="1:13" x14ac:dyDescent="0.3">
      <c r="A221" t="s">
        <v>505</v>
      </c>
      <c r="B221" t="s">
        <v>506</v>
      </c>
      <c r="C221" t="s">
        <v>507</v>
      </c>
      <c r="D221" t="s">
        <v>133</v>
      </c>
      <c r="E221">
        <v>5026.9467999999997</v>
      </c>
      <c r="F221">
        <v>4202.9276</v>
      </c>
      <c r="G221">
        <v>0.1</v>
      </c>
      <c r="H221">
        <v>0.138188497281063</v>
      </c>
      <c r="I221">
        <v>0.83607958612173905</v>
      </c>
      <c r="J221" t="s">
        <v>17</v>
      </c>
      <c r="L221" t="s">
        <v>18</v>
      </c>
      <c r="M221" t="s">
        <v>19</v>
      </c>
    </row>
    <row r="222" spans="1:13" x14ac:dyDescent="0.3">
      <c r="A222" t="s">
        <v>508</v>
      </c>
      <c r="B222" t="s">
        <v>506</v>
      </c>
      <c r="C222" t="s">
        <v>509</v>
      </c>
      <c r="D222" t="s">
        <v>133</v>
      </c>
      <c r="E222">
        <v>2830.788</v>
      </c>
      <c r="F222">
        <v>2753.2840000000001</v>
      </c>
      <c r="G222">
        <v>0</v>
      </c>
      <c r="H222">
        <v>2.77693831564525E-3</v>
      </c>
      <c r="I222">
        <v>0.97262105109955299</v>
      </c>
      <c r="J222" t="s">
        <v>17</v>
      </c>
      <c r="L222" t="s">
        <v>18</v>
      </c>
      <c r="M222" t="s">
        <v>29</v>
      </c>
    </row>
    <row r="223" spans="1:13" x14ac:dyDescent="0.3">
      <c r="A223" t="s">
        <v>510</v>
      </c>
      <c r="B223" t="s">
        <v>506</v>
      </c>
      <c r="C223" t="s">
        <v>511</v>
      </c>
      <c r="D223" t="s">
        <v>133</v>
      </c>
      <c r="E223">
        <v>158.3236</v>
      </c>
      <c r="F223">
        <v>153.58600000000001</v>
      </c>
      <c r="G223">
        <v>0.1</v>
      </c>
      <c r="H223">
        <v>5.0391343675209199E-2</v>
      </c>
      <c r="I223">
        <v>0.97007647628022597</v>
      </c>
      <c r="J223" t="s">
        <v>17</v>
      </c>
      <c r="L223" t="s">
        <v>18</v>
      </c>
      <c r="M223" t="s">
        <v>32</v>
      </c>
    </row>
    <row r="224" spans="1:13" x14ac:dyDescent="0.3">
      <c r="A224" t="s">
        <v>512</v>
      </c>
      <c r="B224" t="s">
        <v>506</v>
      </c>
      <c r="C224" t="s">
        <v>513</v>
      </c>
      <c r="D224" t="s">
        <v>133</v>
      </c>
      <c r="E224">
        <v>2966.1812</v>
      </c>
      <c r="F224">
        <v>2409.2620000000002</v>
      </c>
      <c r="G224">
        <v>0.1</v>
      </c>
      <c r="H224">
        <v>8.8387696453626402E-2</v>
      </c>
      <c r="I224">
        <v>0.812243702441375</v>
      </c>
      <c r="J224" t="s">
        <v>17</v>
      </c>
      <c r="L224" t="s">
        <v>18</v>
      </c>
      <c r="M224" t="s">
        <v>32</v>
      </c>
    </row>
    <row r="225" spans="1:13" x14ac:dyDescent="0.3">
      <c r="A225" t="s">
        <v>514</v>
      </c>
      <c r="B225" t="s">
        <v>506</v>
      </c>
      <c r="C225" t="s">
        <v>515</v>
      </c>
      <c r="D225" t="s">
        <v>133</v>
      </c>
      <c r="E225">
        <v>6647.0259999999998</v>
      </c>
      <c r="F225">
        <v>5993.8588</v>
      </c>
      <c r="G225">
        <v>0.1</v>
      </c>
      <c r="H225">
        <v>8.2778591780945293E-2</v>
      </c>
      <c r="I225">
        <v>0.90173542272890195</v>
      </c>
      <c r="J225" t="s">
        <v>17</v>
      </c>
      <c r="L225" t="s">
        <v>18</v>
      </c>
      <c r="M225" t="s">
        <v>19</v>
      </c>
    </row>
    <row r="226" spans="1:13" x14ac:dyDescent="0.3">
      <c r="A226" t="s">
        <v>516</v>
      </c>
      <c r="B226" t="s">
        <v>506</v>
      </c>
      <c r="C226" t="s">
        <v>517</v>
      </c>
      <c r="D226" t="s">
        <v>133</v>
      </c>
      <c r="E226">
        <v>1237.5219999999999</v>
      </c>
      <c r="F226">
        <v>1116.0927999999999</v>
      </c>
      <c r="G226">
        <v>0</v>
      </c>
      <c r="H226">
        <v>3.5186615412364397E-2</v>
      </c>
      <c r="I226">
        <v>0.90187713834582295</v>
      </c>
      <c r="J226" t="s">
        <v>17</v>
      </c>
      <c r="L226" t="s">
        <v>18</v>
      </c>
      <c r="M226" t="s">
        <v>29</v>
      </c>
    </row>
    <row r="227" spans="1:13" x14ac:dyDescent="0.3">
      <c r="A227" t="s">
        <v>518</v>
      </c>
      <c r="B227" t="s">
        <v>506</v>
      </c>
      <c r="C227" t="s">
        <v>519</v>
      </c>
      <c r="D227" t="s">
        <v>133</v>
      </c>
      <c r="E227">
        <v>21.6172</v>
      </c>
      <c r="F227">
        <v>21.547599999999999</v>
      </c>
      <c r="G227">
        <v>0</v>
      </c>
      <c r="H227">
        <v>5.2201269534908005E-4</v>
      </c>
      <c r="I227">
        <v>0.99678034157985296</v>
      </c>
      <c r="J227" t="s">
        <v>17</v>
      </c>
      <c r="L227" t="s">
        <v>18</v>
      </c>
      <c r="M227" t="s">
        <v>29</v>
      </c>
    </row>
    <row r="228" spans="1:13" x14ac:dyDescent="0.3">
      <c r="A228" t="s">
        <v>520</v>
      </c>
      <c r="B228" t="s">
        <v>506</v>
      </c>
      <c r="C228" t="s">
        <v>521</v>
      </c>
      <c r="D228" t="s">
        <v>133</v>
      </c>
      <c r="E228">
        <v>1346.9464</v>
      </c>
      <c r="F228">
        <v>1345.922</v>
      </c>
      <c r="G228">
        <v>0</v>
      </c>
      <c r="H228">
        <v>1.0899503532253801E-3</v>
      </c>
      <c r="I228">
        <v>0.99923946491115001</v>
      </c>
      <c r="J228" t="s">
        <v>17</v>
      </c>
      <c r="L228" t="s">
        <v>18</v>
      </c>
      <c r="M228" t="s">
        <v>29</v>
      </c>
    </row>
    <row r="229" spans="1:13" x14ac:dyDescent="0.3">
      <c r="A229" t="s">
        <v>522</v>
      </c>
      <c r="B229" t="s">
        <v>506</v>
      </c>
      <c r="C229" t="s">
        <v>523</v>
      </c>
      <c r="D229" t="s">
        <v>133</v>
      </c>
      <c r="E229">
        <v>20169.288400000001</v>
      </c>
      <c r="F229">
        <v>17291.366399999999</v>
      </c>
      <c r="G229">
        <v>0</v>
      </c>
      <c r="H229">
        <v>2.2803262544050101E-3</v>
      </c>
      <c r="I229">
        <v>0.85731167392102903</v>
      </c>
      <c r="J229" t="s">
        <v>17</v>
      </c>
      <c r="L229" t="s">
        <v>18</v>
      </c>
      <c r="M229" t="s">
        <v>19</v>
      </c>
    </row>
    <row r="230" spans="1:13" x14ac:dyDescent="0.3">
      <c r="A230" t="s">
        <v>524</v>
      </c>
      <c r="B230" t="s">
        <v>506</v>
      </c>
      <c r="C230" t="s">
        <v>525</v>
      </c>
      <c r="D230" t="s">
        <v>133</v>
      </c>
      <c r="E230">
        <v>8370.6211999999996</v>
      </c>
      <c r="F230">
        <v>8138.5331999999999</v>
      </c>
      <c r="G230">
        <v>0</v>
      </c>
      <c r="H230">
        <v>1.6774609812731701E-2</v>
      </c>
      <c r="I230">
        <v>0.97227350342887298</v>
      </c>
      <c r="J230" t="s">
        <v>17</v>
      </c>
      <c r="L230" t="s">
        <v>18</v>
      </c>
      <c r="M230" t="s">
        <v>29</v>
      </c>
    </row>
    <row r="231" spans="1:13" x14ac:dyDescent="0.3">
      <c r="A231" t="s">
        <v>526</v>
      </c>
      <c r="B231" t="s">
        <v>506</v>
      </c>
      <c r="C231" t="s">
        <v>527</v>
      </c>
      <c r="D231" t="s">
        <v>133</v>
      </c>
      <c r="E231">
        <v>25965.723999999998</v>
      </c>
      <c r="F231">
        <v>5813.4168</v>
      </c>
      <c r="G231">
        <v>0.6</v>
      </c>
      <c r="H231">
        <v>0.62955403192985804</v>
      </c>
      <c r="I231">
        <v>0.223888107260171</v>
      </c>
      <c r="J231" t="s">
        <v>76</v>
      </c>
      <c r="K231" t="s">
        <v>175</v>
      </c>
      <c r="L231" t="s">
        <v>18</v>
      </c>
      <c r="M231" t="s">
        <v>32</v>
      </c>
    </row>
    <row r="232" spans="1:13" x14ac:dyDescent="0.3">
      <c r="A232" t="s">
        <v>528</v>
      </c>
      <c r="B232" t="s">
        <v>506</v>
      </c>
      <c r="C232" t="s">
        <v>529</v>
      </c>
      <c r="D232" t="s">
        <v>133</v>
      </c>
      <c r="E232">
        <v>923.55679999999995</v>
      </c>
      <c r="F232">
        <v>416.97160000000002</v>
      </c>
      <c r="G232">
        <v>0.4</v>
      </c>
      <c r="H232">
        <v>0.40353066883208599</v>
      </c>
      <c r="I232">
        <v>0.45148452158004798</v>
      </c>
      <c r="J232" t="s">
        <v>37</v>
      </c>
      <c r="K232" t="s">
        <v>38</v>
      </c>
      <c r="L232" t="s">
        <v>18</v>
      </c>
      <c r="M232" t="s">
        <v>32</v>
      </c>
    </row>
    <row r="233" spans="1:13" x14ac:dyDescent="0.3">
      <c r="A233" t="s">
        <v>530</v>
      </c>
      <c r="B233" t="s">
        <v>506</v>
      </c>
      <c r="C233" t="s">
        <v>531</v>
      </c>
      <c r="D233" t="s">
        <v>133</v>
      </c>
      <c r="E233">
        <v>329.49520000000001</v>
      </c>
      <c r="F233">
        <v>221.12880000000001</v>
      </c>
      <c r="G233">
        <v>0.3</v>
      </c>
      <c r="H233">
        <v>0.31324309214220503</v>
      </c>
      <c r="I233">
        <v>0.67111387358601904</v>
      </c>
      <c r="J233" t="s">
        <v>17</v>
      </c>
      <c r="L233" t="s">
        <v>18</v>
      </c>
      <c r="M233" t="s">
        <v>32</v>
      </c>
    </row>
    <row r="234" spans="1:13" x14ac:dyDescent="0.3">
      <c r="A234" t="s">
        <v>532</v>
      </c>
      <c r="B234" t="s">
        <v>506</v>
      </c>
      <c r="C234" t="s">
        <v>533</v>
      </c>
      <c r="D234" t="s">
        <v>133</v>
      </c>
      <c r="E234">
        <v>3766.2224000000001</v>
      </c>
      <c r="F234">
        <v>2123.7647999999999</v>
      </c>
      <c r="G234">
        <v>0.2</v>
      </c>
      <c r="H234">
        <v>0.247422640853663</v>
      </c>
      <c r="I234">
        <v>0.56389787283937298</v>
      </c>
      <c r="J234" t="s">
        <v>17</v>
      </c>
      <c r="L234" t="s">
        <v>18</v>
      </c>
      <c r="M234" t="s">
        <v>19</v>
      </c>
    </row>
    <row r="235" spans="1:13" x14ac:dyDescent="0.3">
      <c r="A235" t="s">
        <v>534</v>
      </c>
      <c r="B235" t="s">
        <v>506</v>
      </c>
      <c r="C235" t="s">
        <v>535</v>
      </c>
      <c r="D235" t="s">
        <v>133</v>
      </c>
      <c r="E235">
        <v>9187.4096000000009</v>
      </c>
      <c r="F235">
        <v>3675.5048000000002</v>
      </c>
      <c r="G235">
        <v>0.4</v>
      </c>
      <c r="H235">
        <v>0.38196779868439001</v>
      </c>
      <c r="I235">
        <v>0.40005888057935302</v>
      </c>
      <c r="J235" t="s">
        <v>76</v>
      </c>
      <c r="K235" t="s">
        <v>38</v>
      </c>
      <c r="L235" t="s">
        <v>293</v>
      </c>
      <c r="M235" t="s">
        <v>32</v>
      </c>
    </row>
    <row r="236" spans="1:13" x14ac:dyDescent="0.3">
      <c r="A236" t="s">
        <v>536</v>
      </c>
      <c r="B236" t="s">
        <v>506</v>
      </c>
      <c r="C236" t="s">
        <v>537</v>
      </c>
      <c r="D236" t="s">
        <v>133</v>
      </c>
      <c r="E236">
        <v>8598.4796000000006</v>
      </c>
      <c r="F236">
        <v>5468.9772000000003</v>
      </c>
      <c r="G236">
        <v>0.3</v>
      </c>
      <c r="H236">
        <v>0.25276585169789401</v>
      </c>
      <c r="I236">
        <v>0.636040027355534</v>
      </c>
      <c r="J236" t="s">
        <v>17</v>
      </c>
      <c r="L236" t="s">
        <v>18</v>
      </c>
      <c r="M236" t="s">
        <v>19</v>
      </c>
    </row>
    <row r="237" spans="1:13" x14ac:dyDescent="0.3">
      <c r="A237" t="s">
        <v>538</v>
      </c>
      <c r="B237" t="s">
        <v>506</v>
      </c>
      <c r="C237" t="s">
        <v>539</v>
      </c>
      <c r="D237" t="s">
        <v>133</v>
      </c>
      <c r="E237">
        <v>7163.2323999999999</v>
      </c>
      <c r="F237">
        <v>5660.4315999999999</v>
      </c>
      <c r="G237">
        <v>0.1</v>
      </c>
      <c r="H237">
        <v>0.122440758485303</v>
      </c>
      <c r="I237">
        <v>0.790206331990569</v>
      </c>
      <c r="J237" t="s">
        <v>17</v>
      </c>
      <c r="L237" t="s">
        <v>18</v>
      </c>
      <c r="M237" t="s">
        <v>32</v>
      </c>
    </row>
    <row r="238" spans="1:13" x14ac:dyDescent="0.3">
      <c r="A238" t="s">
        <v>540</v>
      </c>
      <c r="B238" t="s">
        <v>506</v>
      </c>
      <c r="C238" t="s">
        <v>541</v>
      </c>
      <c r="D238" t="s">
        <v>133</v>
      </c>
      <c r="E238">
        <v>13392.436799999999</v>
      </c>
      <c r="F238">
        <v>12357.1816</v>
      </c>
      <c r="G238">
        <v>0.1</v>
      </c>
      <c r="H238">
        <v>5.5122337544690099E-2</v>
      </c>
      <c r="I238">
        <v>0.92269851891330201</v>
      </c>
      <c r="J238" t="s">
        <v>17</v>
      </c>
      <c r="L238" t="s">
        <v>18</v>
      </c>
      <c r="M238" t="s">
        <v>19</v>
      </c>
    </row>
    <row r="239" spans="1:13" x14ac:dyDescent="0.3">
      <c r="A239" t="s">
        <v>542</v>
      </c>
      <c r="B239" t="s">
        <v>506</v>
      </c>
      <c r="C239" t="s">
        <v>543</v>
      </c>
      <c r="D239" t="s">
        <v>133</v>
      </c>
      <c r="E239">
        <v>9677.7703999999994</v>
      </c>
      <c r="F239">
        <v>9249.2420000000002</v>
      </c>
      <c r="G239">
        <v>0</v>
      </c>
      <c r="H239">
        <v>2.9178484012046799E-2</v>
      </c>
      <c r="I239">
        <v>0.95572033822997104</v>
      </c>
      <c r="J239" t="s">
        <v>17</v>
      </c>
      <c r="L239" t="s">
        <v>18</v>
      </c>
      <c r="M239" t="s">
        <v>19</v>
      </c>
    </row>
    <row r="240" spans="1:13" x14ac:dyDescent="0.3">
      <c r="A240" t="s">
        <v>544</v>
      </c>
      <c r="B240" t="s">
        <v>506</v>
      </c>
      <c r="C240" t="s">
        <v>545</v>
      </c>
      <c r="D240" t="s">
        <v>133</v>
      </c>
      <c r="E240">
        <v>4949.5983999999999</v>
      </c>
      <c r="F240">
        <v>2576.7764000000002</v>
      </c>
      <c r="G240">
        <v>0.3</v>
      </c>
      <c r="H240">
        <v>0.27234472308673502</v>
      </c>
      <c r="I240">
        <v>0.52060312610412995</v>
      </c>
      <c r="J240" t="s">
        <v>17</v>
      </c>
      <c r="L240" t="s">
        <v>18</v>
      </c>
      <c r="M240" t="s">
        <v>19</v>
      </c>
    </row>
    <row r="241" spans="1:13" x14ac:dyDescent="0.3">
      <c r="A241" t="s">
        <v>546</v>
      </c>
      <c r="B241" t="s">
        <v>506</v>
      </c>
      <c r="C241" t="s">
        <v>547</v>
      </c>
      <c r="D241" t="s">
        <v>133</v>
      </c>
      <c r="E241">
        <v>16012.9004</v>
      </c>
      <c r="F241">
        <v>10488.081200000001</v>
      </c>
      <c r="G241">
        <v>0.2</v>
      </c>
      <c r="H241">
        <v>0.210468453852763</v>
      </c>
      <c r="I241">
        <v>0.65497698343268296</v>
      </c>
      <c r="J241" t="s">
        <v>17</v>
      </c>
      <c r="L241" t="s">
        <v>18</v>
      </c>
      <c r="M241" t="s">
        <v>19</v>
      </c>
    </row>
    <row r="242" spans="1:13" x14ac:dyDescent="0.3">
      <c r="A242" t="s">
        <v>548</v>
      </c>
      <c r="B242" t="s">
        <v>506</v>
      </c>
      <c r="C242" t="s">
        <v>549</v>
      </c>
      <c r="D242" t="s">
        <v>133</v>
      </c>
      <c r="E242">
        <v>1571.9508000000001</v>
      </c>
      <c r="F242">
        <v>1286.1451999999999</v>
      </c>
      <c r="G242">
        <v>0.1</v>
      </c>
      <c r="H242">
        <v>0.116912066498799</v>
      </c>
      <c r="I242">
        <v>0.81818413146263902</v>
      </c>
      <c r="J242" t="s">
        <v>17</v>
      </c>
      <c r="L242" t="s">
        <v>18</v>
      </c>
      <c r="M242" t="s">
        <v>19</v>
      </c>
    </row>
    <row r="243" spans="1:13" x14ac:dyDescent="0.3">
      <c r="A243" t="s">
        <v>550</v>
      </c>
      <c r="B243" t="s">
        <v>506</v>
      </c>
      <c r="C243" t="s">
        <v>551</v>
      </c>
      <c r="D243" t="s">
        <v>133</v>
      </c>
      <c r="E243">
        <v>80.466800000000006</v>
      </c>
      <c r="F243">
        <v>66.130799999999994</v>
      </c>
      <c r="G243">
        <v>0.2</v>
      </c>
      <c r="H243">
        <v>0.20333450204430201</v>
      </c>
      <c r="I243">
        <v>0.82183956613162201</v>
      </c>
      <c r="J243" t="s">
        <v>17</v>
      </c>
      <c r="L243" t="s">
        <v>18</v>
      </c>
      <c r="M243" t="s">
        <v>24</v>
      </c>
    </row>
    <row r="244" spans="1:13" x14ac:dyDescent="0.3">
      <c r="A244" t="s">
        <v>552</v>
      </c>
      <c r="B244" t="s">
        <v>506</v>
      </c>
      <c r="C244" t="s">
        <v>553</v>
      </c>
      <c r="D244" t="s">
        <v>133</v>
      </c>
      <c r="E244">
        <v>7074.3047999999999</v>
      </c>
      <c r="F244">
        <v>5306.9971999999998</v>
      </c>
      <c r="G244">
        <v>0.1</v>
      </c>
      <c r="H244">
        <v>0.127391698427888</v>
      </c>
      <c r="I244">
        <v>0.75017932504123896</v>
      </c>
      <c r="J244" t="s">
        <v>17</v>
      </c>
      <c r="L244" t="s">
        <v>18</v>
      </c>
      <c r="M244" t="s">
        <v>19</v>
      </c>
    </row>
    <row r="245" spans="1:13" x14ac:dyDescent="0.3">
      <c r="A245" t="s">
        <v>554</v>
      </c>
      <c r="B245" t="s">
        <v>506</v>
      </c>
      <c r="C245" t="s">
        <v>555</v>
      </c>
      <c r="D245" t="s">
        <v>133</v>
      </c>
      <c r="E245">
        <v>4268.0983999999999</v>
      </c>
      <c r="F245">
        <v>2813.2064</v>
      </c>
      <c r="G245">
        <v>0.2</v>
      </c>
      <c r="H245">
        <v>0.150012947276632</v>
      </c>
      <c r="I245">
        <v>0.65912407267836204</v>
      </c>
      <c r="J245" t="s">
        <v>17</v>
      </c>
      <c r="L245" t="s">
        <v>18</v>
      </c>
      <c r="M245" t="s">
        <v>32</v>
      </c>
    </row>
    <row r="246" spans="1:13" x14ac:dyDescent="0.3">
      <c r="A246" t="s">
        <v>556</v>
      </c>
      <c r="B246" t="s">
        <v>506</v>
      </c>
      <c r="C246" t="s">
        <v>557</v>
      </c>
      <c r="D246" t="s">
        <v>133</v>
      </c>
      <c r="E246">
        <v>1093.2008000000001</v>
      </c>
      <c r="F246">
        <v>183.14320000000001</v>
      </c>
      <c r="G246">
        <v>1.3</v>
      </c>
      <c r="H246">
        <v>1.3395542270006899</v>
      </c>
      <c r="I246">
        <v>0.16752933221417299</v>
      </c>
      <c r="J246" t="s">
        <v>37</v>
      </c>
      <c r="K246" t="s">
        <v>38</v>
      </c>
      <c r="L246" t="s">
        <v>18</v>
      </c>
      <c r="M246" t="s">
        <v>19</v>
      </c>
    </row>
    <row r="247" spans="1:13" x14ac:dyDescent="0.3">
      <c r="A247" t="s">
        <v>558</v>
      </c>
      <c r="B247" t="s">
        <v>506</v>
      </c>
      <c r="C247" t="s">
        <v>559</v>
      </c>
      <c r="D247" t="s">
        <v>133</v>
      </c>
      <c r="E247">
        <v>10508.8704</v>
      </c>
      <c r="F247">
        <v>4209.3671999999997</v>
      </c>
      <c r="G247">
        <v>0.5</v>
      </c>
      <c r="H247">
        <v>0.502288703849193</v>
      </c>
      <c r="I247">
        <v>0.40055372649756898</v>
      </c>
      <c r="J247" t="s">
        <v>98</v>
      </c>
      <c r="K247" t="s">
        <v>175</v>
      </c>
      <c r="L247" t="s">
        <v>18</v>
      </c>
      <c r="M247" t="s">
        <v>19</v>
      </c>
    </row>
    <row r="248" spans="1:13" x14ac:dyDescent="0.3">
      <c r="A248" t="s">
        <v>560</v>
      </c>
      <c r="B248" t="s">
        <v>506</v>
      </c>
      <c r="C248" t="s">
        <v>561</v>
      </c>
      <c r="D248" t="s">
        <v>133</v>
      </c>
      <c r="E248">
        <v>12772.3408</v>
      </c>
      <c r="F248">
        <v>3707.4124000000002</v>
      </c>
      <c r="G248">
        <v>0.7</v>
      </c>
      <c r="H248">
        <v>0.69961067666180998</v>
      </c>
      <c r="I248">
        <v>0.29026882840457902</v>
      </c>
      <c r="J248" t="s">
        <v>76</v>
      </c>
      <c r="K248" t="s">
        <v>175</v>
      </c>
      <c r="L248" t="s">
        <v>18</v>
      </c>
      <c r="M248" t="s">
        <v>19</v>
      </c>
    </row>
    <row r="249" spans="1:13" x14ac:dyDescent="0.3">
      <c r="A249" t="s">
        <v>562</v>
      </c>
      <c r="B249" t="s">
        <v>506</v>
      </c>
      <c r="C249" t="s">
        <v>563</v>
      </c>
      <c r="D249" t="s">
        <v>133</v>
      </c>
      <c r="E249">
        <v>3927.0520000000001</v>
      </c>
      <c r="F249">
        <v>2126.2595999999999</v>
      </c>
      <c r="G249">
        <v>0.3</v>
      </c>
      <c r="H249">
        <v>0.256715961817921</v>
      </c>
      <c r="I249">
        <v>0.54143912532861804</v>
      </c>
      <c r="J249" t="s">
        <v>17</v>
      </c>
      <c r="L249" t="s">
        <v>18</v>
      </c>
      <c r="M249" t="s">
        <v>19</v>
      </c>
    </row>
    <row r="250" spans="1:13" x14ac:dyDescent="0.3">
      <c r="A250" t="s">
        <v>564</v>
      </c>
      <c r="B250" t="s">
        <v>506</v>
      </c>
      <c r="C250" t="s">
        <v>565</v>
      </c>
      <c r="D250" t="s">
        <v>133</v>
      </c>
      <c r="E250">
        <v>3750.41</v>
      </c>
      <c r="F250">
        <v>2950.1124</v>
      </c>
      <c r="G250">
        <v>0.2</v>
      </c>
      <c r="H250">
        <v>0.19322279392150901</v>
      </c>
      <c r="I250">
        <v>0.78661063723699498</v>
      </c>
      <c r="J250" t="s">
        <v>17</v>
      </c>
      <c r="L250" t="s">
        <v>18</v>
      </c>
      <c r="M250" t="s">
        <v>19</v>
      </c>
    </row>
    <row r="251" spans="1:13" x14ac:dyDescent="0.3">
      <c r="A251" t="s">
        <v>566</v>
      </c>
      <c r="B251" t="s">
        <v>506</v>
      </c>
      <c r="C251" t="s">
        <v>567</v>
      </c>
      <c r="D251" t="s">
        <v>133</v>
      </c>
      <c r="E251">
        <v>4216.8495999999996</v>
      </c>
      <c r="F251">
        <v>1967.0735999999999</v>
      </c>
      <c r="G251">
        <v>0.8</v>
      </c>
      <c r="H251">
        <v>0.78257216589364398</v>
      </c>
      <c r="I251">
        <v>0.46647943052083202</v>
      </c>
      <c r="J251" t="s">
        <v>76</v>
      </c>
      <c r="K251" t="s">
        <v>38</v>
      </c>
      <c r="L251" t="s">
        <v>18</v>
      </c>
      <c r="M251" t="s">
        <v>19</v>
      </c>
    </row>
    <row r="252" spans="1:13" x14ac:dyDescent="0.3">
      <c r="A252" t="s">
        <v>568</v>
      </c>
      <c r="B252" t="s">
        <v>506</v>
      </c>
      <c r="C252" t="s">
        <v>569</v>
      </c>
      <c r="D252" t="s">
        <v>133</v>
      </c>
      <c r="E252">
        <v>9654.2360000000008</v>
      </c>
      <c r="F252">
        <v>5328.8756000000003</v>
      </c>
      <c r="G252">
        <v>0.3</v>
      </c>
      <c r="H252">
        <v>0.33826399411109598</v>
      </c>
      <c r="I252">
        <v>0.55197279204693195</v>
      </c>
      <c r="J252" t="s">
        <v>76</v>
      </c>
      <c r="K252" t="s">
        <v>38</v>
      </c>
      <c r="L252" t="s">
        <v>293</v>
      </c>
      <c r="M252" t="s">
        <v>19</v>
      </c>
    </row>
    <row r="253" spans="1:13" x14ac:dyDescent="0.3">
      <c r="A253" t="s">
        <v>570</v>
      </c>
      <c r="B253" t="s">
        <v>506</v>
      </c>
      <c r="C253" t="s">
        <v>571</v>
      </c>
      <c r="D253" t="s">
        <v>133</v>
      </c>
      <c r="E253">
        <v>1291.3936000000001</v>
      </c>
      <c r="F253">
        <v>805.20079999999996</v>
      </c>
      <c r="G253">
        <v>0.2</v>
      </c>
      <c r="H253">
        <v>0.22188273875397199</v>
      </c>
      <c r="I253">
        <v>0.623513079203738</v>
      </c>
      <c r="J253" t="s">
        <v>17</v>
      </c>
      <c r="L253" t="s">
        <v>18</v>
      </c>
      <c r="M253" t="s">
        <v>29</v>
      </c>
    </row>
    <row r="254" spans="1:13" x14ac:dyDescent="0.3">
      <c r="A254" t="s">
        <v>572</v>
      </c>
      <c r="B254" t="s">
        <v>506</v>
      </c>
      <c r="C254" t="s">
        <v>573</v>
      </c>
      <c r="D254" t="s">
        <v>133</v>
      </c>
      <c r="E254">
        <v>1380.8520000000001</v>
      </c>
      <c r="F254">
        <v>847.0616</v>
      </c>
      <c r="G254">
        <v>0.2</v>
      </c>
      <c r="H254">
        <v>0.16088082820327201</v>
      </c>
      <c r="I254">
        <v>0.61343402479049203</v>
      </c>
      <c r="J254" t="s">
        <v>17</v>
      </c>
      <c r="L254" t="s">
        <v>18</v>
      </c>
      <c r="M254" t="s">
        <v>32</v>
      </c>
    </row>
    <row r="255" spans="1:13" x14ac:dyDescent="0.3">
      <c r="A255" t="s">
        <v>574</v>
      </c>
      <c r="B255" t="s">
        <v>506</v>
      </c>
      <c r="C255" t="s">
        <v>575</v>
      </c>
      <c r="D255" t="s">
        <v>133</v>
      </c>
      <c r="E255">
        <v>3737.0288</v>
      </c>
      <c r="F255">
        <v>2818.7752</v>
      </c>
      <c r="G255">
        <v>0</v>
      </c>
      <c r="H255">
        <v>1.0209019474443999E-2</v>
      </c>
      <c r="I255">
        <v>0.75428243956803298</v>
      </c>
      <c r="J255" t="s">
        <v>17</v>
      </c>
      <c r="L255" t="s">
        <v>18</v>
      </c>
      <c r="M255" t="s">
        <v>32</v>
      </c>
    </row>
    <row r="256" spans="1:13" x14ac:dyDescent="0.3">
      <c r="A256" t="s">
        <v>576</v>
      </c>
      <c r="B256" t="s">
        <v>506</v>
      </c>
      <c r="C256" t="s">
        <v>577</v>
      </c>
      <c r="D256" t="s">
        <v>133</v>
      </c>
      <c r="E256">
        <v>20.3384</v>
      </c>
      <c r="F256">
        <v>18.378399999999999</v>
      </c>
      <c r="G256">
        <v>0.2</v>
      </c>
      <c r="H256">
        <v>0.16913278435409199</v>
      </c>
      <c r="I256">
        <v>0.90363057074302799</v>
      </c>
      <c r="J256" t="s">
        <v>17</v>
      </c>
      <c r="L256" t="s">
        <v>18</v>
      </c>
      <c r="M256" t="s">
        <v>32</v>
      </c>
    </row>
    <row r="257" spans="1:13" x14ac:dyDescent="0.3">
      <c r="A257" t="s">
        <v>578</v>
      </c>
      <c r="B257" t="s">
        <v>506</v>
      </c>
      <c r="C257" t="s">
        <v>579</v>
      </c>
      <c r="D257" t="s">
        <v>133</v>
      </c>
      <c r="E257">
        <v>1551.0771999999999</v>
      </c>
      <c r="F257">
        <v>1192.6756</v>
      </c>
      <c r="G257">
        <v>0.1</v>
      </c>
      <c r="H257">
        <v>0.140974388585238</v>
      </c>
      <c r="I257">
        <v>0.768933744883878</v>
      </c>
      <c r="J257" t="s">
        <v>17</v>
      </c>
      <c r="L257" t="s">
        <v>18</v>
      </c>
      <c r="M257" t="s">
        <v>19</v>
      </c>
    </row>
    <row r="258" spans="1:13" x14ac:dyDescent="0.3">
      <c r="A258" t="s">
        <v>580</v>
      </c>
      <c r="B258" t="s">
        <v>506</v>
      </c>
      <c r="C258" t="s">
        <v>581</v>
      </c>
      <c r="D258" t="s">
        <v>133</v>
      </c>
      <c r="E258">
        <v>939.17439999999999</v>
      </c>
      <c r="F258">
        <v>352.08600000000001</v>
      </c>
      <c r="G258">
        <v>0.3</v>
      </c>
      <c r="H258">
        <v>0.34316602076460501</v>
      </c>
      <c r="I258">
        <v>0.37488883853733701</v>
      </c>
      <c r="J258" t="s">
        <v>76</v>
      </c>
      <c r="K258" t="s">
        <v>38</v>
      </c>
      <c r="L258" t="s">
        <v>293</v>
      </c>
      <c r="M258" t="s">
        <v>19</v>
      </c>
    </row>
    <row r="259" spans="1:13" x14ac:dyDescent="0.3">
      <c r="A259" t="s">
        <v>582</v>
      </c>
      <c r="B259" t="s">
        <v>506</v>
      </c>
      <c r="C259" t="s">
        <v>583</v>
      </c>
      <c r="D259" t="s">
        <v>133</v>
      </c>
      <c r="E259">
        <v>1373.9431999999999</v>
      </c>
      <c r="F259">
        <v>759.78679999999997</v>
      </c>
      <c r="G259">
        <v>0.1</v>
      </c>
      <c r="H259">
        <v>0.13781396900708001</v>
      </c>
      <c r="I259">
        <v>0.55299724180737597</v>
      </c>
      <c r="J259" t="s">
        <v>17</v>
      </c>
      <c r="L259" t="s">
        <v>18</v>
      </c>
      <c r="M259" t="s">
        <v>24</v>
      </c>
    </row>
    <row r="260" spans="1:13" x14ac:dyDescent="0.3">
      <c r="A260" t="s">
        <v>584</v>
      </c>
      <c r="B260" t="s">
        <v>506</v>
      </c>
      <c r="C260" t="s">
        <v>585</v>
      </c>
      <c r="D260" t="s">
        <v>133</v>
      </c>
      <c r="E260">
        <v>10.001200000000001</v>
      </c>
      <c r="F260">
        <v>9.3328000000000007</v>
      </c>
      <c r="G260">
        <v>0</v>
      </c>
      <c r="H260">
        <v>2.3528223233655301E-2</v>
      </c>
      <c r="I260">
        <v>0.93316801983761899</v>
      </c>
      <c r="J260" t="s">
        <v>17</v>
      </c>
      <c r="L260" t="s">
        <v>18</v>
      </c>
      <c r="M260" t="s">
        <v>29</v>
      </c>
    </row>
    <row r="261" spans="1:13" x14ac:dyDescent="0.3">
      <c r="A261" t="s">
        <v>586</v>
      </c>
      <c r="B261" t="s">
        <v>506</v>
      </c>
      <c r="C261" t="s">
        <v>587</v>
      </c>
      <c r="D261" t="s">
        <v>133</v>
      </c>
      <c r="E261">
        <v>430.63440000000003</v>
      </c>
      <c r="F261">
        <v>103.7852</v>
      </c>
      <c r="G261">
        <v>0.6</v>
      </c>
      <c r="H261">
        <v>0.63449311197456704</v>
      </c>
      <c r="I261">
        <v>0.241005363250126</v>
      </c>
      <c r="J261" t="s">
        <v>37</v>
      </c>
      <c r="K261" t="s">
        <v>38</v>
      </c>
      <c r="L261" t="s">
        <v>18</v>
      </c>
      <c r="M261" t="s">
        <v>19</v>
      </c>
    </row>
    <row r="262" spans="1:13" x14ac:dyDescent="0.3">
      <c r="A262" t="s">
        <v>588</v>
      </c>
      <c r="B262" t="s">
        <v>506</v>
      </c>
      <c r="C262" t="s">
        <v>589</v>
      </c>
      <c r="D262" t="s">
        <v>133</v>
      </c>
      <c r="E262">
        <v>260.57960000000003</v>
      </c>
      <c r="F262">
        <v>242.22120000000001</v>
      </c>
      <c r="G262">
        <v>0</v>
      </c>
      <c r="H262">
        <v>4.01479621279551E-2</v>
      </c>
      <c r="I262">
        <v>0.92954782339062603</v>
      </c>
      <c r="J262" t="s">
        <v>17</v>
      </c>
      <c r="L262" t="s">
        <v>18</v>
      </c>
      <c r="M262" t="s">
        <v>29</v>
      </c>
    </row>
    <row r="263" spans="1:13" x14ac:dyDescent="0.3">
      <c r="A263" t="s">
        <v>590</v>
      </c>
      <c r="B263" t="s">
        <v>506</v>
      </c>
      <c r="C263" t="s">
        <v>591</v>
      </c>
      <c r="D263" t="s">
        <v>133</v>
      </c>
      <c r="E263">
        <v>268.06639999999999</v>
      </c>
      <c r="F263">
        <v>261.14400000000001</v>
      </c>
      <c r="G263">
        <v>0</v>
      </c>
      <c r="H263">
        <v>1.54889713951274E-2</v>
      </c>
      <c r="I263">
        <v>0.97417654730320602</v>
      </c>
      <c r="J263" t="s">
        <v>17</v>
      </c>
      <c r="L263" t="s">
        <v>18</v>
      </c>
      <c r="M263" t="s">
        <v>29</v>
      </c>
    </row>
    <row r="264" spans="1:13" x14ac:dyDescent="0.3">
      <c r="A264" t="s">
        <v>592</v>
      </c>
      <c r="B264" t="s">
        <v>506</v>
      </c>
      <c r="C264" t="s">
        <v>593</v>
      </c>
      <c r="D264" t="s">
        <v>133</v>
      </c>
      <c r="E264">
        <v>93.875600000000006</v>
      </c>
      <c r="F264">
        <v>91.555999999999997</v>
      </c>
      <c r="G264">
        <v>0</v>
      </c>
      <c r="H264">
        <v>1.4215912253844699E-2</v>
      </c>
      <c r="I264">
        <v>0.97529070386767203</v>
      </c>
      <c r="J264" t="s">
        <v>17</v>
      </c>
      <c r="L264" t="s">
        <v>18</v>
      </c>
      <c r="M264" t="s">
        <v>29</v>
      </c>
    </row>
    <row r="265" spans="1:13" x14ac:dyDescent="0.3">
      <c r="A265" t="s">
        <v>594</v>
      </c>
      <c r="B265" t="s">
        <v>506</v>
      </c>
      <c r="C265" t="s">
        <v>595</v>
      </c>
      <c r="D265" t="s">
        <v>133</v>
      </c>
      <c r="E265">
        <v>523.22199999999998</v>
      </c>
      <c r="F265">
        <v>502.7088</v>
      </c>
      <c r="G265">
        <v>0</v>
      </c>
      <c r="H265">
        <v>2.4544177447125299E-2</v>
      </c>
      <c r="I265">
        <v>0.96079446200656704</v>
      </c>
      <c r="J265" t="s">
        <v>17</v>
      </c>
      <c r="L265" t="s">
        <v>18</v>
      </c>
      <c r="M265" t="s">
        <v>29</v>
      </c>
    </row>
    <row r="266" spans="1:13" x14ac:dyDescent="0.3">
      <c r="A266" t="s">
        <v>596</v>
      </c>
      <c r="B266" t="s">
        <v>506</v>
      </c>
      <c r="C266" t="s">
        <v>597</v>
      </c>
      <c r="D266" t="s">
        <v>133</v>
      </c>
      <c r="E266">
        <v>15063.9784</v>
      </c>
      <c r="F266">
        <v>6008.3951999999999</v>
      </c>
      <c r="G266">
        <v>0.4</v>
      </c>
      <c r="H266">
        <v>0.41892212369688098</v>
      </c>
      <c r="I266">
        <v>0.39885845826757199</v>
      </c>
      <c r="J266" t="s">
        <v>98</v>
      </c>
      <c r="K266" t="s">
        <v>598</v>
      </c>
      <c r="L266" t="s">
        <v>18</v>
      </c>
      <c r="M266" t="s">
        <v>32</v>
      </c>
    </row>
    <row r="267" spans="1:13" x14ac:dyDescent="0.3">
      <c r="A267" t="s">
        <v>599</v>
      </c>
      <c r="B267" t="s">
        <v>506</v>
      </c>
      <c r="C267" t="s">
        <v>600</v>
      </c>
      <c r="D267" t="s">
        <v>133</v>
      </c>
      <c r="E267">
        <v>3858.6324</v>
      </c>
      <c r="F267">
        <v>2611.3308000000002</v>
      </c>
      <c r="G267">
        <v>0.3</v>
      </c>
      <c r="H267">
        <v>0.33149858093128198</v>
      </c>
      <c r="I267">
        <v>0.67675034294533998</v>
      </c>
      <c r="J267" t="s">
        <v>17</v>
      </c>
      <c r="L267" t="s">
        <v>18</v>
      </c>
      <c r="M267" t="s">
        <v>19</v>
      </c>
    </row>
    <row r="268" spans="1:13" x14ac:dyDescent="0.3">
      <c r="A268" t="s">
        <v>601</v>
      </c>
      <c r="B268" t="s">
        <v>506</v>
      </c>
      <c r="C268" t="s">
        <v>602</v>
      </c>
      <c r="D268" t="s">
        <v>133</v>
      </c>
      <c r="E268">
        <v>1048.1812</v>
      </c>
      <c r="F268">
        <v>536.16160000000002</v>
      </c>
      <c r="G268">
        <v>0.2</v>
      </c>
      <c r="H268">
        <v>0.24283322255387199</v>
      </c>
      <c r="I268">
        <v>0.51151613862183398</v>
      </c>
      <c r="J268" t="s">
        <v>17</v>
      </c>
      <c r="L268" t="s">
        <v>18</v>
      </c>
      <c r="M268" t="s">
        <v>29</v>
      </c>
    </row>
    <row r="269" spans="1:13" x14ac:dyDescent="0.3">
      <c r="A269" t="s">
        <v>603</v>
      </c>
      <c r="B269" t="s">
        <v>506</v>
      </c>
      <c r="C269" t="s">
        <v>604</v>
      </c>
      <c r="D269" t="s">
        <v>133</v>
      </c>
      <c r="E269">
        <v>14254.748</v>
      </c>
      <c r="F269">
        <v>7447.7704000000003</v>
      </c>
      <c r="G269">
        <v>0.3</v>
      </c>
      <c r="H269">
        <v>0.26377637742260601</v>
      </c>
      <c r="I269">
        <v>0.52247646889303101</v>
      </c>
      <c r="J269" t="s">
        <v>17</v>
      </c>
      <c r="L269" t="s">
        <v>18</v>
      </c>
      <c r="M269" t="s">
        <v>19</v>
      </c>
    </row>
    <row r="270" spans="1:13" x14ac:dyDescent="0.3">
      <c r="A270" t="s">
        <v>605</v>
      </c>
      <c r="B270" t="s">
        <v>506</v>
      </c>
      <c r="C270" t="s">
        <v>606</v>
      </c>
      <c r="D270" t="s">
        <v>133</v>
      </c>
      <c r="E270">
        <v>3469.5508</v>
      </c>
      <c r="F270">
        <v>2462.3852000000002</v>
      </c>
      <c r="G270">
        <v>0.1</v>
      </c>
      <c r="H270">
        <v>7.3928462786774299E-2</v>
      </c>
      <c r="I270">
        <v>0.70971296918321503</v>
      </c>
      <c r="J270" t="s">
        <v>17</v>
      </c>
      <c r="L270" t="s">
        <v>18</v>
      </c>
      <c r="M270" t="s">
        <v>19</v>
      </c>
    </row>
    <row r="271" spans="1:13" x14ac:dyDescent="0.3">
      <c r="A271" t="s">
        <v>607</v>
      </c>
      <c r="B271" t="s">
        <v>506</v>
      </c>
      <c r="C271" t="s">
        <v>608</v>
      </c>
      <c r="D271" t="s">
        <v>133</v>
      </c>
      <c r="E271">
        <v>9891.6532000000007</v>
      </c>
      <c r="F271">
        <v>5464.9784</v>
      </c>
      <c r="G271">
        <v>0.3</v>
      </c>
      <c r="H271">
        <v>0.29211197941669398</v>
      </c>
      <c r="I271">
        <v>0.55248382545397001</v>
      </c>
      <c r="J271" t="s">
        <v>17</v>
      </c>
      <c r="L271" t="s">
        <v>18</v>
      </c>
      <c r="M271" t="s">
        <v>32</v>
      </c>
    </row>
    <row r="272" spans="1:13" x14ac:dyDescent="0.3">
      <c r="A272" t="s">
        <v>609</v>
      </c>
      <c r="B272" t="s">
        <v>506</v>
      </c>
      <c r="C272" t="s">
        <v>610</v>
      </c>
      <c r="D272" t="s">
        <v>133</v>
      </c>
      <c r="E272">
        <v>30.048400000000001</v>
      </c>
      <c r="F272">
        <v>27.619599999999998</v>
      </c>
      <c r="G272">
        <v>0.1</v>
      </c>
      <c r="H272">
        <v>6.7613282135570302E-2</v>
      </c>
      <c r="I272">
        <v>0.91917040507980496</v>
      </c>
      <c r="J272" t="s">
        <v>17</v>
      </c>
      <c r="L272" t="s">
        <v>18</v>
      </c>
      <c r="M272" t="s">
        <v>19</v>
      </c>
    </row>
    <row r="273" spans="1:13" x14ac:dyDescent="0.3">
      <c r="A273" t="s">
        <v>611</v>
      </c>
      <c r="B273" t="s">
        <v>506</v>
      </c>
      <c r="C273" t="s">
        <v>612</v>
      </c>
      <c r="D273" t="s">
        <v>133</v>
      </c>
      <c r="E273">
        <v>14492.9396</v>
      </c>
      <c r="F273">
        <v>5504.348</v>
      </c>
      <c r="G273">
        <v>0.5</v>
      </c>
      <c r="H273">
        <v>0.450422136765533</v>
      </c>
      <c r="I273">
        <v>0.37979513831686701</v>
      </c>
      <c r="J273" t="s">
        <v>98</v>
      </c>
      <c r="K273" t="s">
        <v>598</v>
      </c>
      <c r="L273" t="s">
        <v>18</v>
      </c>
      <c r="M273" t="s">
        <v>32</v>
      </c>
    </row>
    <row r="274" spans="1:13" x14ac:dyDescent="0.3">
      <c r="A274" t="s">
        <v>613</v>
      </c>
      <c r="B274" t="s">
        <v>506</v>
      </c>
      <c r="C274" t="s">
        <v>614</v>
      </c>
      <c r="D274" t="s">
        <v>133</v>
      </c>
      <c r="E274">
        <v>1313.2256</v>
      </c>
      <c r="F274">
        <v>435.84320000000002</v>
      </c>
      <c r="G274">
        <v>0.7</v>
      </c>
      <c r="H274">
        <v>0.65782657021212498</v>
      </c>
      <c r="I274">
        <v>0.33188752945419298</v>
      </c>
      <c r="J274" t="s">
        <v>76</v>
      </c>
      <c r="K274" t="s">
        <v>38</v>
      </c>
      <c r="L274" t="s">
        <v>18</v>
      </c>
      <c r="M274" t="s">
        <v>19</v>
      </c>
    </row>
    <row r="275" spans="1:13" x14ac:dyDescent="0.3">
      <c r="A275" t="s">
        <v>615</v>
      </c>
      <c r="B275" t="s">
        <v>506</v>
      </c>
      <c r="C275" t="s">
        <v>616</v>
      </c>
      <c r="D275" t="s">
        <v>133</v>
      </c>
      <c r="E275">
        <v>539.21320000000003</v>
      </c>
      <c r="F275">
        <v>281.44920000000002</v>
      </c>
      <c r="G275">
        <v>0.5</v>
      </c>
      <c r="H275">
        <v>0.54834519424910599</v>
      </c>
      <c r="I275">
        <v>0.52196274126820297</v>
      </c>
      <c r="J275" t="s">
        <v>76</v>
      </c>
      <c r="K275" t="s">
        <v>38</v>
      </c>
      <c r="L275" t="s">
        <v>18</v>
      </c>
      <c r="M275" t="s">
        <v>19</v>
      </c>
    </row>
    <row r="276" spans="1:13" x14ac:dyDescent="0.3">
      <c r="A276" t="s">
        <v>617</v>
      </c>
      <c r="B276" t="s">
        <v>506</v>
      </c>
      <c r="C276" t="s">
        <v>618</v>
      </c>
      <c r="D276" t="s">
        <v>133</v>
      </c>
      <c r="E276">
        <v>10944.612800000001</v>
      </c>
      <c r="F276">
        <v>7576.2196000000004</v>
      </c>
      <c r="G276">
        <v>0.3</v>
      </c>
      <c r="H276">
        <v>0.26162270718761199</v>
      </c>
      <c r="I276">
        <v>0.692232766790982</v>
      </c>
      <c r="J276" t="s">
        <v>17</v>
      </c>
      <c r="L276" t="s">
        <v>18</v>
      </c>
      <c r="M276" t="s">
        <v>19</v>
      </c>
    </row>
    <row r="277" spans="1:13" x14ac:dyDescent="0.3">
      <c r="A277" t="s">
        <v>619</v>
      </c>
      <c r="B277" t="s">
        <v>506</v>
      </c>
      <c r="C277" t="s">
        <v>620</v>
      </c>
      <c r="D277" t="s">
        <v>133</v>
      </c>
      <c r="E277">
        <v>2342.1579999999999</v>
      </c>
      <c r="F277">
        <v>1020.7256</v>
      </c>
      <c r="G277">
        <v>0.5</v>
      </c>
      <c r="H277">
        <v>0.50037080732237704</v>
      </c>
      <c r="I277">
        <v>0.43580561174779803</v>
      </c>
      <c r="J277" t="s">
        <v>76</v>
      </c>
      <c r="K277" t="s">
        <v>38</v>
      </c>
      <c r="L277" t="s">
        <v>18</v>
      </c>
      <c r="M277" t="s">
        <v>19</v>
      </c>
    </row>
    <row r="278" spans="1:13" x14ac:dyDescent="0.3">
      <c r="A278" t="s">
        <v>621</v>
      </c>
      <c r="B278" t="s">
        <v>506</v>
      </c>
      <c r="C278" t="s">
        <v>622</v>
      </c>
      <c r="D278" t="s">
        <v>133</v>
      </c>
      <c r="E278">
        <v>8728.1252000000004</v>
      </c>
      <c r="F278">
        <v>4698.0839999999998</v>
      </c>
      <c r="G278">
        <v>0.3</v>
      </c>
      <c r="H278">
        <v>0.33489010684107801</v>
      </c>
      <c r="I278">
        <v>0.53826954727917997</v>
      </c>
      <c r="J278" t="s">
        <v>76</v>
      </c>
      <c r="K278" t="s">
        <v>38</v>
      </c>
      <c r="L278" t="s">
        <v>293</v>
      </c>
      <c r="M278" t="s">
        <v>19</v>
      </c>
    </row>
    <row r="279" spans="1:13" x14ac:dyDescent="0.3">
      <c r="A279" t="s">
        <v>623</v>
      </c>
      <c r="B279" t="s">
        <v>506</v>
      </c>
      <c r="C279" t="s">
        <v>624</v>
      </c>
      <c r="D279" t="s">
        <v>133</v>
      </c>
      <c r="E279">
        <v>492.96</v>
      </c>
      <c r="F279">
        <v>148.2664</v>
      </c>
      <c r="G279">
        <v>0.6</v>
      </c>
      <c r="H279">
        <v>0.64523863553650695</v>
      </c>
      <c r="I279">
        <v>0.30076760791950702</v>
      </c>
      <c r="J279" t="s">
        <v>37</v>
      </c>
      <c r="K279" t="s">
        <v>38</v>
      </c>
      <c r="L279" t="s">
        <v>18</v>
      </c>
      <c r="M279" t="s">
        <v>19</v>
      </c>
    </row>
    <row r="280" spans="1:13" x14ac:dyDescent="0.3">
      <c r="A280" t="s">
        <v>625</v>
      </c>
      <c r="B280" t="s">
        <v>506</v>
      </c>
      <c r="C280" t="s">
        <v>626</v>
      </c>
      <c r="D280" t="s">
        <v>133</v>
      </c>
      <c r="E280">
        <v>5281.6719999999996</v>
      </c>
      <c r="F280">
        <v>2135.8588</v>
      </c>
      <c r="G280">
        <v>0.4</v>
      </c>
      <c r="H280">
        <v>0.43129258155188499</v>
      </c>
      <c r="I280">
        <v>0.40439065508043698</v>
      </c>
      <c r="J280" t="s">
        <v>76</v>
      </c>
      <c r="K280" t="s">
        <v>38</v>
      </c>
      <c r="L280" t="s">
        <v>18</v>
      </c>
      <c r="M280" t="s">
        <v>32</v>
      </c>
    </row>
    <row r="281" spans="1:13" x14ac:dyDescent="0.3">
      <c r="A281" t="s">
        <v>627</v>
      </c>
      <c r="B281" t="s">
        <v>506</v>
      </c>
      <c r="C281" t="s">
        <v>628</v>
      </c>
      <c r="D281" t="s">
        <v>133</v>
      </c>
      <c r="E281">
        <v>6137.2615999999998</v>
      </c>
      <c r="F281">
        <v>3708.0140000000001</v>
      </c>
      <c r="G281">
        <v>0.2</v>
      </c>
      <c r="H281">
        <v>0.19752309988455299</v>
      </c>
      <c r="I281">
        <v>0.60418053550137096</v>
      </c>
      <c r="J281" t="s">
        <v>17</v>
      </c>
      <c r="L281" t="s">
        <v>18</v>
      </c>
      <c r="M281" t="s">
        <v>32</v>
      </c>
    </row>
    <row r="282" spans="1:13" x14ac:dyDescent="0.3">
      <c r="A282" t="s">
        <v>629</v>
      </c>
      <c r="B282" t="s">
        <v>506</v>
      </c>
      <c r="C282" t="s">
        <v>630</v>
      </c>
      <c r="D282" t="s">
        <v>167</v>
      </c>
      <c r="E282">
        <v>3606.2944000000002</v>
      </c>
      <c r="F282">
        <v>2980.22</v>
      </c>
      <c r="G282">
        <v>0.1</v>
      </c>
      <c r="H282">
        <v>0.12160242047106599</v>
      </c>
      <c r="I282">
        <v>0.82639398491703797</v>
      </c>
      <c r="J282" t="s">
        <v>17</v>
      </c>
      <c r="L282" t="s">
        <v>18</v>
      </c>
      <c r="M282" t="s">
        <v>32</v>
      </c>
    </row>
    <row r="283" spans="1:13" x14ac:dyDescent="0.3">
      <c r="A283" t="s">
        <v>631</v>
      </c>
      <c r="B283" t="s">
        <v>506</v>
      </c>
      <c r="C283" t="s">
        <v>632</v>
      </c>
      <c r="D283" t="s">
        <v>133</v>
      </c>
      <c r="E283">
        <v>4242.1876000000002</v>
      </c>
      <c r="F283">
        <v>4170.7987999999996</v>
      </c>
      <c r="G283">
        <v>0</v>
      </c>
      <c r="H283">
        <v>1.1201257374213401E-2</v>
      </c>
      <c r="I283">
        <v>0.98317170131749898</v>
      </c>
      <c r="J283" t="s">
        <v>17</v>
      </c>
      <c r="L283" t="s">
        <v>18</v>
      </c>
      <c r="M283" t="s">
        <v>19</v>
      </c>
    </row>
    <row r="284" spans="1:13" x14ac:dyDescent="0.3">
      <c r="A284" t="s">
        <v>633</v>
      </c>
      <c r="B284" t="s">
        <v>506</v>
      </c>
      <c r="C284" t="s">
        <v>634</v>
      </c>
      <c r="D284" t="s">
        <v>133</v>
      </c>
      <c r="E284">
        <v>1433.932</v>
      </c>
      <c r="F284">
        <v>1407.3915999999999</v>
      </c>
      <c r="G284">
        <v>0</v>
      </c>
      <c r="H284">
        <v>1.6431293409784501E-2</v>
      </c>
      <c r="I284">
        <v>0.98149117252422002</v>
      </c>
      <c r="J284" t="s">
        <v>17</v>
      </c>
      <c r="L284" t="s">
        <v>18</v>
      </c>
      <c r="M284" t="s">
        <v>32</v>
      </c>
    </row>
    <row r="285" spans="1:13" x14ac:dyDescent="0.3">
      <c r="A285" t="s">
        <v>635</v>
      </c>
      <c r="B285" t="s">
        <v>506</v>
      </c>
      <c r="C285" t="s">
        <v>636</v>
      </c>
      <c r="D285" t="s">
        <v>133</v>
      </c>
      <c r="E285">
        <v>3024.2363999999998</v>
      </c>
      <c r="F285">
        <v>1334.6487999999999</v>
      </c>
      <c r="G285">
        <v>0.4</v>
      </c>
      <c r="H285">
        <v>0.43610348503704999</v>
      </c>
      <c r="I285">
        <v>0.44131761657256702</v>
      </c>
      <c r="J285" t="s">
        <v>98</v>
      </c>
      <c r="K285" t="s">
        <v>598</v>
      </c>
      <c r="L285" t="s">
        <v>18</v>
      </c>
      <c r="M285" t="s">
        <v>32</v>
      </c>
    </row>
    <row r="286" spans="1:13" x14ac:dyDescent="0.3">
      <c r="A286" t="s">
        <v>637</v>
      </c>
      <c r="B286" t="s">
        <v>506</v>
      </c>
      <c r="C286" t="s">
        <v>638</v>
      </c>
      <c r="D286" t="s">
        <v>133</v>
      </c>
      <c r="E286">
        <v>1545.4911999999999</v>
      </c>
      <c r="F286">
        <v>1242.8227999999999</v>
      </c>
      <c r="G286">
        <v>0.1</v>
      </c>
      <c r="H286">
        <v>0.13797734188278499</v>
      </c>
      <c r="I286">
        <v>0.80416038603131501</v>
      </c>
      <c r="J286" t="s">
        <v>17</v>
      </c>
      <c r="L286" t="s">
        <v>18</v>
      </c>
      <c r="M286" t="s">
        <v>24</v>
      </c>
    </row>
    <row r="287" spans="1:13" x14ac:dyDescent="0.3">
      <c r="A287" t="s">
        <v>639</v>
      </c>
      <c r="B287" t="s">
        <v>506</v>
      </c>
      <c r="C287" t="s">
        <v>640</v>
      </c>
      <c r="D287" t="s">
        <v>133</v>
      </c>
      <c r="E287">
        <v>6280.5940000000001</v>
      </c>
      <c r="F287">
        <v>2257.5219999999999</v>
      </c>
      <c r="G287">
        <v>0.5</v>
      </c>
      <c r="H287">
        <v>0.456964999465997</v>
      </c>
      <c r="I287">
        <v>0.35944402710953799</v>
      </c>
      <c r="J287" t="s">
        <v>98</v>
      </c>
      <c r="K287" t="s">
        <v>598</v>
      </c>
      <c r="L287" t="s">
        <v>18</v>
      </c>
      <c r="M287" t="s">
        <v>32</v>
      </c>
    </row>
    <row r="288" spans="1:13" x14ac:dyDescent="0.3">
      <c r="A288" t="s">
        <v>641</v>
      </c>
      <c r="B288" t="s">
        <v>506</v>
      </c>
      <c r="C288" t="s">
        <v>642</v>
      </c>
      <c r="D288" t="s">
        <v>133</v>
      </c>
      <c r="E288">
        <v>1742.278</v>
      </c>
      <c r="F288">
        <v>1563.8912</v>
      </c>
      <c r="G288">
        <v>0.1</v>
      </c>
      <c r="H288">
        <v>8.3332700581028402E-2</v>
      </c>
      <c r="I288">
        <v>0.89761289530143895</v>
      </c>
      <c r="J288" t="s">
        <v>17</v>
      </c>
      <c r="L288" t="s">
        <v>18</v>
      </c>
      <c r="M288" t="s">
        <v>19</v>
      </c>
    </row>
    <row r="289" spans="1:13" x14ac:dyDescent="0.3">
      <c r="A289" t="s">
        <v>643</v>
      </c>
      <c r="B289" t="s">
        <v>506</v>
      </c>
      <c r="C289" t="s">
        <v>644</v>
      </c>
      <c r="D289" t="s">
        <v>133</v>
      </c>
      <c r="E289">
        <v>7440.4260000000004</v>
      </c>
      <c r="F289">
        <v>4242.93</v>
      </c>
      <c r="G289">
        <v>0.4</v>
      </c>
      <c r="H289">
        <v>0.36608373256934301</v>
      </c>
      <c r="I289">
        <v>0.57025363870294499</v>
      </c>
      <c r="J289" t="s">
        <v>98</v>
      </c>
      <c r="K289" t="s">
        <v>38</v>
      </c>
      <c r="L289" t="s">
        <v>18</v>
      </c>
      <c r="M289" t="s">
        <v>19</v>
      </c>
    </row>
    <row r="290" spans="1:13" x14ac:dyDescent="0.3">
      <c r="A290" t="s">
        <v>645</v>
      </c>
      <c r="B290" t="s">
        <v>506</v>
      </c>
      <c r="C290" t="s">
        <v>646</v>
      </c>
      <c r="D290" t="s">
        <v>133</v>
      </c>
      <c r="E290">
        <v>5227.4683999999997</v>
      </c>
      <c r="F290">
        <v>3303.6124</v>
      </c>
      <c r="G290">
        <v>0.3</v>
      </c>
      <c r="H290">
        <v>0.28758980323185501</v>
      </c>
      <c r="I290">
        <v>0.63197175902584102</v>
      </c>
      <c r="J290" t="s">
        <v>17</v>
      </c>
      <c r="L290" t="s">
        <v>18</v>
      </c>
      <c r="M290" t="s">
        <v>19</v>
      </c>
    </row>
    <row r="291" spans="1:13" x14ac:dyDescent="0.3">
      <c r="A291" t="s">
        <v>647</v>
      </c>
      <c r="B291" t="s">
        <v>506</v>
      </c>
      <c r="C291" t="s">
        <v>648</v>
      </c>
      <c r="D291" t="s">
        <v>133</v>
      </c>
      <c r="E291">
        <v>4653.6067999999996</v>
      </c>
      <c r="F291">
        <v>2366.6848</v>
      </c>
      <c r="G291">
        <v>0.4</v>
      </c>
      <c r="H291">
        <v>0.37914016181953603</v>
      </c>
      <c r="I291">
        <v>0.50856999779181999</v>
      </c>
      <c r="J291" t="s">
        <v>76</v>
      </c>
      <c r="K291" t="s">
        <v>38</v>
      </c>
      <c r="L291" t="s">
        <v>18</v>
      </c>
      <c r="M291" t="s">
        <v>32</v>
      </c>
    </row>
    <row r="292" spans="1:13" x14ac:dyDescent="0.3">
      <c r="A292" t="s">
        <v>649</v>
      </c>
      <c r="B292" t="s">
        <v>506</v>
      </c>
      <c r="C292" t="s">
        <v>650</v>
      </c>
      <c r="D292" t="s">
        <v>133</v>
      </c>
      <c r="E292">
        <v>2862.4155999999998</v>
      </c>
      <c r="F292">
        <v>1664.26</v>
      </c>
      <c r="G292">
        <v>0.5</v>
      </c>
      <c r="H292">
        <v>0.496462617222034</v>
      </c>
      <c r="I292">
        <v>0.58141801630762502</v>
      </c>
      <c r="J292" t="s">
        <v>76</v>
      </c>
      <c r="K292" t="s">
        <v>38</v>
      </c>
      <c r="L292" t="s">
        <v>18</v>
      </c>
      <c r="M292" t="s">
        <v>19</v>
      </c>
    </row>
    <row r="293" spans="1:13" x14ac:dyDescent="0.3">
      <c r="A293" t="s">
        <v>651</v>
      </c>
      <c r="B293" t="s">
        <v>506</v>
      </c>
      <c r="C293" t="s">
        <v>652</v>
      </c>
      <c r="D293" t="s">
        <v>133</v>
      </c>
      <c r="E293">
        <v>6972.2335999999996</v>
      </c>
      <c r="F293">
        <v>2020.0288</v>
      </c>
      <c r="G293">
        <v>0.7</v>
      </c>
      <c r="H293">
        <v>0.69753489193406304</v>
      </c>
      <c r="I293">
        <v>0.28972477342124597</v>
      </c>
      <c r="J293" t="s">
        <v>76</v>
      </c>
      <c r="K293" t="s">
        <v>175</v>
      </c>
      <c r="L293" t="s">
        <v>18</v>
      </c>
      <c r="M293" t="s">
        <v>19</v>
      </c>
    </row>
    <row r="294" spans="1:13" hidden="1" x14ac:dyDescent="0.3">
      <c r="A294" t="s">
        <v>653</v>
      </c>
      <c r="B294" t="s">
        <v>654</v>
      </c>
      <c r="C294" t="s">
        <v>655</v>
      </c>
      <c r="D294" t="s">
        <v>130</v>
      </c>
      <c r="E294">
        <v>4671.0663999999997</v>
      </c>
      <c r="F294">
        <v>4637.4332000000004</v>
      </c>
      <c r="G294">
        <v>0</v>
      </c>
      <c r="H294">
        <v>1.32339361819903E-2</v>
      </c>
      <c r="I294">
        <v>0.99279967418146797</v>
      </c>
      <c r="J294" t="s">
        <v>17</v>
      </c>
      <c r="L294" t="s">
        <v>18</v>
      </c>
      <c r="M294" t="s">
        <v>19</v>
      </c>
    </row>
    <row r="295" spans="1:13" hidden="1" x14ac:dyDescent="0.3">
      <c r="A295" t="s">
        <v>656</v>
      </c>
      <c r="B295" t="s">
        <v>654</v>
      </c>
      <c r="C295" t="s">
        <v>657</v>
      </c>
      <c r="D295" t="s">
        <v>130</v>
      </c>
      <c r="E295">
        <v>607.48800000000006</v>
      </c>
      <c r="F295">
        <v>601.39200000000005</v>
      </c>
      <c r="G295">
        <v>0</v>
      </c>
      <c r="H295">
        <v>1.4373005117095701E-2</v>
      </c>
      <c r="I295">
        <v>0.98996523388116298</v>
      </c>
      <c r="J295" t="s">
        <v>17</v>
      </c>
      <c r="L295" t="s">
        <v>18</v>
      </c>
      <c r="M295" t="s">
        <v>29</v>
      </c>
    </row>
    <row r="296" spans="1:13" hidden="1" x14ac:dyDescent="0.3">
      <c r="A296" t="s">
        <v>658</v>
      </c>
      <c r="B296" t="s">
        <v>654</v>
      </c>
      <c r="C296" t="s">
        <v>659</v>
      </c>
      <c r="D296" t="s">
        <v>130</v>
      </c>
      <c r="E296">
        <v>41251.817999999999</v>
      </c>
      <c r="F296">
        <v>40919.995600000002</v>
      </c>
      <c r="G296">
        <v>0</v>
      </c>
      <c r="H296">
        <v>1.7282223946704301E-2</v>
      </c>
      <c r="I296">
        <v>0.99195617511936096</v>
      </c>
      <c r="J296" t="s">
        <v>17</v>
      </c>
      <c r="L296" t="s">
        <v>18</v>
      </c>
      <c r="M296" t="s">
        <v>19</v>
      </c>
    </row>
    <row r="297" spans="1:13" hidden="1" x14ac:dyDescent="0.3">
      <c r="A297" t="s">
        <v>660</v>
      </c>
      <c r="B297" t="s">
        <v>654</v>
      </c>
      <c r="C297" t="s">
        <v>661</v>
      </c>
      <c r="D297" t="s">
        <v>130</v>
      </c>
      <c r="E297">
        <v>2677.2</v>
      </c>
      <c r="F297">
        <v>2670.3191999999999</v>
      </c>
      <c r="G297">
        <v>0</v>
      </c>
      <c r="H297">
        <v>4.6549515634505103E-3</v>
      </c>
      <c r="I297">
        <v>0.99742985208426704</v>
      </c>
      <c r="J297" t="s">
        <v>17</v>
      </c>
      <c r="L297" t="s">
        <v>18</v>
      </c>
      <c r="M297" t="s">
        <v>32</v>
      </c>
    </row>
    <row r="298" spans="1:13" hidden="1" x14ac:dyDescent="0.3">
      <c r="A298" t="s">
        <v>662</v>
      </c>
      <c r="B298" t="s">
        <v>654</v>
      </c>
      <c r="C298" t="s">
        <v>663</v>
      </c>
      <c r="D298" t="s">
        <v>130</v>
      </c>
      <c r="E298">
        <v>8634.3688000000002</v>
      </c>
      <c r="F298">
        <v>8543.5324000000001</v>
      </c>
      <c r="G298">
        <v>0</v>
      </c>
      <c r="H298">
        <v>1.7743030122629601E-2</v>
      </c>
      <c r="I298">
        <v>0.98947967105597801</v>
      </c>
      <c r="J298" t="s">
        <v>17</v>
      </c>
      <c r="L298" t="s">
        <v>18</v>
      </c>
      <c r="M298" t="s">
        <v>32</v>
      </c>
    </row>
    <row r="299" spans="1:13" hidden="1" x14ac:dyDescent="0.3">
      <c r="A299" t="s">
        <v>664</v>
      </c>
      <c r="B299" t="s">
        <v>654</v>
      </c>
      <c r="C299" t="s">
        <v>665</v>
      </c>
      <c r="D299" t="s">
        <v>130</v>
      </c>
      <c r="E299">
        <v>41250.668400000002</v>
      </c>
      <c r="F299">
        <v>40909.9712</v>
      </c>
      <c r="G299">
        <v>0</v>
      </c>
      <c r="H299">
        <v>1.04837234445636E-2</v>
      </c>
      <c r="I299">
        <v>0.99174080776834195</v>
      </c>
      <c r="J299" t="s">
        <v>17</v>
      </c>
      <c r="L299" t="s">
        <v>18</v>
      </c>
      <c r="M299" t="s">
        <v>19</v>
      </c>
    </row>
    <row r="300" spans="1:13" hidden="1" x14ac:dyDescent="0.3">
      <c r="A300" t="s">
        <v>666</v>
      </c>
      <c r="B300" t="s">
        <v>654</v>
      </c>
      <c r="C300" t="s">
        <v>667</v>
      </c>
      <c r="D300" t="s">
        <v>130</v>
      </c>
      <c r="E300">
        <v>20205.945199999998</v>
      </c>
      <c r="F300">
        <v>20074.736400000002</v>
      </c>
      <c r="G300">
        <v>0</v>
      </c>
      <c r="H300">
        <v>1.02364808296635E-2</v>
      </c>
      <c r="I300">
        <v>0.99350642601960504</v>
      </c>
      <c r="J300" t="s">
        <v>17</v>
      </c>
      <c r="L300" t="s">
        <v>18</v>
      </c>
      <c r="M300" t="s">
        <v>19</v>
      </c>
    </row>
    <row r="301" spans="1:13" hidden="1" x14ac:dyDescent="0.3">
      <c r="A301" t="s">
        <v>668</v>
      </c>
      <c r="B301" t="s">
        <v>654</v>
      </c>
      <c r="C301" t="s">
        <v>669</v>
      </c>
      <c r="D301" t="s">
        <v>130</v>
      </c>
      <c r="E301">
        <v>8321.3631999999998</v>
      </c>
      <c r="F301">
        <v>8164.2907999999998</v>
      </c>
      <c r="G301">
        <v>0</v>
      </c>
      <c r="H301">
        <v>1.9007056272439898E-2</v>
      </c>
      <c r="I301">
        <v>0.98112419849670796</v>
      </c>
      <c r="J301" t="s">
        <v>17</v>
      </c>
      <c r="L301" t="s">
        <v>18</v>
      </c>
      <c r="M301" t="s">
        <v>24</v>
      </c>
    </row>
    <row r="302" spans="1:13" hidden="1" x14ac:dyDescent="0.3">
      <c r="A302" t="s">
        <v>670</v>
      </c>
      <c r="B302" t="s">
        <v>654</v>
      </c>
      <c r="C302" t="s">
        <v>671</v>
      </c>
      <c r="D302" t="s">
        <v>130</v>
      </c>
      <c r="E302">
        <v>742.69320000000005</v>
      </c>
      <c r="F302">
        <v>683.21280000000002</v>
      </c>
      <c r="G302">
        <v>0.1</v>
      </c>
      <c r="H302">
        <v>8.4522965923370497E-2</v>
      </c>
      <c r="I302">
        <v>0.91991255608641598</v>
      </c>
      <c r="J302" t="s">
        <v>17</v>
      </c>
      <c r="L302" t="s">
        <v>18</v>
      </c>
      <c r="M302" t="s">
        <v>24</v>
      </c>
    </row>
    <row r="303" spans="1:13" hidden="1" x14ac:dyDescent="0.3">
      <c r="A303" t="s">
        <v>672</v>
      </c>
      <c r="B303" t="s">
        <v>654</v>
      </c>
      <c r="C303" t="s">
        <v>673</v>
      </c>
      <c r="D303" t="s">
        <v>130</v>
      </c>
      <c r="E303">
        <v>17149.5756</v>
      </c>
      <c r="F303">
        <v>16965.020799999998</v>
      </c>
      <c r="G303">
        <v>0</v>
      </c>
      <c r="H303">
        <v>1.1228358731801899E-2</v>
      </c>
      <c r="I303">
        <v>0.98923852086462105</v>
      </c>
      <c r="J303" t="s">
        <v>17</v>
      </c>
      <c r="L303" t="s">
        <v>18</v>
      </c>
      <c r="M303" t="s">
        <v>32</v>
      </c>
    </row>
    <row r="304" spans="1:13" hidden="1" x14ac:dyDescent="0.3">
      <c r="A304" t="s">
        <v>674</v>
      </c>
      <c r="B304" t="s">
        <v>654</v>
      </c>
      <c r="C304" t="s">
        <v>675</v>
      </c>
      <c r="D304" t="s">
        <v>130</v>
      </c>
      <c r="E304">
        <v>11734.275600000001</v>
      </c>
      <c r="F304">
        <v>11706.3608</v>
      </c>
      <c r="G304">
        <v>0</v>
      </c>
      <c r="H304">
        <v>3.28876249482284E-3</v>
      </c>
      <c r="I304">
        <v>0.99762108877006395</v>
      </c>
      <c r="J304" t="s">
        <v>17</v>
      </c>
      <c r="L304" t="s">
        <v>18</v>
      </c>
      <c r="M304" t="s">
        <v>24</v>
      </c>
    </row>
    <row r="305" spans="1:13" hidden="1" x14ac:dyDescent="0.3">
      <c r="A305" t="s">
        <v>676</v>
      </c>
      <c r="B305" t="s">
        <v>654</v>
      </c>
      <c r="C305" t="s">
        <v>677</v>
      </c>
      <c r="D305" t="s">
        <v>130</v>
      </c>
      <c r="E305">
        <v>42273.727200000001</v>
      </c>
      <c r="F305">
        <v>40004.239600000001</v>
      </c>
      <c r="G305">
        <v>0</v>
      </c>
      <c r="H305">
        <v>4.2023270495740499E-2</v>
      </c>
      <c r="I305">
        <v>0.94631446644714101</v>
      </c>
      <c r="J305" t="s">
        <v>17</v>
      </c>
      <c r="L305" t="s">
        <v>18</v>
      </c>
      <c r="M305" t="s">
        <v>32</v>
      </c>
    </row>
    <row r="306" spans="1:13" hidden="1" x14ac:dyDescent="0.3">
      <c r="A306" t="s">
        <v>678</v>
      </c>
      <c r="B306" t="s">
        <v>654</v>
      </c>
      <c r="C306" t="s">
        <v>679</v>
      </c>
      <c r="D306" t="s">
        <v>130</v>
      </c>
      <c r="E306">
        <v>49834.434399999998</v>
      </c>
      <c r="F306">
        <v>48084.245199999998</v>
      </c>
      <c r="G306">
        <v>0</v>
      </c>
      <c r="H306">
        <v>2.1665814166706401E-2</v>
      </c>
      <c r="I306">
        <v>0.96487992246581999</v>
      </c>
      <c r="J306" t="s">
        <v>17</v>
      </c>
      <c r="L306" t="s">
        <v>18</v>
      </c>
      <c r="M306" t="s">
        <v>19</v>
      </c>
    </row>
    <row r="307" spans="1:13" hidden="1" x14ac:dyDescent="0.3">
      <c r="A307" t="s">
        <v>680</v>
      </c>
      <c r="B307" t="s">
        <v>681</v>
      </c>
      <c r="C307" t="s">
        <v>682</v>
      </c>
      <c r="D307" t="s">
        <v>127</v>
      </c>
      <c r="E307">
        <v>1673.7739999999999</v>
      </c>
      <c r="F307">
        <v>1666.85</v>
      </c>
      <c r="G307">
        <v>0</v>
      </c>
      <c r="H307">
        <v>8.0848871715066203E-3</v>
      </c>
      <c r="I307">
        <v>0.99586324079595001</v>
      </c>
      <c r="J307" t="s">
        <v>17</v>
      </c>
      <c r="L307" t="s">
        <v>18</v>
      </c>
      <c r="M307" t="s">
        <v>24</v>
      </c>
    </row>
    <row r="308" spans="1:13" hidden="1" x14ac:dyDescent="0.3">
      <c r="A308" t="s">
        <v>683</v>
      </c>
      <c r="B308" t="s">
        <v>681</v>
      </c>
      <c r="C308" t="s">
        <v>684</v>
      </c>
      <c r="D308" t="s">
        <v>127</v>
      </c>
      <c r="E308">
        <v>129.90559999999999</v>
      </c>
      <c r="F308">
        <v>129.15479999999999</v>
      </c>
      <c r="G308">
        <v>0</v>
      </c>
      <c r="H308">
        <v>6.2493431911331198E-3</v>
      </c>
      <c r="I308">
        <v>0.99422041851929399</v>
      </c>
      <c r="J308" t="s">
        <v>17</v>
      </c>
      <c r="L308" t="s">
        <v>18</v>
      </c>
      <c r="M308" t="s">
        <v>29</v>
      </c>
    </row>
    <row r="309" spans="1:13" hidden="1" x14ac:dyDescent="0.3">
      <c r="A309" t="s">
        <v>685</v>
      </c>
      <c r="B309" t="s">
        <v>681</v>
      </c>
      <c r="C309" t="s">
        <v>686</v>
      </c>
      <c r="D309" t="s">
        <v>127</v>
      </c>
      <c r="E309">
        <v>1320.886</v>
      </c>
      <c r="F309">
        <v>1298.8296</v>
      </c>
      <c r="G309">
        <v>0</v>
      </c>
      <c r="H309">
        <v>1.4947451175107301E-2</v>
      </c>
      <c r="I309">
        <v>0.98330181408539397</v>
      </c>
      <c r="J309" t="s">
        <v>17</v>
      </c>
      <c r="L309" t="s">
        <v>18</v>
      </c>
      <c r="M309" t="s">
        <v>29</v>
      </c>
    </row>
    <row r="310" spans="1:13" hidden="1" x14ac:dyDescent="0.3">
      <c r="A310" t="s">
        <v>687</v>
      </c>
      <c r="B310" t="s">
        <v>681</v>
      </c>
      <c r="C310" t="s">
        <v>688</v>
      </c>
      <c r="D310" t="s">
        <v>127</v>
      </c>
      <c r="E310">
        <v>983.548</v>
      </c>
      <c r="F310">
        <v>979.37239999999997</v>
      </c>
      <c r="G310">
        <v>0</v>
      </c>
      <c r="H310">
        <v>7.3267703942449603E-3</v>
      </c>
      <c r="I310">
        <v>0.99575455392111001</v>
      </c>
      <c r="J310" t="s">
        <v>17</v>
      </c>
      <c r="L310" t="s">
        <v>18</v>
      </c>
      <c r="M310" t="s">
        <v>19</v>
      </c>
    </row>
    <row r="311" spans="1:13" hidden="1" x14ac:dyDescent="0.3">
      <c r="A311" t="s">
        <v>689</v>
      </c>
      <c r="B311" t="s">
        <v>681</v>
      </c>
      <c r="C311" t="s">
        <v>690</v>
      </c>
      <c r="D311" t="s">
        <v>84</v>
      </c>
      <c r="E311">
        <v>988.53</v>
      </c>
      <c r="F311">
        <v>829.17679999999996</v>
      </c>
      <c r="G311">
        <v>0.1</v>
      </c>
      <c r="H311">
        <v>0.106452992408834</v>
      </c>
      <c r="I311">
        <v>0.83879781089091898</v>
      </c>
      <c r="J311" t="s">
        <v>17</v>
      </c>
      <c r="L311" t="s">
        <v>18</v>
      </c>
      <c r="M311" t="s">
        <v>32</v>
      </c>
    </row>
    <row r="312" spans="1:13" hidden="1" x14ac:dyDescent="0.3">
      <c r="A312" t="s">
        <v>691</v>
      </c>
      <c r="B312" t="s">
        <v>681</v>
      </c>
      <c r="C312" t="s">
        <v>692</v>
      </c>
      <c r="D312" t="s">
        <v>127</v>
      </c>
      <c r="E312">
        <v>59.8264</v>
      </c>
      <c r="F312">
        <v>57.031999999999996</v>
      </c>
      <c r="G312">
        <v>0.1</v>
      </c>
      <c r="H312">
        <v>6.3787778854147395E-2</v>
      </c>
      <c r="I312">
        <v>0.95329152347458601</v>
      </c>
      <c r="J312" t="s">
        <v>17</v>
      </c>
      <c r="L312" t="s">
        <v>18</v>
      </c>
      <c r="M312" t="s">
        <v>24</v>
      </c>
    </row>
    <row r="313" spans="1:13" hidden="1" x14ac:dyDescent="0.3">
      <c r="A313" t="s">
        <v>693</v>
      </c>
      <c r="B313" t="s">
        <v>681</v>
      </c>
      <c r="C313" t="s">
        <v>694</v>
      </c>
      <c r="D313" t="s">
        <v>127</v>
      </c>
      <c r="E313">
        <v>185.21360000000001</v>
      </c>
      <c r="F313">
        <v>130.8612</v>
      </c>
      <c r="G313">
        <v>0.3</v>
      </c>
      <c r="H313">
        <v>0.28966674154685801</v>
      </c>
      <c r="I313">
        <v>0.70654206818505805</v>
      </c>
      <c r="J313" t="s">
        <v>17</v>
      </c>
      <c r="L313" t="s">
        <v>18</v>
      </c>
      <c r="M313" t="s">
        <v>19</v>
      </c>
    </row>
    <row r="314" spans="1:13" hidden="1" x14ac:dyDescent="0.3">
      <c r="A314" t="s">
        <v>695</v>
      </c>
      <c r="B314" t="s">
        <v>681</v>
      </c>
      <c r="C314" t="s">
        <v>696</v>
      </c>
      <c r="D314" t="s">
        <v>127</v>
      </c>
      <c r="E314">
        <v>2.86</v>
      </c>
      <c r="F314">
        <v>0.61439999999999995</v>
      </c>
      <c r="G314">
        <v>0.9</v>
      </c>
      <c r="H314">
        <v>0.869360902255639</v>
      </c>
      <c r="I314">
        <v>0.220839160839161</v>
      </c>
      <c r="J314" t="s">
        <v>37</v>
      </c>
      <c r="K314" t="s">
        <v>206</v>
      </c>
      <c r="L314" t="s">
        <v>18</v>
      </c>
      <c r="M314" t="s">
        <v>32</v>
      </c>
    </row>
    <row r="315" spans="1:13" hidden="1" x14ac:dyDescent="0.3">
      <c r="A315" t="s">
        <v>697</v>
      </c>
      <c r="B315" t="s">
        <v>681</v>
      </c>
      <c r="C315" t="s">
        <v>698</v>
      </c>
      <c r="D315" t="s">
        <v>127</v>
      </c>
      <c r="E315">
        <v>142.76560000000001</v>
      </c>
      <c r="F315">
        <v>140.2268</v>
      </c>
      <c r="G315">
        <v>0</v>
      </c>
      <c r="H315">
        <v>4.2140483285916401E-2</v>
      </c>
      <c r="I315">
        <v>0.98221700465658401</v>
      </c>
      <c r="J315" t="s">
        <v>17</v>
      </c>
      <c r="L315" t="s">
        <v>18</v>
      </c>
      <c r="M315" t="s">
        <v>32</v>
      </c>
    </row>
    <row r="316" spans="1:13" hidden="1" x14ac:dyDescent="0.3">
      <c r="A316" t="s">
        <v>699</v>
      </c>
      <c r="B316" t="s">
        <v>681</v>
      </c>
      <c r="C316" t="s">
        <v>700</v>
      </c>
      <c r="D316" t="s">
        <v>127</v>
      </c>
      <c r="E316">
        <v>7582.1624000000002</v>
      </c>
      <c r="F316">
        <v>7342.0047999999997</v>
      </c>
      <c r="G316">
        <v>0</v>
      </c>
      <c r="H316">
        <v>1.2980613483179399E-2</v>
      </c>
      <c r="I316">
        <v>0.96832597518618202</v>
      </c>
      <c r="J316" t="s">
        <v>17</v>
      </c>
      <c r="L316" t="s">
        <v>18</v>
      </c>
      <c r="M316" t="s">
        <v>19</v>
      </c>
    </row>
    <row r="317" spans="1:13" hidden="1" x14ac:dyDescent="0.3">
      <c r="A317" t="s">
        <v>701</v>
      </c>
      <c r="B317" t="s">
        <v>681</v>
      </c>
      <c r="C317" t="s">
        <v>702</v>
      </c>
      <c r="D317" t="s">
        <v>127</v>
      </c>
      <c r="E317">
        <v>539.33240000000001</v>
      </c>
      <c r="F317">
        <v>534.20360000000005</v>
      </c>
      <c r="G317">
        <v>0</v>
      </c>
      <c r="H317">
        <v>7.0949080645594798E-3</v>
      </c>
      <c r="I317">
        <v>0.99049046562008902</v>
      </c>
      <c r="J317" t="s">
        <v>17</v>
      </c>
      <c r="L317" t="s">
        <v>18</v>
      </c>
      <c r="M317" t="s">
        <v>32</v>
      </c>
    </row>
    <row r="318" spans="1:13" hidden="1" x14ac:dyDescent="0.3">
      <c r="A318" t="s">
        <v>703</v>
      </c>
      <c r="B318" t="s">
        <v>681</v>
      </c>
      <c r="C318" t="s">
        <v>704</v>
      </c>
      <c r="D318" t="s">
        <v>127</v>
      </c>
      <c r="E318">
        <v>3107.9960000000001</v>
      </c>
      <c r="F318">
        <v>2891.0239999999999</v>
      </c>
      <c r="G318">
        <v>0</v>
      </c>
      <c r="H318">
        <v>2.9535900181497401E-2</v>
      </c>
      <c r="I318">
        <v>0.93018909934246996</v>
      </c>
      <c r="J318" t="s">
        <v>17</v>
      </c>
      <c r="L318" t="s">
        <v>18</v>
      </c>
      <c r="M318" t="s">
        <v>19</v>
      </c>
    </row>
    <row r="319" spans="1:13" hidden="1" x14ac:dyDescent="0.3">
      <c r="A319" t="s">
        <v>705</v>
      </c>
      <c r="B319" t="s">
        <v>681</v>
      </c>
      <c r="C319" t="s">
        <v>706</v>
      </c>
      <c r="D319" t="s">
        <v>127</v>
      </c>
      <c r="E319">
        <v>5040.6135999999997</v>
      </c>
      <c r="F319">
        <v>4581.2659999999996</v>
      </c>
      <c r="G319">
        <v>0</v>
      </c>
      <c r="H319">
        <v>3.45540500821074E-2</v>
      </c>
      <c r="I319">
        <v>0.90887069780552099</v>
      </c>
      <c r="J319" t="s">
        <v>17</v>
      </c>
      <c r="L319" t="s">
        <v>18</v>
      </c>
      <c r="M319" t="s">
        <v>19</v>
      </c>
    </row>
    <row r="320" spans="1:13" hidden="1" x14ac:dyDescent="0.3">
      <c r="A320" t="s">
        <v>707</v>
      </c>
      <c r="B320" t="s">
        <v>681</v>
      </c>
      <c r="C320" t="s">
        <v>708</v>
      </c>
      <c r="D320" t="s">
        <v>127</v>
      </c>
      <c r="E320">
        <v>653.34360000000004</v>
      </c>
      <c r="F320">
        <v>650.53840000000002</v>
      </c>
      <c r="G320">
        <v>0</v>
      </c>
      <c r="H320">
        <v>1.0608890572013E-2</v>
      </c>
      <c r="I320">
        <v>0.99570639400156402</v>
      </c>
      <c r="J320" t="s">
        <v>17</v>
      </c>
      <c r="L320" t="s">
        <v>18</v>
      </c>
      <c r="M320" t="s">
        <v>32</v>
      </c>
    </row>
    <row r="321" spans="1:13" hidden="1" x14ac:dyDescent="0.3">
      <c r="A321" t="s">
        <v>709</v>
      </c>
      <c r="B321" t="s">
        <v>681</v>
      </c>
      <c r="C321" t="s">
        <v>710</v>
      </c>
      <c r="D321" t="s">
        <v>84</v>
      </c>
      <c r="E321">
        <v>396.7944</v>
      </c>
      <c r="F321">
        <v>391.50599999999997</v>
      </c>
      <c r="G321">
        <v>0</v>
      </c>
      <c r="H321">
        <v>8.9397324498538804E-3</v>
      </c>
      <c r="I321">
        <v>0.98667219093817804</v>
      </c>
      <c r="J321" t="s">
        <v>17</v>
      </c>
      <c r="L321" t="s">
        <v>18</v>
      </c>
      <c r="M321" t="s">
        <v>32</v>
      </c>
    </row>
    <row r="322" spans="1:13" hidden="1" x14ac:dyDescent="0.3">
      <c r="A322" t="s">
        <v>711</v>
      </c>
      <c r="B322" t="s">
        <v>681</v>
      </c>
      <c r="C322" t="s">
        <v>712</v>
      </c>
      <c r="D322" t="s">
        <v>127</v>
      </c>
      <c r="E322">
        <v>997.14880000000005</v>
      </c>
      <c r="F322">
        <v>907.93119999999999</v>
      </c>
      <c r="G322">
        <v>0</v>
      </c>
      <c r="H322">
        <v>4.0885950766092097E-2</v>
      </c>
      <c r="I322">
        <v>0.910527295424715</v>
      </c>
      <c r="J322" t="s">
        <v>17</v>
      </c>
      <c r="L322" t="s">
        <v>18</v>
      </c>
      <c r="M322" t="s">
        <v>19</v>
      </c>
    </row>
    <row r="323" spans="1:13" hidden="1" x14ac:dyDescent="0.3">
      <c r="A323" t="s">
        <v>713</v>
      </c>
      <c r="B323" t="s">
        <v>681</v>
      </c>
      <c r="C323" t="s">
        <v>714</v>
      </c>
      <c r="D323" t="s">
        <v>84</v>
      </c>
      <c r="E323">
        <v>1200.4012</v>
      </c>
      <c r="F323">
        <v>1199.7416000000001</v>
      </c>
      <c r="G323">
        <v>0</v>
      </c>
      <c r="H323">
        <v>1.17168792049548E-3</v>
      </c>
      <c r="I323">
        <v>0.99945051704380194</v>
      </c>
      <c r="J323" t="s">
        <v>17</v>
      </c>
      <c r="L323" t="s">
        <v>18</v>
      </c>
      <c r="M323" t="s">
        <v>29</v>
      </c>
    </row>
    <row r="324" spans="1:13" hidden="1" x14ac:dyDescent="0.3">
      <c r="A324" t="s">
        <v>715</v>
      </c>
      <c r="B324" t="s">
        <v>681</v>
      </c>
      <c r="C324" t="s">
        <v>716</v>
      </c>
      <c r="D324" t="s">
        <v>127</v>
      </c>
      <c r="E324">
        <v>127.56959999999999</v>
      </c>
      <c r="F324">
        <v>127.14239999999999</v>
      </c>
      <c r="G324">
        <v>0</v>
      </c>
      <c r="H324">
        <v>9.56616650775329E-3</v>
      </c>
      <c r="I324">
        <v>0.99665123979380699</v>
      </c>
      <c r="J324" t="s">
        <v>17</v>
      </c>
      <c r="L324" t="s">
        <v>18</v>
      </c>
      <c r="M324" t="s">
        <v>32</v>
      </c>
    </row>
    <row r="325" spans="1:13" hidden="1" x14ac:dyDescent="0.3">
      <c r="A325" t="s">
        <v>717</v>
      </c>
      <c r="B325" t="s">
        <v>681</v>
      </c>
      <c r="C325" t="s">
        <v>718</v>
      </c>
      <c r="D325" t="s">
        <v>127</v>
      </c>
      <c r="E325">
        <v>129.27520000000001</v>
      </c>
      <c r="F325">
        <v>128.12039999999999</v>
      </c>
      <c r="G325">
        <v>0</v>
      </c>
      <c r="H325">
        <v>2.1029022764838302E-2</v>
      </c>
      <c r="I325">
        <v>0.99106711882866905</v>
      </c>
      <c r="J325" t="s">
        <v>17</v>
      </c>
      <c r="L325" t="s">
        <v>18</v>
      </c>
      <c r="M325" t="s">
        <v>29</v>
      </c>
    </row>
    <row r="326" spans="1:13" hidden="1" x14ac:dyDescent="0.3">
      <c r="A326" t="s">
        <v>719</v>
      </c>
      <c r="B326" t="s">
        <v>681</v>
      </c>
      <c r="C326" t="s">
        <v>720</v>
      </c>
      <c r="D326" t="s">
        <v>127</v>
      </c>
      <c r="E326">
        <v>612.14639999999997</v>
      </c>
      <c r="F326">
        <v>611.89679999999998</v>
      </c>
      <c r="G326">
        <v>0</v>
      </c>
      <c r="H326">
        <v>8.9450260753645998E-4</v>
      </c>
      <c r="I326">
        <v>0.99959225440188804</v>
      </c>
      <c r="J326" t="s">
        <v>17</v>
      </c>
      <c r="L326" t="s">
        <v>18</v>
      </c>
      <c r="M326" t="s">
        <v>32</v>
      </c>
    </row>
    <row r="327" spans="1:13" hidden="1" x14ac:dyDescent="0.3">
      <c r="A327" t="s">
        <v>721</v>
      </c>
      <c r="B327" t="s">
        <v>681</v>
      </c>
      <c r="C327" t="s">
        <v>722</v>
      </c>
      <c r="D327" t="s">
        <v>127</v>
      </c>
      <c r="E327">
        <v>722.67600000000004</v>
      </c>
      <c r="F327">
        <v>721.83159999999998</v>
      </c>
      <c r="G327">
        <v>0</v>
      </c>
      <c r="H327">
        <v>2.6559093169092598E-3</v>
      </c>
      <c r="I327">
        <v>0.99883156490598801</v>
      </c>
      <c r="J327" t="s">
        <v>37</v>
      </c>
      <c r="K327" t="s">
        <v>723</v>
      </c>
      <c r="L327" t="s">
        <v>293</v>
      </c>
      <c r="M327" t="s">
        <v>32</v>
      </c>
    </row>
    <row r="328" spans="1:13" hidden="1" x14ac:dyDescent="0.3">
      <c r="A328" t="s">
        <v>724</v>
      </c>
      <c r="B328" t="s">
        <v>681</v>
      </c>
      <c r="C328" t="s">
        <v>725</v>
      </c>
      <c r="D328" t="s">
        <v>127</v>
      </c>
      <c r="E328">
        <v>365.56319999999999</v>
      </c>
      <c r="F328">
        <v>365.21559999999999</v>
      </c>
      <c r="G328">
        <v>0</v>
      </c>
      <c r="H328">
        <v>1.72747563335755E-3</v>
      </c>
      <c r="I328">
        <v>0.99904913842531196</v>
      </c>
      <c r="J328" t="s">
        <v>17</v>
      </c>
      <c r="L328" t="s">
        <v>18</v>
      </c>
      <c r="M328" t="s">
        <v>32</v>
      </c>
    </row>
    <row r="329" spans="1:13" hidden="1" x14ac:dyDescent="0.3">
      <c r="A329" t="s">
        <v>726</v>
      </c>
      <c r="B329" t="s">
        <v>681</v>
      </c>
      <c r="C329" t="s">
        <v>727</v>
      </c>
      <c r="D329" t="s">
        <v>127</v>
      </c>
      <c r="E329">
        <v>241.7792</v>
      </c>
      <c r="F329">
        <v>200.304</v>
      </c>
      <c r="G329">
        <v>0</v>
      </c>
      <c r="H329">
        <v>3.32659617345126E-2</v>
      </c>
      <c r="I329">
        <v>0.82845836200963496</v>
      </c>
      <c r="J329" t="s">
        <v>17</v>
      </c>
      <c r="L329" t="s">
        <v>18</v>
      </c>
      <c r="M329" t="s">
        <v>32</v>
      </c>
    </row>
    <row r="330" spans="1:13" hidden="1" x14ac:dyDescent="0.3">
      <c r="A330" t="s">
        <v>728</v>
      </c>
      <c r="B330" t="s">
        <v>681</v>
      </c>
      <c r="C330" t="s">
        <v>729</v>
      </c>
      <c r="D330" t="s">
        <v>127</v>
      </c>
      <c r="E330">
        <v>432.84480000000002</v>
      </c>
      <c r="F330">
        <v>432.33519999999999</v>
      </c>
      <c r="G330">
        <v>0</v>
      </c>
      <c r="H330">
        <v>1.9908194617425001E-3</v>
      </c>
      <c r="I330">
        <v>0.99882267269931402</v>
      </c>
      <c r="J330" t="s">
        <v>17</v>
      </c>
      <c r="L330" t="s">
        <v>18</v>
      </c>
      <c r="M330" t="s">
        <v>32</v>
      </c>
    </row>
    <row r="331" spans="1:13" hidden="1" x14ac:dyDescent="0.3">
      <c r="A331" t="s">
        <v>730</v>
      </c>
      <c r="B331" t="s">
        <v>681</v>
      </c>
      <c r="C331" t="s">
        <v>731</v>
      </c>
      <c r="D331" t="s">
        <v>127</v>
      </c>
      <c r="E331">
        <v>260.74560000000002</v>
      </c>
      <c r="F331">
        <v>259.666</v>
      </c>
      <c r="G331">
        <v>0</v>
      </c>
      <c r="H331">
        <v>9.7369217161091606E-3</v>
      </c>
      <c r="I331">
        <v>0.99585956579900103</v>
      </c>
      <c r="J331" t="s">
        <v>17</v>
      </c>
      <c r="L331" t="s">
        <v>18</v>
      </c>
      <c r="M331" t="s">
        <v>32</v>
      </c>
    </row>
    <row r="332" spans="1:13" hidden="1" x14ac:dyDescent="0.3">
      <c r="A332" t="s">
        <v>732</v>
      </c>
      <c r="B332" t="s">
        <v>681</v>
      </c>
      <c r="C332" t="s">
        <v>733</v>
      </c>
      <c r="D332" t="s">
        <v>136</v>
      </c>
      <c r="E332">
        <v>817.7808</v>
      </c>
      <c r="F332">
        <v>812.36199999999997</v>
      </c>
      <c r="G332">
        <v>0</v>
      </c>
      <c r="H332">
        <v>1.3413693948991799E-2</v>
      </c>
      <c r="I332">
        <v>0.99337377448822495</v>
      </c>
      <c r="J332" t="s">
        <v>17</v>
      </c>
      <c r="L332" t="s">
        <v>18</v>
      </c>
      <c r="M332" t="s">
        <v>19</v>
      </c>
    </row>
    <row r="333" spans="1:13" hidden="1" x14ac:dyDescent="0.3">
      <c r="A333" t="s">
        <v>734</v>
      </c>
      <c r="B333" t="s">
        <v>681</v>
      </c>
      <c r="C333" t="s">
        <v>735</v>
      </c>
      <c r="D333" t="s">
        <v>127</v>
      </c>
      <c r="E333">
        <v>371.96319999999997</v>
      </c>
      <c r="F333">
        <v>367.71440000000001</v>
      </c>
      <c r="G333">
        <v>0</v>
      </c>
      <c r="H333">
        <v>2.6940352428608101E-2</v>
      </c>
      <c r="I333">
        <v>0.98857736464252399</v>
      </c>
      <c r="J333" t="s">
        <v>17</v>
      </c>
      <c r="L333" t="s">
        <v>18</v>
      </c>
      <c r="M333" t="s">
        <v>29</v>
      </c>
    </row>
    <row r="334" spans="1:13" hidden="1" x14ac:dyDescent="0.3">
      <c r="A334" t="s">
        <v>736</v>
      </c>
      <c r="B334" t="s">
        <v>681</v>
      </c>
      <c r="C334" t="s">
        <v>737</v>
      </c>
      <c r="D334" t="s">
        <v>127</v>
      </c>
      <c r="E334">
        <v>192.11359999999999</v>
      </c>
      <c r="F334">
        <v>191.3312</v>
      </c>
      <c r="G334">
        <v>0</v>
      </c>
      <c r="H334">
        <v>6.8057792278229598E-3</v>
      </c>
      <c r="I334">
        <v>0.99592740961597703</v>
      </c>
      <c r="J334" t="s">
        <v>37</v>
      </c>
      <c r="K334" t="s">
        <v>723</v>
      </c>
      <c r="L334" t="s">
        <v>293</v>
      </c>
      <c r="M334" t="s">
        <v>24</v>
      </c>
    </row>
    <row r="335" spans="1:13" hidden="1" x14ac:dyDescent="0.3">
      <c r="A335" t="s">
        <v>738</v>
      </c>
      <c r="B335" t="s">
        <v>681</v>
      </c>
      <c r="C335" t="s">
        <v>739</v>
      </c>
      <c r="D335" t="s">
        <v>127</v>
      </c>
      <c r="E335">
        <v>170.77440000000001</v>
      </c>
      <c r="F335">
        <v>170.73759999999999</v>
      </c>
      <c r="G335">
        <v>0</v>
      </c>
      <c r="H335">
        <v>6.7340303933193305E-4</v>
      </c>
      <c r="I335">
        <v>0.99978451102741395</v>
      </c>
      <c r="J335" t="s">
        <v>17</v>
      </c>
      <c r="L335" t="s">
        <v>18</v>
      </c>
      <c r="M335" t="s">
        <v>29</v>
      </c>
    </row>
    <row r="336" spans="1:13" hidden="1" x14ac:dyDescent="0.3">
      <c r="A336" t="s">
        <v>740</v>
      </c>
      <c r="B336" t="s">
        <v>681</v>
      </c>
      <c r="C336" t="s">
        <v>741</v>
      </c>
      <c r="D336" t="s">
        <v>127</v>
      </c>
      <c r="E336">
        <v>836.22479999999996</v>
      </c>
      <c r="F336">
        <v>827.16120000000001</v>
      </c>
      <c r="G336">
        <v>0</v>
      </c>
      <c r="H336">
        <v>5.3630703591384396E-3</v>
      </c>
      <c r="I336">
        <v>0.989161287730285</v>
      </c>
      <c r="J336" t="s">
        <v>17</v>
      </c>
      <c r="L336" t="s">
        <v>18</v>
      </c>
      <c r="M336" t="s">
        <v>24</v>
      </c>
    </row>
    <row r="337" spans="1:13" hidden="1" x14ac:dyDescent="0.3">
      <c r="A337" t="s">
        <v>742</v>
      </c>
      <c r="B337" t="s">
        <v>681</v>
      </c>
      <c r="C337" t="s">
        <v>743</v>
      </c>
      <c r="D337" t="s">
        <v>127</v>
      </c>
      <c r="E337">
        <v>18.365200000000002</v>
      </c>
      <c r="F337">
        <v>18.365200000000002</v>
      </c>
      <c r="G337">
        <v>0</v>
      </c>
      <c r="H337">
        <v>0</v>
      </c>
      <c r="I337">
        <v>1</v>
      </c>
      <c r="J337" t="s">
        <v>17</v>
      </c>
      <c r="L337" t="s">
        <v>18</v>
      </c>
      <c r="M337" t="s">
        <v>29</v>
      </c>
    </row>
    <row r="338" spans="1:13" hidden="1" x14ac:dyDescent="0.3">
      <c r="A338" t="s">
        <v>744</v>
      </c>
      <c r="B338" t="s">
        <v>681</v>
      </c>
      <c r="C338" t="s">
        <v>745</v>
      </c>
      <c r="D338" t="s">
        <v>127</v>
      </c>
      <c r="E338">
        <v>65.872799999999998</v>
      </c>
      <c r="F338">
        <v>65.8232</v>
      </c>
      <c r="G338">
        <v>0</v>
      </c>
      <c r="H338">
        <v>2.1444273733684399E-3</v>
      </c>
      <c r="I338">
        <v>0.99924703367702605</v>
      </c>
      <c r="J338" t="s">
        <v>17</v>
      </c>
      <c r="L338" t="s">
        <v>18</v>
      </c>
      <c r="M338" t="s">
        <v>29</v>
      </c>
    </row>
    <row r="339" spans="1:13" hidden="1" x14ac:dyDescent="0.3">
      <c r="A339" t="s">
        <v>746</v>
      </c>
      <c r="B339" t="s">
        <v>681</v>
      </c>
      <c r="C339" t="s">
        <v>747</v>
      </c>
      <c r="D339" t="s">
        <v>127</v>
      </c>
      <c r="E339">
        <v>327.14960000000002</v>
      </c>
      <c r="F339">
        <v>326.55439999999999</v>
      </c>
      <c r="G339">
        <v>0</v>
      </c>
      <c r="H339">
        <v>5.5405362444308102E-3</v>
      </c>
      <c r="I339">
        <v>0.99818064885300195</v>
      </c>
      <c r="J339" t="s">
        <v>76</v>
      </c>
      <c r="K339" t="s">
        <v>723</v>
      </c>
      <c r="L339" t="s">
        <v>293</v>
      </c>
      <c r="M339" t="s">
        <v>29</v>
      </c>
    </row>
    <row r="340" spans="1:13" hidden="1" x14ac:dyDescent="0.3">
      <c r="A340" t="s">
        <v>748</v>
      </c>
      <c r="B340" t="s">
        <v>681</v>
      </c>
      <c r="C340" t="s">
        <v>749</v>
      </c>
      <c r="D340" t="s">
        <v>127</v>
      </c>
      <c r="E340">
        <v>50.557600000000001</v>
      </c>
      <c r="F340">
        <v>50.510399999999997</v>
      </c>
      <c r="G340">
        <v>0</v>
      </c>
      <c r="H340">
        <v>2.91746443660323E-3</v>
      </c>
      <c r="I340">
        <v>0.99906641138028696</v>
      </c>
      <c r="J340" t="s">
        <v>17</v>
      </c>
      <c r="L340" t="s">
        <v>18</v>
      </c>
      <c r="M340" t="s">
        <v>29</v>
      </c>
    </row>
    <row r="341" spans="1:13" hidden="1" x14ac:dyDescent="0.3">
      <c r="A341" t="s">
        <v>750</v>
      </c>
      <c r="B341" t="s">
        <v>681</v>
      </c>
      <c r="C341" t="s">
        <v>751</v>
      </c>
      <c r="D341" t="s">
        <v>127</v>
      </c>
      <c r="E341">
        <v>3.2652000000000001</v>
      </c>
      <c r="F341">
        <v>3.2652000000000001</v>
      </c>
      <c r="G341">
        <v>0</v>
      </c>
      <c r="H341">
        <v>0</v>
      </c>
      <c r="I341">
        <v>1</v>
      </c>
      <c r="J341" t="s">
        <v>17</v>
      </c>
      <c r="L341" t="s">
        <v>18</v>
      </c>
      <c r="M341" t="s">
        <v>29</v>
      </c>
    </row>
    <row r="342" spans="1:13" hidden="1" x14ac:dyDescent="0.3">
      <c r="A342" t="s">
        <v>752</v>
      </c>
      <c r="B342" t="s">
        <v>681</v>
      </c>
      <c r="C342" t="s">
        <v>753</v>
      </c>
      <c r="D342" t="s">
        <v>127</v>
      </c>
      <c r="E342">
        <v>508.02120000000002</v>
      </c>
      <c r="F342">
        <v>311.00760000000002</v>
      </c>
      <c r="G342">
        <v>0.4</v>
      </c>
      <c r="H342">
        <v>0.36643179495912798</v>
      </c>
      <c r="I342">
        <v>0.61219413678011902</v>
      </c>
      <c r="J342" t="s">
        <v>37</v>
      </c>
      <c r="K342" t="s">
        <v>38</v>
      </c>
      <c r="L342" t="s">
        <v>18</v>
      </c>
      <c r="M342" t="s">
        <v>32</v>
      </c>
    </row>
    <row r="343" spans="1:13" hidden="1" x14ac:dyDescent="0.3">
      <c r="A343" t="s">
        <v>754</v>
      </c>
      <c r="B343" t="s">
        <v>681</v>
      </c>
      <c r="C343" t="s">
        <v>755</v>
      </c>
      <c r="D343" t="s">
        <v>127</v>
      </c>
      <c r="E343">
        <v>136.4288</v>
      </c>
      <c r="F343">
        <v>133.9984</v>
      </c>
      <c r="G343">
        <v>0</v>
      </c>
      <c r="H343">
        <v>9.2728866375190993E-3</v>
      </c>
      <c r="I343">
        <v>0.98218557958436903</v>
      </c>
      <c r="J343" t="s">
        <v>17</v>
      </c>
      <c r="L343" t="s">
        <v>18</v>
      </c>
      <c r="M343" t="s">
        <v>29</v>
      </c>
    </row>
    <row r="344" spans="1:13" hidden="1" x14ac:dyDescent="0.3">
      <c r="A344" t="s">
        <v>756</v>
      </c>
      <c r="B344" t="s">
        <v>681</v>
      </c>
      <c r="C344" t="s">
        <v>757</v>
      </c>
      <c r="D344" t="s">
        <v>133</v>
      </c>
      <c r="E344">
        <v>286.97919999999999</v>
      </c>
      <c r="F344">
        <v>286.68520000000001</v>
      </c>
      <c r="G344">
        <v>0</v>
      </c>
      <c r="H344">
        <v>2.92294642757559E-3</v>
      </c>
      <c r="I344">
        <v>0.99897553550919405</v>
      </c>
      <c r="J344" t="s">
        <v>17</v>
      </c>
      <c r="L344" t="s">
        <v>18</v>
      </c>
      <c r="M344" t="s">
        <v>29</v>
      </c>
    </row>
    <row r="345" spans="1:13" hidden="1" x14ac:dyDescent="0.3">
      <c r="A345" t="s">
        <v>758</v>
      </c>
      <c r="B345" t="s">
        <v>681</v>
      </c>
      <c r="C345" t="s">
        <v>759</v>
      </c>
      <c r="D345" t="s">
        <v>127</v>
      </c>
      <c r="E345">
        <v>469.92880000000002</v>
      </c>
      <c r="F345">
        <v>423.524</v>
      </c>
      <c r="G345">
        <v>0</v>
      </c>
      <c r="H345">
        <v>3.2368921349070601E-2</v>
      </c>
      <c r="I345">
        <v>0.90125142361991895</v>
      </c>
      <c r="J345" t="s">
        <v>17</v>
      </c>
      <c r="L345" t="s">
        <v>18</v>
      </c>
      <c r="M345" t="s">
        <v>19</v>
      </c>
    </row>
    <row r="346" spans="1:13" hidden="1" x14ac:dyDescent="0.3">
      <c r="A346" t="s">
        <v>760</v>
      </c>
      <c r="B346" t="s">
        <v>681</v>
      </c>
      <c r="C346" t="s">
        <v>761</v>
      </c>
      <c r="D346" t="s">
        <v>127</v>
      </c>
      <c r="E346">
        <v>201.12960000000001</v>
      </c>
      <c r="F346">
        <v>108.1508</v>
      </c>
      <c r="G346">
        <v>0.5</v>
      </c>
      <c r="H346">
        <v>0.54427090492029595</v>
      </c>
      <c r="I346">
        <v>0.53771697452786704</v>
      </c>
      <c r="J346" t="s">
        <v>37</v>
      </c>
      <c r="K346" t="s">
        <v>38</v>
      </c>
      <c r="L346" t="s">
        <v>18</v>
      </c>
      <c r="M346" t="s">
        <v>32</v>
      </c>
    </row>
    <row r="347" spans="1:13" hidden="1" x14ac:dyDescent="0.3">
      <c r="A347" t="s">
        <v>762</v>
      </c>
      <c r="B347" t="s">
        <v>681</v>
      </c>
      <c r="C347" t="s">
        <v>763</v>
      </c>
      <c r="D347" t="s">
        <v>127</v>
      </c>
      <c r="E347">
        <v>838.94560000000001</v>
      </c>
      <c r="F347">
        <v>644.01440000000002</v>
      </c>
      <c r="G347">
        <v>0.1</v>
      </c>
      <c r="H347">
        <v>9.6191672852069504E-2</v>
      </c>
      <c r="I347">
        <v>0.76764738977115998</v>
      </c>
      <c r="J347" t="s">
        <v>17</v>
      </c>
      <c r="L347" t="s">
        <v>18</v>
      </c>
      <c r="M347" t="s">
        <v>19</v>
      </c>
    </row>
    <row r="348" spans="1:13" hidden="1" x14ac:dyDescent="0.3">
      <c r="A348" t="s">
        <v>764</v>
      </c>
      <c r="B348" t="s">
        <v>681</v>
      </c>
      <c r="C348" t="s">
        <v>765</v>
      </c>
      <c r="D348" t="s">
        <v>127</v>
      </c>
      <c r="E348">
        <v>536.10040000000004</v>
      </c>
      <c r="F348">
        <v>524.90279999999996</v>
      </c>
      <c r="G348">
        <v>0</v>
      </c>
      <c r="H348">
        <v>2.3943408482678199E-2</v>
      </c>
      <c r="I348">
        <v>0.97911286766434003</v>
      </c>
      <c r="J348" t="s">
        <v>17</v>
      </c>
      <c r="L348" t="s">
        <v>18</v>
      </c>
      <c r="M348" t="s">
        <v>32</v>
      </c>
    </row>
    <row r="349" spans="1:13" hidden="1" x14ac:dyDescent="0.3">
      <c r="A349" t="s">
        <v>766</v>
      </c>
      <c r="B349" t="s">
        <v>681</v>
      </c>
      <c r="C349" t="s">
        <v>767</v>
      </c>
      <c r="D349" t="s">
        <v>127</v>
      </c>
      <c r="E349">
        <v>331.4</v>
      </c>
      <c r="F349">
        <v>302.72000000000003</v>
      </c>
      <c r="G349">
        <v>0.1</v>
      </c>
      <c r="H349">
        <v>6.52976385307735E-2</v>
      </c>
      <c r="I349">
        <v>0.91345805672902802</v>
      </c>
      <c r="J349" t="s">
        <v>17</v>
      </c>
      <c r="L349" t="s">
        <v>18</v>
      </c>
      <c r="M349" t="s">
        <v>32</v>
      </c>
    </row>
    <row r="350" spans="1:13" hidden="1" x14ac:dyDescent="0.3">
      <c r="A350" t="s">
        <v>768</v>
      </c>
      <c r="B350" t="s">
        <v>681</v>
      </c>
      <c r="C350" t="s">
        <v>769</v>
      </c>
      <c r="D350" t="s">
        <v>127</v>
      </c>
      <c r="E350">
        <v>449.04399999999998</v>
      </c>
      <c r="F350">
        <v>441.44080000000002</v>
      </c>
      <c r="G350">
        <v>0</v>
      </c>
      <c r="H350">
        <v>1.63096092273964E-2</v>
      </c>
      <c r="I350">
        <v>0.983068028968208</v>
      </c>
      <c r="J350" t="s">
        <v>17</v>
      </c>
      <c r="L350" t="s">
        <v>18</v>
      </c>
      <c r="M350" t="s">
        <v>32</v>
      </c>
    </row>
    <row r="351" spans="1:13" hidden="1" x14ac:dyDescent="0.3">
      <c r="A351" t="s">
        <v>770</v>
      </c>
      <c r="B351" t="s">
        <v>681</v>
      </c>
      <c r="C351" t="s">
        <v>771</v>
      </c>
      <c r="D351" t="s">
        <v>127</v>
      </c>
      <c r="E351">
        <v>566.1096</v>
      </c>
      <c r="F351">
        <v>565.69079999999997</v>
      </c>
      <c r="G351">
        <v>0</v>
      </c>
      <c r="H351">
        <v>1.9080045028905699E-3</v>
      </c>
      <c r="I351">
        <v>0.99926021392324005</v>
      </c>
      <c r="J351" t="s">
        <v>17</v>
      </c>
      <c r="L351" t="s">
        <v>18</v>
      </c>
      <c r="M351" t="s">
        <v>32</v>
      </c>
    </row>
    <row r="352" spans="1:13" hidden="1" x14ac:dyDescent="0.3">
      <c r="A352" t="s">
        <v>772</v>
      </c>
      <c r="B352" t="s">
        <v>681</v>
      </c>
      <c r="C352" t="s">
        <v>773</v>
      </c>
      <c r="D352" t="s">
        <v>133</v>
      </c>
      <c r="E352">
        <v>123.30200000000001</v>
      </c>
      <c r="F352">
        <v>122.7916</v>
      </c>
      <c r="G352">
        <v>0</v>
      </c>
      <c r="H352">
        <v>9.8939289634166292E-3</v>
      </c>
      <c r="I352">
        <v>0.99586056998264405</v>
      </c>
      <c r="J352" t="s">
        <v>17</v>
      </c>
      <c r="L352" t="s">
        <v>18</v>
      </c>
      <c r="M352" t="s">
        <v>32</v>
      </c>
    </row>
    <row r="353" spans="1:13" hidden="1" x14ac:dyDescent="0.3">
      <c r="A353" t="s">
        <v>774</v>
      </c>
      <c r="B353" t="s">
        <v>681</v>
      </c>
      <c r="C353" t="s">
        <v>775</v>
      </c>
      <c r="D353" t="s">
        <v>67</v>
      </c>
      <c r="E353">
        <v>3151.7932000000001</v>
      </c>
      <c r="F353">
        <v>2540.0111999999999</v>
      </c>
      <c r="G353">
        <v>0.1</v>
      </c>
      <c r="H353">
        <v>8.7911603535809693E-2</v>
      </c>
      <c r="I353">
        <v>0.80589399076056101</v>
      </c>
      <c r="J353" t="s">
        <v>17</v>
      </c>
      <c r="L353" t="s">
        <v>18</v>
      </c>
      <c r="M353" t="s">
        <v>19</v>
      </c>
    </row>
    <row r="354" spans="1:13" hidden="1" x14ac:dyDescent="0.3">
      <c r="A354" t="s">
        <v>776</v>
      </c>
      <c r="B354" t="s">
        <v>681</v>
      </c>
      <c r="C354" t="s">
        <v>777</v>
      </c>
      <c r="D354" t="s">
        <v>127</v>
      </c>
      <c r="E354">
        <v>868.03120000000001</v>
      </c>
      <c r="F354">
        <v>727.28800000000001</v>
      </c>
      <c r="G354">
        <v>0.1</v>
      </c>
      <c r="H354">
        <v>0.12545743263360801</v>
      </c>
      <c r="I354">
        <v>0.83785928432065604</v>
      </c>
      <c r="J354" t="s">
        <v>17</v>
      </c>
      <c r="L354" t="s">
        <v>18</v>
      </c>
      <c r="M354" t="s">
        <v>24</v>
      </c>
    </row>
    <row r="355" spans="1:13" hidden="1" x14ac:dyDescent="0.3">
      <c r="A355" t="s">
        <v>778</v>
      </c>
      <c r="B355" t="s">
        <v>681</v>
      </c>
      <c r="C355" t="s">
        <v>779</v>
      </c>
      <c r="D355" t="s">
        <v>127</v>
      </c>
      <c r="E355">
        <v>917.39239999999995</v>
      </c>
      <c r="F355">
        <v>884.7432</v>
      </c>
      <c r="G355">
        <v>0.1</v>
      </c>
      <c r="H355">
        <v>7.1620967955683901E-2</v>
      </c>
      <c r="I355">
        <v>0.96441086714910695</v>
      </c>
      <c r="J355" t="s">
        <v>17</v>
      </c>
      <c r="L355" t="s">
        <v>18</v>
      </c>
      <c r="M355" t="s">
        <v>19</v>
      </c>
    </row>
    <row r="356" spans="1:13" hidden="1" x14ac:dyDescent="0.3">
      <c r="A356" t="s">
        <v>780</v>
      </c>
      <c r="B356" t="s">
        <v>681</v>
      </c>
      <c r="C356" t="s">
        <v>781</v>
      </c>
      <c r="D356" t="s">
        <v>127</v>
      </c>
      <c r="E356">
        <v>101.7792</v>
      </c>
      <c r="F356">
        <v>101.3284</v>
      </c>
      <c r="G356">
        <v>0</v>
      </c>
      <c r="H356">
        <v>1.34621507210604E-2</v>
      </c>
      <c r="I356">
        <v>0.99557080425077005</v>
      </c>
      <c r="J356" t="s">
        <v>17</v>
      </c>
      <c r="L356" t="s">
        <v>18</v>
      </c>
      <c r="M356" t="s">
        <v>32</v>
      </c>
    </row>
    <row r="357" spans="1:13" hidden="1" x14ac:dyDescent="0.3">
      <c r="A357" t="s">
        <v>782</v>
      </c>
      <c r="B357" t="s">
        <v>681</v>
      </c>
      <c r="C357" t="s">
        <v>783</v>
      </c>
      <c r="D357" t="s">
        <v>127</v>
      </c>
      <c r="E357">
        <v>7632.5540000000001</v>
      </c>
      <c r="F357">
        <v>7313.0976000000001</v>
      </c>
      <c r="G357">
        <v>0</v>
      </c>
      <c r="H357">
        <v>1.94902638061384E-2</v>
      </c>
      <c r="I357">
        <v>0.958145543418363</v>
      </c>
      <c r="J357" t="s">
        <v>17</v>
      </c>
      <c r="L357" t="s">
        <v>18</v>
      </c>
      <c r="M357" t="s">
        <v>32</v>
      </c>
    </row>
    <row r="358" spans="1:13" hidden="1" x14ac:dyDescent="0.3">
      <c r="A358" t="s">
        <v>784</v>
      </c>
      <c r="B358" t="s">
        <v>681</v>
      </c>
      <c r="C358" t="s">
        <v>785</v>
      </c>
      <c r="D358" t="s">
        <v>127</v>
      </c>
      <c r="E358">
        <v>5357.9960000000001</v>
      </c>
      <c r="F358">
        <v>5222.7172</v>
      </c>
      <c r="G358">
        <v>0</v>
      </c>
      <c r="H358">
        <v>1.81048458605307E-2</v>
      </c>
      <c r="I358">
        <v>0.97475197816497094</v>
      </c>
      <c r="J358" t="s">
        <v>17</v>
      </c>
      <c r="L358" t="s">
        <v>18</v>
      </c>
      <c r="M358" t="s">
        <v>32</v>
      </c>
    </row>
    <row r="359" spans="1:13" hidden="1" x14ac:dyDescent="0.3">
      <c r="A359" t="s">
        <v>786</v>
      </c>
      <c r="B359" t="s">
        <v>681</v>
      </c>
      <c r="C359" t="s">
        <v>787</v>
      </c>
      <c r="D359" t="s">
        <v>127</v>
      </c>
      <c r="E359">
        <v>540.74</v>
      </c>
      <c r="F359">
        <v>447.98239999999998</v>
      </c>
      <c r="G359">
        <v>0.1</v>
      </c>
      <c r="H359">
        <v>0.14921491454059699</v>
      </c>
      <c r="I359">
        <v>0.82846173761881903</v>
      </c>
      <c r="J359" t="s">
        <v>17</v>
      </c>
      <c r="L359" t="s">
        <v>18</v>
      </c>
      <c r="M359" t="s">
        <v>32</v>
      </c>
    </row>
    <row r="360" spans="1:13" hidden="1" x14ac:dyDescent="0.3">
      <c r="A360" t="s">
        <v>788</v>
      </c>
      <c r="B360" t="s">
        <v>681</v>
      </c>
      <c r="C360" t="s">
        <v>789</v>
      </c>
      <c r="D360" t="s">
        <v>127</v>
      </c>
      <c r="E360">
        <v>240.126</v>
      </c>
      <c r="F360">
        <v>226.26560000000001</v>
      </c>
      <c r="G360">
        <v>0.1</v>
      </c>
      <c r="H360">
        <v>6.1857007695546702E-2</v>
      </c>
      <c r="I360">
        <v>0.94227863704888304</v>
      </c>
      <c r="J360" t="s">
        <v>17</v>
      </c>
      <c r="L360" t="s">
        <v>18</v>
      </c>
      <c r="M360" t="s">
        <v>19</v>
      </c>
    </row>
    <row r="361" spans="1:13" hidden="1" x14ac:dyDescent="0.3">
      <c r="A361" t="s">
        <v>790</v>
      </c>
      <c r="B361" t="s">
        <v>681</v>
      </c>
      <c r="C361" t="s">
        <v>791</v>
      </c>
      <c r="D361" t="s">
        <v>127</v>
      </c>
      <c r="E361">
        <v>1578.5704000000001</v>
      </c>
      <c r="F361">
        <v>1369.1659999999999</v>
      </c>
      <c r="G361">
        <v>0.1</v>
      </c>
      <c r="H361">
        <v>9.9349519377231202E-2</v>
      </c>
      <c r="I361">
        <v>0.86734554252379203</v>
      </c>
      <c r="J361" t="s">
        <v>76</v>
      </c>
      <c r="K361" t="s">
        <v>792</v>
      </c>
      <c r="L361" t="s">
        <v>293</v>
      </c>
      <c r="M361" t="s">
        <v>19</v>
      </c>
    </row>
    <row r="362" spans="1:13" hidden="1" x14ac:dyDescent="0.3">
      <c r="A362" t="s">
        <v>793</v>
      </c>
      <c r="B362" t="s">
        <v>681</v>
      </c>
      <c r="C362" t="s">
        <v>794</v>
      </c>
      <c r="D362" t="s">
        <v>127</v>
      </c>
      <c r="E362">
        <v>2555.2608</v>
      </c>
      <c r="F362">
        <v>2513.9679999999998</v>
      </c>
      <c r="G362">
        <v>0</v>
      </c>
      <c r="H362">
        <v>1.57438705763604E-2</v>
      </c>
      <c r="I362">
        <v>0.983840083955422</v>
      </c>
      <c r="J362" t="s">
        <v>17</v>
      </c>
      <c r="L362" t="s">
        <v>18</v>
      </c>
      <c r="M362" t="s">
        <v>19</v>
      </c>
    </row>
    <row r="363" spans="1:13" hidden="1" x14ac:dyDescent="0.3">
      <c r="A363" t="s">
        <v>795</v>
      </c>
      <c r="B363" t="s">
        <v>681</v>
      </c>
      <c r="C363" t="s">
        <v>796</v>
      </c>
      <c r="D363" t="s">
        <v>127</v>
      </c>
      <c r="E363">
        <v>793.30560000000003</v>
      </c>
      <c r="F363">
        <v>769.24480000000005</v>
      </c>
      <c r="G363">
        <v>0</v>
      </c>
      <c r="H363">
        <v>2.8019359333700901E-2</v>
      </c>
      <c r="I363">
        <v>0.96967020023557104</v>
      </c>
      <c r="J363" t="s">
        <v>17</v>
      </c>
      <c r="L363" t="s">
        <v>18</v>
      </c>
      <c r="M363" t="s">
        <v>32</v>
      </c>
    </row>
    <row r="364" spans="1:13" hidden="1" x14ac:dyDescent="0.3">
      <c r="A364" t="s">
        <v>797</v>
      </c>
      <c r="B364" t="s">
        <v>681</v>
      </c>
      <c r="C364" t="s">
        <v>798</v>
      </c>
      <c r="D364" t="s">
        <v>127</v>
      </c>
      <c r="E364">
        <v>559.38639999999998</v>
      </c>
      <c r="F364">
        <v>557.15</v>
      </c>
      <c r="G364">
        <v>0</v>
      </c>
      <c r="H364">
        <v>1.00590536671313E-2</v>
      </c>
      <c r="I364">
        <v>0.99600204795826297</v>
      </c>
      <c r="J364" t="s">
        <v>17</v>
      </c>
      <c r="L364" t="s">
        <v>18</v>
      </c>
      <c r="M364" t="s">
        <v>24</v>
      </c>
    </row>
    <row r="365" spans="1:13" hidden="1" x14ac:dyDescent="0.3">
      <c r="A365" t="s">
        <v>799</v>
      </c>
      <c r="B365" t="s">
        <v>681</v>
      </c>
      <c r="C365" t="s">
        <v>800</v>
      </c>
      <c r="D365" t="s">
        <v>127</v>
      </c>
      <c r="E365">
        <v>928.57240000000002</v>
      </c>
      <c r="F365">
        <v>902.99040000000002</v>
      </c>
      <c r="G365">
        <v>0</v>
      </c>
      <c r="H365">
        <v>1.4979231590906E-2</v>
      </c>
      <c r="I365">
        <v>0.97245018266750105</v>
      </c>
      <c r="J365" t="s">
        <v>17</v>
      </c>
      <c r="L365" t="s">
        <v>18</v>
      </c>
      <c r="M365" t="s">
        <v>19</v>
      </c>
    </row>
    <row r="366" spans="1:13" hidden="1" x14ac:dyDescent="0.3">
      <c r="A366" t="s">
        <v>801</v>
      </c>
      <c r="B366" t="s">
        <v>681</v>
      </c>
      <c r="C366" t="s">
        <v>802</v>
      </c>
      <c r="D366" t="s">
        <v>127</v>
      </c>
      <c r="E366">
        <v>1318.3684000000001</v>
      </c>
      <c r="F366">
        <v>1313.5804000000001</v>
      </c>
      <c r="G366">
        <v>0</v>
      </c>
      <c r="H366">
        <v>3.2330352818926E-3</v>
      </c>
      <c r="I366">
        <v>0.99636823819502995</v>
      </c>
      <c r="J366" t="s">
        <v>17</v>
      </c>
      <c r="L366" t="s">
        <v>18</v>
      </c>
      <c r="M366" t="s">
        <v>24</v>
      </c>
    </row>
    <row r="367" spans="1:13" hidden="1" x14ac:dyDescent="0.3">
      <c r="A367" t="s">
        <v>803</v>
      </c>
      <c r="B367" t="s">
        <v>681</v>
      </c>
      <c r="C367" t="s">
        <v>804</v>
      </c>
      <c r="D367" t="s">
        <v>127</v>
      </c>
      <c r="E367">
        <v>6988.3064000000004</v>
      </c>
      <c r="F367">
        <v>6923.8212000000003</v>
      </c>
      <c r="G367">
        <v>0</v>
      </c>
      <c r="H367">
        <v>9.6612191980605198E-3</v>
      </c>
      <c r="I367">
        <v>0.99077241375678704</v>
      </c>
      <c r="J367" t="s">
        <v>17</v>
      </c>
      <c r="L367" t="s">
        <v>18</v>
      </c>
      <c r="M367" t="s">
        <v>24</v>
      </c>
    </row>
    <row r="368" spans="1:13" hidden="1" x14ac:dyDescent="0.3">
      <c r="A368" t="s">
        <v>805</v>
      </c>
      <c r="B368" t="s">
        <v>681</v>
      </c>
      <c r="C368" t="s">
        <v>806</v>
      </c>
      <c r="D368" t="s">
        <v>127</v>
      </c>
      <c r="E368">
        <v>4714.4892</v>
      </c>
      <c r="F368">
        <v>4674.8652000000002</v>
      </c>
      <c r="G368">
        <v>0</v>
      </c>
      <c r="H368">
        <v>1.0226612261188799E-2</v>
      </c>
      <c r="I368">
        <v>0.991595271869538</v>
      </c>
      <c r="J368" t="s">
        <v>17</v>
      </c>
      <c r="L368" t="s">
        <v>18</v>
      </c>
      <c r="M368" t="s">
        <v>32</v>
      </c>
    </row>
    <row r="369" spans="1:13" hidden="1" x14ac:dyDescent="0.3">
      <c r="A369" t="s">
        <v>807</v>
      </c>
      <c r="B369" t="s">
        <v>681</v>
      </c>
      <c r="C369" t="s">
        <v>808</v>
      </c>
      <c r="D369" t="s">
        <v>127</v>
      </c>
      <c r="E369">
        <v>653.35519999999997</v>
      </c>
      <c r="F369">
        <v>496.25200000000001</v>
      </c>
      <c r="G369">
        <v>0.2</v>
      </c>
      <c r="H369">
        <v>0.201955221337419</v>
      </c>
      <c r="I369">
        <v>0.75954396628357701</v>
      </c>
      <c r="J369" t="s">
        <v>17</v>
      </c>
      <c r="L369" t="s">
        <v>18</v>
      </c>
      <c r="M369" t="s">
        <v>19</v>
      </c>
    </row>
    <row r="370" spans="1:13" hidden="1" x14ac:dyDescent="0.3">
      <c r="A370" t="s">
        <v>809</v>
      </c>
      <c r="B370" t="s">
        <v>681</v>
      </c>
      <c r="C370" t="s">
        <v>810</v>
      </c>
      <c r="D370" t="s">
        <v>127</v>
      </c>
      <c r="E370">
        <v>4109.0248000000001</v>
      </c>
      <c r="F370">
        <v>3931.7928000000002</v>
      </c>
      <c r="G370">
        <v>0</v>
      </c>
      <c r="H370">
        <v>3.3465190414863698E-2</v>
      </c>
      <c r="I370">
        <v>0.95686762464904096</v>
      </c>
      <c r="J370" t="s">
        <v>17</v>
      </c>
      <c r="L370" t="s">
        <v>18</v>
      </c>
      <c r="M370" t="s">
        <v>24</v>
      </c>
    </row>
    <row r="371" spans="1:13" hidden="1" x14ac:dyDescent="0.3">
      <c r="A371" t="s">
        <v>811</v>
      </c>
      <c r="B371" t="s">
        <v>812</v>
      </c>
      <c r="C371" t="s">
        <v>813</v>
      </c>
      <c r="D371" t="s">
        <v>167</v>
      </c>
      <c r="E371">
        <v>6645.4948000000004</v>
      </c>
      <c r="F371">
        <v>5108.8792000000003</v>
      </c>
      <c r="G371">
        <v>0.2</v>
      </c>
      <c r="H371">
        <v>0.18118212821032501</v>
      </c>
      <c r="I371">
        <v>0.76877333498176803</v>
      </c>
      <c r="J371" t="s">
        <v>17</v>
      </c>
      <c r="L371" t="s">
        <v>18</v>
      </c>
      <c r="M371" t="s">
        <v>24</v>
      </c>
    </row>
    <row r="372" spans="1:13" hidden="1" x14ac:dyDescent="0.3">
      <c r="A372" t="s">
        <v>814</v>
      </c>
      <c r="B372" t="s">
        <v>812</v>
      </c>
      <c r="C372" t="s">
        <v>815</v>
      </c>
      <c r="D372" t="s">
        <v>167</v>
      </c>
      <c r="E372">
        <v>1442.1487999999999</v>
      </c>
      <c r="F372">
        <v>919.66319999999996</v>
      </c>
      <c r="G372">
        <v>0.4</v>
      </c>
      <c r="H372">
        <v>0.39620372308041701</v>
      </c>
      <c r="I372">
        <v>0.63770340480815801</v>
      </c>
      <c r="J372" t="s">
        <v>76</v>
      </c>
      <c r="K372" t="s">
        <v>38</v>
      </c>
      <c r="L372" t="s">
        <v>18</v>
      </c>
      <c r="M372" t="s">
        <v>19</v>
      </c>
    </row>
    <row r="373" spans="1:13" hidden="1" x14ac:dyDescent="0.3">
      <c r="A373" t="s">
        <v>816</v>
      </c>
      <c r="B373" t="s">
        <v>812</v>
      </c>
      <c r="C373" t="s">
        <v>817</v>
      </c>
      <c r="D373" t="s">
        <v>167</v>
      </c>
      <c r="E373">
        <v>3285.6363999999999</v>
      </c>
      <c r="F373">
        <v>2493.6388000000002</v>
      </c>
      <c r="G373">
        <v>0.2</v>
      </c>
      <c r="H373">
        <v>0.184642520729905</v>
      </c>
      <c r="I373">
        <v>0.75895153827733397</v>
      </c>
      <c r="J373" t="s">
        <v>17</v>
      </c>
      <c r="L373" t="s">
        <v>18</v>
      </c>
      <c r="M373" t="s">
        <v>19</v>
      </c>
    </row>
    <row r="374" spans="1:13" hidden="1" x14ac:dyDescent="0.3">
      <c r="A374" t="s">
        <v>818</v>
      </c>
      <c r="B374" t="s">
        <v>812</v>
      </c>
      <c r="C374" t="s">
        <v>819</v>
      </c>
      <c r="D374" t="s">
        <v>167</v>
      </c>
      <c r="E374">
        <v>17384.092000000001</v>
      </c>
      <c r="F374">
        <v>10862.8848</v>
      </c>
      <c r="G374">
        <v>0.3</v>
      </c>
      <c r="H374">
        <v>0.31205365269454699</v>
      </c>
      <c r="I374">
        <v>0.62487501791868105</v>
      </c>
      <c r="J374" t="s">
        <v>17</v>
      </c>
      <c r="L374" t="s">
        <v>18</v>
      </c>
      <c r="M374" t="s">
        <v>19</v>
      </c>
    </row>
    <row r="375" spans="1:13" hidden="1" x14ac:dyDescent="0.3">
      <c r="A375" t="s">
        <v>820</v>
      </c>
      <c r="B375" t="s">
        <v>812</v>
      </c>
      <c r="C375" t="s">
        <v>821</v>
      </c>
      <c r="D375" t="s">
        <v>167</v>
      </c>
      <c r="E375">
        <v>2066.3027999999999</v>
      </c>
      <c r="F375">
        <v>1920.4356</v>
      </c>
      <c r="G375">
        <v>0.1</v>
      </c>
      <c r="H375">
        <v>5.5794450375759398E-2</v>
      </c>
      <c r="I375">
        <v>0.92940666779331704</v>
      </c>
      <c r="J375" t="s">
        <v>17</v>
      </c>
      <c r="L375" t="s">
        <v>18</v>
      </c>
      <c r="M375" t="s">
        <v>24</v>
      </c>
    </row>
    <row r="376" spans="1:13" hidden="1" x14ac:dyDescent="0.3">
      <c r="A376" t="s">
        <v>822</v>
      </c>
      <c r="B376" t="s">
        <v>812</v>
      </c>
      <c r="C376" t="s">
        <v>823</v>
      </c>
      <c r="D376" t="s">
        <v>167</v>
      </c>
      <c r="E376">
        <v>759.89200000000005</v>
      </c>
      <c r="F376">
        <v>441.22719999999998</v>
      </c>
      <c r="G376">
        <v>0.1</v>
      </c>
      <c r="H376">
        <v>0.13971516671530901</v>
      </c>
      <c r="I376">
        <v>0.58064461791938804</v>
      </c>
      <c r="J376" t="s">
        <v>17</v>
      </c>
      <c r="L376" t="s">
        <v>18</v>
      </c>
      <c r="M376" t="s">
        <v>19</v>
      </c>
    </row>
    <row r="377" spans="1:13" hidden="1" x14ac:dyDescent="0.3">
      <c r="A377" t="s">
        <v>824</v>
      </c>
      <c r="B377" t="s">
        <v>812</v>
      </c>
      <c r="C377" t="s">
        <v>825</v>
      </c>
      <c r="D377" t="s">
        <v>136</v>
      </c>
      <c r="E377">
        <v>7198.2151999999996</v>
      </c>
      <c r="F377">
        <v>2856.3323999999998</v>
      </c>
      <c r="G377">
        <v>0.4</v>
      </c>
      <c r="H377">
        <v>0.44248625029842298</v>
      </c>
      <c r="I377">
        <v>0.39681119842040802</v>
      </c>
      <c r="J377" t="s">
        <v>76</v>
      </c>
      <c r="K377" t="s">
        <v>38</v>
      </c>
      <c r="L377" t="s">
        <v>18</v>
      </c>
      <c r="M377" t="s">
        <v>19</v>
      </c>
    </row>
    <row r="378" spans="1:13" hidden="1" x14ac:dyDescent="0.3">
      <c r="A378" t="s">
        <v>826</v>
      </c>
      <c r="B378" t="s">
        <v>812</v>
      </c>
      <c r="C378" t="s">
        <v>827</v>
      </c>
      <c r="D378" t="s">
        <v>167</v>
      </c>
      <c r="E378">
        <v>12074.1312</v>
      </c>
      <c r="F378">
        <v>9880.8071999999993</v>
      </c>
      <c r="G378">
        <v>0.1</v>
      </c>
      <c r="H378">
        <v>0.102873232750816</v>
      </c>
      <c r="I378">
        <v>0.81834519074962497</v>
      </c>
      <c r="J378" t="s">
        <v>17</v>
      </c>
      <c r="L378" t="s">
        <v>18</v>
      </c>
      <c r="M378" t="s">
        <v>24</v>
      </c>
    </row>
    <row r="379" spans="1:13" hidden="1" x14ac:dyDescent="0.3">
      <c r="A379" t="s">
        <v>828</v>
      </c>
      <c r="B379" t="s">
        <v>812</v>
      </c>
      <c r="C379" t="s">
        <v>829</v>
      </c>
      <c r="D379" t="s">
        <v>167</v>
      </c>
      <c r="E379">
        <v>8901.2312000000002</v>
      </c>
      <c r="F379">
        <v>8214.6460000000006</v>
      </c>
      <c r="G379">
        <v>0</v>
      </c>
      <c r="H379">
        <v>4.6383095644521997E-2</v>
      </c>
      <c r="I379">
        <v>0.92286626596105004</v>
      </c>
      <c r="J379" t="s">
        <v>17</v>
      </c>
      <c r="L379" t="s">
        <v>18</v>
      </c>
      <c r="M379" t="s">
        <v>24</v>
      </c>
    </row>
    <row r="380" spans="1:13" hidden="1" x14ac:dyDescent="0.3">
      <c r="A380" t="s">
        <v>830</v>
      </c>
      <c r="B380" t="s">
        <v>812</v>
      </c>
      <c r="C380" t="s">
        <v>831</v>
      </c>
      <c r="D380" t="s">
        <v>136</v>
      </c>
      <c r="E380">
        <v>6496.36</v>
      </c>
      <c r="F380">
        <v>5101.8224</v>
      </c>
      <c r="G380">
        <v>0.2</v>
      </c>
      <c r="H380">
        <v>0.16625764776271901</v>
      </c>
      <c r="I380">
        <v>0.78533554174953402</v>
      </c>
      <c r="J380" t="s">
        <v>17</v>
      </c>
      <c r="L380" t="s">
        <v>18</v>
      </c>
      <c r="M380" t="s">
        <v>24</v>
      </c>
    </row>
    <row r="381" spans="1:13" hidden="1" x14ac:dyDescent="0.3">
      <c r="A381" t="s">
        <v>832</v>
      </c>
      <c r="B381" t="s">
        <v>812</v>
      </c>
      <c r="C381" t="s">
        <v>833</v>
      </c>
      <c r="D381" t="s">
        <v>136</v>
      </c>
      <c r="E381">
        <v>12012.496800000001</v>
      </c>
      <c r="F381">
        <v>10665.7168</v>
      </c>
      <c r="G381">
        <v>0.1</v>
      </c>
      <c r="H381">
        <v>0.14139945428189299</v>
      </c>
      <c r="I381">
        <v>0.88788508980081504</v>
      </c>
      <c r="J381" t="s">
        <v>17</v>
      </c>
      <c r="L381" t="s">
        <v>18</v>
      </c>
      <c r="M381" t="s">
        <v>19</v>
      </c>
    </row>
    <row r="382" spans="1:13" hidden="1" x14ac:dyDescent="0.3">
      <c r="A382" t="s">
        <v>834</v>
      </c>
      <c r="B382" t="s">
        <v>812</v>
      </c>
      <c r="C382" t="s">
        <v>835</v>
      </c>
      <c r="D382" t="s">
        <v>136</v>
      </c>
      <c r="E382">
        <v>1107.4924000000001</v>
      </c>
      <c r="F382">
        <v>1075.8563999999999</v>
      </c>
      <c r="G382">
        <v>0</v>
      </c>
      <c r="H382">
        <v>2.6643661276112798E-2</v>
      </c>
      <c r="I382">
        <v>0.97143456695504204</v>
      </c>
      <c r="J382" t="s">
        <v>17</v>
      </c>
      <c r="L382" t="s">
        <v>18</v>
      </c>
      <c r="M382" t="s">
        <v>29</v>
      </c>
    </row>
    <row r="383" spans="1:13" hidden="1" x14ac:dyDescent="0.3">
      <c r="A383" t="s">
        <v>836</v>
      </c>
      <c r="B383" t="s">
        <v>812</v>
      </c>
      <c r="C383" t="s">
        <v>837</v>
      </c>
      <c r="D383" t="s">
        <v>136</v>
      </c>
      <c r="E383">
        <v>10110.8896</v>
      </c>
      <c r="F383">
        <v>6219.6988000000001</v>
      </c>
      <c r="G383">
        <v>0.4</v>
      </c>
      <c r="H383">
        <v>0.36084855872048799</v>
      </c>
      <c r="I383">
        <v>0.61514852263840403</v>
      </c>
      <c r="J383" t="s">
        <v>76</v>
      </c>
      <c r="K383" t="s">
        <v>38</v>
      </c>
      <c r="L383" t="s">
        <v>18</v>
      </c>
      <c r="M383" t="s">
        <v>19</v>
      </c>
    </row>
    <row r="384" spans="1:13" hidden="1" x14ac:dyDescent="0.3">
      <c r="A384" t="s">
        <v>838</v>
      </c>
      <c r="B384" t="s">
        <v>812</v>
      </c>
      <c r="C384" t="s">
        <v>839</v>
      </c>
      <c r="D384" t="s">
        <v>167</v>
      </c>
      <c r="E384">
        <v>4147.7392</v>
      </c>
      <c r="F384">
        <v>3045.6619999999998</v>
      </c>
      <c r="G384">
        <v>0.2</v>
      </c>
      <c r="H384">
        <v>0.20711789322010499</v>
      </c>
      <c r="I384">
        <v>0.73429448023154398</v>
      </c>
      <c r="J384" t="s">
        <v>17</v>
      </c>
      <c r="L384" t="s">
        <v>18</v>
      </c>
      <c r="M384" t="s">
        <v>24</v>
      </c>
    </row>
    <row r="385" spans="1:13" hidden="1" x14ac:dyDescent="0.3">
      <c r="A385" t="s">
        <v>840</v>
      </c>
      <c r="B385" t="s">
        <v>812</v>
      </c>
      <c r="C385" t="s">
        <v>841</v>
      </c>
      <c r="D385" t="s">
        <v>167</v>
      </c>
      <c r="E385">
        <v>0.60199999999999998</v>
      </c>
      <c r="F385">
        <v>0.53159999999999996</v>
      </c>
      <c r="G385">
        <v>0.3</v>
      </c>
      <c r="H385">
        <v>0.25483759502418801</v>
      </c>
      <c r="I385">
        <v>0.88305647840531598</v>
      </c>
      <c r="J385" t="s">
        <v>17</v>
      </c>
      <c r="L385" t="s">
        <v>18</v>
      </c>
      <c r="M385" t="s">
        <v>29</v>
      </c>
    </row>
    <row r="386" spans="1:13" hidden="1" x14ac:dyDescent="0.3">
      <c r="A386" t="s">
        <v>842</v>
      </c>
      <c r="B386" t="s">
        <v>812</v>
      </c>
      <c r="C386" t="s">
        <v>843</v>
      </c>
      <c r="D386" t="s">
        <v>167</v>
      </c>
      <c r="E386">
        <v>4445.3284000000003</v>
      </c>
      <c r="F386">
        <v>2519.1048000000001</v>
      </c>
      <c r="G386">
        <v>0.4</v>
      </c>
      <c r="H386">
        <v>0.40232294546236302</v>
      </c>
      <c r="I386">
        <v>0.56668587184694796</v>
      </c>
      <c r="J386" t="s">
        <v>76</v>
      </c>
      <c r="K386" t="s">
        <v>38</v>
      </c>
      <c r="L386" t="s">
        <v>18</v>
      </c>
      <c r="M386" t="s">
        <v>19</v>
      </c>
    </row>
    <row r="387" spans="1:13" hidden="1" x14ac:dyDescent="0.3">
      <c r="A387" t="s">
        <v>844</v>
      </c>
      <c r="B387" t="s">
        <v>812</v>
      </c>
      <c r="C387" t="s">
        <v>845</v>
      </c>
      <c r="D387" t="s">
        <v>167</v>
      </c>
      <c r="E387">
        <v>666.91</v>
      </c>
      <c r="F387">
        <v>596.71680000000003</v>
      </c>
      <c r="G387">
        <v>0.1</v>
      </c>
      <c r="H387">
        <v>5.3612652783706999E-2</v>
      </c>
      <c r="I387">
        <v>0.89474861675488504</v>
      </c>
      <c r="J387" t="s">
        <v>17</v>
      </c>
      <c r="L387" t="s">
        <v>18</v>
      </c>
      <c r="M387" t="s">
        <v>19</v>
      </c>
    </row>
    <row r="388" spans="1:13" hidden="1" x14ac:dyDescent="0.3">
      <c r="A388" t="s">
        <v>846</v>
      </c>
      <c r="B388" t="s">
        <v>812</v>
      </c>
      <c r="C388" t="s">
        <v>847</v>
      </c>
      <c r="D388" t="s">
        <v>167</v>
      </c>
      <c r="E388">
        <v>891.32399999999996</v>
      </c>
      <c r="F388">
        <v>823.97720000000004</v>
      </c>
      <c r="G388">
        <v>0.1</v>
      </c>
      <c r="H388">
        <v>7.1217367502489401E-2</v>
      </c>
      <c r="I388">
        <v>0.92444184157500497</v>
      </c>
      <c r="J388" t="s">
        <v>17</v>
      </c>
      <c r="L388" t="s">
        <v>18</v>
      </c>
      <c r="M388" t="s">
        <v>24</v>
      </c>
    </row>
    <row r="389" spans="1:13" hidden="1" x14ac:dyDescent="0.3">
      <c r="A389" t="s">
        <v>848</v>
      </c>
      <c r="B389" t="s">
        <v>812</v>
      </c>
      <c r="C389" t="s">
        <v>849</v>
      </c>
      <c r="D389" t="s">
        <v>167</v>
      </c>
      <c r="E389">
        <v>2000.0168000000001</v>
      </c>
      <c r="F389">
        <v>1747.8652</v>
      </c>
      <c r="G389">
        <v>0.1</v>
      </c>
      <c r="H389">
        <v>0.112005171552885</v>
      </c>
      <c r="I389">
        <v>0.87392525902782403</v>
      </c>
      <c r="J389" t="s">
        <v>17</v>
      </c>
      <c r="L389" t="s">
        <v>18</v>
      </c>
      <c r="M389" t="s">
        <v>24</v>
      </c>
    </row>
    <row r="390" spans="1:13" hidden="1" x14ac:dyDescent="0.3">
      <c r="A390" t="s">
        <v>850</v>
      </c>
      <c r="B390" t="s">
        <v>812</v>
      </c>
      <c r="C390" t="s">
        <v>851</v>
      </c>
      <c r="D390" t="s">
        <v>136</v>
      </c>
      <c r="E390">
        <v>2522.8339999999998</v>
      </c>
      <c r="F390">
        <v>1210.104</v>
      </c>
      <c r="G390">
        <v>0.8</v>
      </c>
      <c r="H390">
        <v>0.78276786824745603</v>
      </c>
      <c r="I390">
        <v>0.47966057219777403</v>
      </c>
      <c r="J390" t="s">
        <v>76</v>
      </c>
      <c r="K390" t="s">
        <v>38</v>
      </c>
      <c r="L390" t="s">
        <v>18</v>
      </c>
      <c r="M390" t="s">
        <v>19</v>
      </c>
    </row>
    <row r="391" spans="1:13" hidden="1" x14ac:dyDescent="0.3">
      <c r="A391" t="s">
        <v>852</v>
      </c>
      <c r="B391" t="s">
        <v>812</v>
      </c>
      <c r="C391" t="s">
        <v>853</v>
      </c>
      <c r="D391" t="s">
        <v>167</v>
      </c>
      <c r="E391">
        <v>2316.1448</v>
      </c>
      <c r="F391">
        <v>1809.8568</v>
      </c>
      <c r="G391">
        <v>0.3</v>
      </c>
      <c r="H391">
        <v>0.256419408633836</v>
      </c>
      <c r="I391">
        <v>0.78140917614477301</v>
      </c>
      <c r="J391" t="s">
        <v>17</v>
      </c>
      <c r="L391" t="s">
        <v>18</v>
      </c>
      <c r="M391" t="s">
        <v>19</v>
      </c>
    </row>
    <row r="392" spans="1:13" hidden="1" x14ac:dyDescent="0.3">
      <c r="A392" t="s">
        <v>854</v>
      </c>
      <c r="B392" t="s">
        <v>812</v>
      </c>
      <c r="C392" t="s">
        <v>855</v>
      </c>
      <c r="E392">
        <v>388.17680000000001</v>
      </c>
      <c r="F392">
        <v>373.66079999999999</v>
      </c>
      <c r="G392">
        <v>0</v>
      </c>
      <c r="H392">
        <v>2.2342803909961E-2</v>
      </c>
      <c r="I392">
        <v>0.96260466880040196</v>
      </c>
      <c r="J392" t="s">
        <v>17</v>
      </c>
      <c r="L392" t="s">
        <v>18</v>
      </c>
      <c r="M392" t="s">
        <v>29</v>
      </c>
    </row>
    <row r="393" spans="1:13" hidden="1" x14ac:dyDescent="0.3">
      <c r="A393" t="s">
        <v>856</v>
      </c>
      <c r="B393" t="s">
        <v>812</v>
      </c>
      <c r="C393" t="s">
        <v>857</v>
      </c>
      <c r="D393" t="s">
        <v>136</v>
      </c>
      <c r="E393">
        <v>1331.3268</v>
      </c>
      <c r="F393">
        <v>889.58600000000001</v>
      </c>
      <c r="G393">
        <v>0.2</v>
      </c>
      <c r="H393">
        <v>0.194641333211901</v>
      </c>
      <c r="I393">
        <v>0.66819506675596096</v>
      </c>
      <c r="J393" t="s">
        <v>17</v>
      </c>
      <c r="L393" t="s">
        <v>18</v>
      </c>
      <c r="M393" t="s">
        <v>19</v>
      </c>
    </row>
    <row r="394" spans="1:13" hidden="1" x14ac:dyDescent="0.3">
      <c r="A394" t="s">
        <v>858</v>
      </c>
      <c r="B394" t="s">
        <v>812</v>
      </c>
      <c r="C394" t="s">
        <v>859</v>
      </c>
      <c r="D394" t="s">
        <v>167</v>
      </c>
      <c r="E394">
        <v>4119.6271999999999</v>
      </c>
      <c r="F394">
        <v>3661.8715999999999</v>
      </c>
      <c r="G394">
        <v>0.1</v>
      </c>
      <c r="H394">
        <v>7.0395829720844003E-2</v>
      </c>
      <c r="I394">
        <v>0.88888421748453394</v>
      </c>
      <c r="J394" t="s">
        <v>17</v>
      </c>
      <c r="L394" t="s">
        <v>18</v>
      </c>
      <c r="M394" t="s">
        <v>19</v>
      </c>
    </row>
    <row r="395" spans="1:13" hidden="1" x14ac:dyDescent="0.3">
      <c r="A395" t="s">
        <v>860</v>
      </c>
      <c r="B395" t="s">
        <v>812</v>
      </c>
      <c r="C395" t="s">
        <v>861</v>
      </c>
      <c r="D395" t="s">
        <v>167</v>
      </c>
      <c r="E395">
        <v>367.10359999999997</v>
      </c>
      <c r="F395">
        <v>359.8116</v>
      </c>
      <c r="G395">
        <v>0</v>
      </c>
      <c r="H395">
        <v>9.4278088913173092E-3</v>
      </c>
      <c r="I395">
        <v>0.98013639746382197</v>
      </c>
      <c r="J395" t="s">
        <v>17</v>
      </c>
      <c r="L395" t="s">
        <v>18</v>
      </c>
      <c r="M395" t="s">
        <v>29</v>
      </c>
    </row>
    <row r="396" spans="1:13" hidden="1" x14ac:dyDescent="0.3">
      <c r="A396" t="s">
        <v>862</v>
      </c>
      <c r="B396" t="s">
        <v>812</v>
      </c>
      <c r="C396" t="s">
        <v>863</v>
      </c>
      <c r="D396" t="s">
        <v>167</v>
      </c>
      <c r="E396">
        <v>2285.098</v>
      </c>
      <c r="F396">
        <v>708.9796</v>
      </c>
      <c r="G396">
        <v>0.9</v>
      </c>
      <c r="H396">
        <v>0.858589565491364</v>
      </c>
      <c r="I396">
        <v>0.31026222945361598</v>
      </c>
      <c r="J396" t="s">
        <v>76</v>
      </c>
      <c r="K396" t="s">
        <v>38</v>
      </c>
      <c r="L396" t="s">
        <v>18</v>
      </c>
      <c r="M396" t="s">
        <v>19</v>
      </c>
    </row>
    <row r="397" spans="1:13" hidden="1" x14ac:dyDescent="0.3">
      <c r="A397" t="s">
        <v>864</v>
      </c>
      <c r="B397" t="s">
        <v>812</v>
      </c>
      <c r="C397" t="s">
        <v>865</v>
      </c>
      <c r="D397" t="s">
        <v>167</v>
      </c>
      <c r="E397">
        <v>491.32839999999999</v>
      </c>
      <c r="F397">
        <v>360.95080000000002</v>
      </c>
      <c r="G397">
        <v>0.4</v>
      </c>
      <c r="H397">
        <v>0.40636285764968799</v>
      </c>
      <c r="I397">
        <v>0.734642654485269</v>
      </c>
      <c r="J397" t="s">
        <v>76</v>
      </c>
      <c r="K397" t="s">
        <v>38</v>
      </c>
      <c r="L397" t="s">
        <v>18</v>
      </c>
      <c r="M397" t="s">
        <v>19</v>
      </c>
    </row>
    <row r="398" spans="1:13" hidden="1" x14ac:dyDescent="0.3">
      <c r="A398" t="s">
        <v>866</v>
      </c>
      <c r="B398" t="s">
        <v>812</v>
      </c>
      <c r="C398" t="s">
        <v>867</v>
      </c>
      <c r="D398" t="s">
        <v>167</v>
      </c>
      <c r="E398">
        <v>1833.3936000000001</v>
      </c>
      <c r="F398">
        <v>843.36199999999997</v>
      </c>
      <c r="G398">
        <v>0.6</v>
      </c>
      <c r="H398">
        <v>0.56093875259762005</v>
      </c>
      <c r="I398">
        <v>0.46000051489216498</v>
      </c>
      <c r="J398" t="s">
        <v>76</v>
      </c>
      <c r="K398" t="s">
        <v>38</v>
      </c>
      <c r="L398" t="s">
        <v>18</v>
      </c>
      <c r="M398" t="s">
        <v>19</v>
      </c>
    </row>
    <row r="399" spans="1:13" hidden="1" x14ac:dyDescent="0.3">
      <c r="A399" t="s">
        <v>868</v>
      </c>
      <c r="B399" t="s">
        <v>812</v>
      </c>
      <c r="C399" t="s">
        <v>869</v>
      </c>
      <c r="D399" t="s">
        <v>167</v>
      </c>
      <c r="E399">
        <v>3103.5983999999999</v>
      </c>
      <c r="F399">
        <v>2593.0128</v>
      </c>
      <c r="G399">
        <v>0.1</v>
      </c>
      <c r="H399">
        <v>0.13155972314473699</v>
      </c>
      <c r="I399">
        <v>0.83548593142721095</v>
      </c>
      <c r="J399" t="s">
        <v>17</v>
      </c>
      <c r="L399" t="s">
        <v>18</v>
      </c>
      <c r="M399" t="s">
        <v>24</v>
      </c>
    </row>
    <row r="400" spans="1:13" hidden="1" x14ac:dyDescent="0.3">
      <c r="A400" t="s">
        <v>870</v>
      </c>
      <c r="B400" t="s">
        <v>812</v>
      </c>
      <c r="C400" t="s">
        <v>871</v>
      </c>
      <c r="D400" t="s">
        <v>167</v>
      </c>
      <c r="E400">
        <v>15427.0416</v>
      </c>
      <c r="F400">
        <v>12001.970799999999</v>
      </c>
      <c r="G400">
        <v>0.1</v>
      </c>
      <c r="H400">
        <v>7.1949201474223803E-2</v>
      </c>
      <c r="I400">
        <v>0.777982656117295</v>
      </c>
      <c r="J400" t="s">
        <v>17</v>
      </c>
      <c r="L400" t="s">
        <v>18</v>
      </c>
      <c r="M400" t="s">
        <v>32</v>
      </c>
    </row>
    <row r="401" spans="1:13" hidden="1" x14ac:dyDescent="0.3">
      <c r="A401" t="s">
        <v>872</v>
      </c>
      <c r="B401" t="s">
        <v>812</v>
      </c>
      <c r="C401" t="s">
        <v>873</v>
      </c>
      <c r="D401" t="s">
        <v>136</v>
      </c>
      <c r="E401">
        <v>5838.9755999999998</v>
      </c>
      <c r="F401">
        <v>5539.6844000000001</v>
      </c>
      <c r="G401">
        <v>0</v>
      </c>
      <c r="H401">
        <v>3.7043761807144603E-2</v>
      </c>
      <c r="I401">
        <v>0.94874251572484702</v>
      </c>
      <c r="J401" t="s">
        <v>17</v>
      </c>
      <c r="L401" t="s">
        <v>18</v>
      </c>
      <c r="M401" t="s">
        <v>32</v>
      </c>
    </row>
    <row r="402" spans="1:13" hidden="1" x14ac:dyDescent="0.3">
      <c r="A402" t="s">
        <v>874</v>
      </c>
      <c r="B402" t="s">
        <v>812</v>
      </c>
      <c r="C402" t="s">
        <v>875</v>
      </c>
      <c r="D402" t="s">
        <v>167</v>
      </c>
      <c r="E402">
        <v>13886.185600000001</v>
      </c>
      <c r="F402">
        <v>13624.6808</v>
      </c>
      <c r="G402">
        <v>0</v>
      </c>
      <c r="H402">
        <v>8.7588897177307105E-3</v>
      </c>
      <c r="I402">
        <v>0.98116798899764102</v>
      </c>
      <c r="J402" t="s">
        <v>17</v>
      </c>
      <c r="L402" t="s">
        <v>18</v>
      </c>
      <c r="M402" t="s">
        <v>19</v>
      </c>
    </row>
    <row r="403" spans="1:13" hidden="1" x14ac:dyDescent="0.3">
      <c r="A403" t="s">
        <v>876</v>
      </c>
      <c r="B403" t="s">
        <v>812</v>
      </c>
      <c r="C403" t="s">
        <v>877</v>
      </c>
      <c r="D403" t="s">
        <v>167</v>
      </c>
      <c r="E403">
        <v>7452.5748000000003</v>
      </c>
      <c r="F403">
        <v>7252.6880000000001</v>
      </c>
      <c r="G403">
        <v>0</v>
      </c>
      <c r="H403">
        <v>3.9513622363852599E-2</v>
      </c>
      <c r="I403">
        <v>0.97317882673247402</v>
      </c>
      <c r="J403" t="s">
        <v>17</v>
      </c>
      <c r="L403" t="s">
        <v>18</v>
      </c>
      <c r="M403" t="s">
        <v>19</v>
      </c>
    </row>
    <row r="404" spans="1:13" hidden="1" x14ac:dyDescent="0.3">
      <c r="A404" t="s">
        <v>878</v>
      </c>
      <c r="B404" t="s">
        <v>812</v>
      </c>
      <c r="C404" t="s">
        <v>879</v>
      </c>
      <c r="D404" t="s">
        <v>136</v>
      </c>
      <c r="E404">
        <v>8517.6947999999993</v>
      </c>
      <c r="F404">
        <v>8409.2551999999996</v>
      </c>
      <c r="G404">
        <v>0</v>
      </c>
      <c r="H404">
        <v>1.8282417172672E-2</v>
      </c>
      <c r="I404">
        <v>0.98726890284916102</v>
      </c>
      <c r="J404" t="s">
        <v>17</v>
      </c>
      <c r="L404" t="s">
        <v>18</v>
      </c>
      <c r="M404" t="s">
        <v>19</v>
      </c>
    </row>
    <row r="405" spans="1:13" hidden="1" x14ac:dyDescent="0.3">
      <c r="A405" t="s">
        <v>880</v>
      </c>
      <c r="B405" t="s">
        <v>812</v>
      </c>
      <c r="C405" t="s">
        <v>881</v>
      </c>
      <c r="D405" t="s">
        <v>136</v>
      </c>
      <c r="E405">
        <v>929.22400000000005</v>
      </c>
      <c r="F405">
        <v>880.82240000000002</v>
      </c>
      <c r="G405">
        <v>0.1</v>
      </c>
      <c r="H405">
        <v>6.3032924458493206E-2</v>
      </c>
      <c r="I405">
        <v>0.94791180598004399</v>
      </c>
      <c r="J405" t="s">
        <v>17</v>
      </c>
      <c r="L405" t="s">
        <v>18</v>
      </c>
      <c r="M405" t="s">
        <v>32</v>
      </c>
    </row>
    <row r="406" spans="1:13" hidden="1" x14ac:dyDescent="0.3">
      <c r="A406" t="s">
        <v>882</v>
      </c>
      <c r="B406" t="s">
        <v>812</v>
      </c>
      <c r="C406" t="s">
        <v>883</v>
      </c>
      <c r="D406" t="s">
        <v>136</v>
      </c>
      <c r="E406">
        <v>1620.8448000000001</v>
      </c>
      <c r="F406">
        <v>1617.2148</v>
      </c>
      <c r="G406">
        <v>0</v>
      </c>
      <c r="H406">
        <v>2.6936692594261699E-3</v>
      </c>
      <c r="I406">
        <v>0.997760427155024</v>
      </c>
      <c r="J406" t="s">
        <v>17</v>
      </c>
      <c r="L406" t="s">
        <v>18</v>
      </c>
      <c r="M406" t="s">
        <v>24</v>
      </c>
    </row>
    <row r="407" spans="1:13" hidden="1" x14ac:dyDescent="0.3">
      <c r="A407" t="s">
        <v>884</v>
      </c>
      <c r="B407" t="s">
        <v>812</v>
      </c>
      <c r="C407" t="s">
        <v>885</v>
      </c>
      <c r="D407" t="s">
        <v>136</v>
      </c>
      <c r="E407">
        <v>7918.5928000000004</v>
      </c>
      <c r="F407">
        <v>7905.7651999999998</v>
      </c>
      <c r="G407">
        <v>0</v>
      </c>
      <c r="H407">
        <v>2.8271786763022699E-3</v>
      </c>
      <c r="I407">
        <v>0.99838006571066495</v>
      </c>
      <c r="J407" t="s">
        <v>17</v>
      </c>
      <c r="L407" t="s">
        <v>18</v>
      </c>
      <c r="M407" t="s">
        <v>24</v>
      </c>
    </row>
    <row r="408" spans="1:13" hidden="1" x14ac:dyDescent="0.3">
      <c r="A408" t="s">
        <v>886</v>
      </c>
      <c r="B408" t="s">
        <v>812</v>
      </c>
      <c r="C408" t="s">
        <v>887</v>
      </c>
      <c r="E408">
        <v>7197.9931999999999</v>
      </c>
      <c r="F408">
        <v>3751.5720000000001</v>
      </c>
      <c r="G408">
        <v>0.2</v>
      </c>
      <c r="H408">
        <v>0.23027538008798801</v>
      </c>
      <c r="I408">
        <v>0.52119693583483795</v>
      </c>
      <c r="J408" t="s">
        <v>17</v>
      </c>
      <c r="L408" t="s">
        <v>18</v>
      </c>
      <c r="M408" t="s">
        <v>32</v>
      </c>
    </row>
    <row r="409" spans="1:13" hidden="1" x14ac:dyDescent="0.3">
      <c r="A409" t="s">
        <v>888</v>
      </c>
      <c r="B409" t="s">
        <v>812</v>
      </c>
      <c r="C409" t="s">
        <v>889</v>
      </c>
      <c r="E409">
        <v>999.60360000000003</v>
      </c>
      <c r="F409">
        <v>953.04920000000004</v>
      </c>
      <c r="G409">
        <v>0</v>
      </c>
      <c r="H409">
        <v>4.7724051837224203E-2</v>
      </c>
      <c r="I409">
        <v>0.95342713851770799</v>
      </c>
      <c r="J409" t="s">
        <v>17</v>
      </c>
      <c r="L409" t="s">
        <v>18</v>
      </c>
      <c r="M409" t="s">
        <v>32</v>
      </c>
    </row>
    <row r="410" spans="1:13" hidden="1" x14ac:dyDescent="0.3">
      <c r="A410" t="s">
        <v>890</v>
      </c>
      <c r="B410" t="s">
        <v>812</v>
      </c>
      <c r="C410" t="s">
        <v>891</v>
      </c>
      <c r="D410" t="s">
        <v>136</v>
      </c>
      <c r="E410">
        <v>4206.5528000000004</v>
      </c>
      <c r="F410">
        <v>3227.4223999999999</v>
      </c>
      <c r="G410">
        <v>0.1</v>
      </c>
      <c r="H410">
        <v>0.113772732826021</v>
      </c>
      <c r="I410">
        <v>0.76723686910574396</v>
      </c>
      <c r="J410" t="s">
        <v>17</v>
      </c>
      <c r="L410" t="s">
        <v>18</v>
      </c>
      <c r="M410" t="s">
        <v>32</v>
      </c>
    </row>
    <row r="411" spans="1:13" hidden="1" x14ac:dyDescent="0.3">
      <c r="A411" t="s">
        <v>892</v>
      </c>
      <c r="B411" t="s">
        <v>812</v>
      </c>
      <c r="C411" t="s">
        <v>893</v>
      </c>
      <c r="D411" t="s">
        <v>136</v>
      </c>
      <c r="E411">
        <v>1366.9323999999999</v>
      </c>
      <c r="F411">
        <v>576.26319999999998</v>
      </c>
      <c r="G411">
        <v>0.3</v>
      </c>
      <c r="H411">
        <v>0.27914202436458901</v>
      </c>
      <c r="I411">
        <v>0.42157402955698497</v>
      </c>
      <c r="J411" t="s">
        <v>98</v>
      </c>
      <c r="K411" t="s">
        <v>175</v>
      </c>
      <c r="L411" t="s">
        <v>18</v>
      </c>
      <c r="M411" t="s">
        <v>19</v>
      </c>
    </row>
    <row r="412" spans="1:13" hidden="1" x14ac:dyDescent="0.3">
      <c r="A412" t="s">
        <v>894</v>
      </c>
      <c r="B412" t="s">
        <v>812</v>
      </c>
      <c r="C412" t="s">
        <v>895</v>
      </c>
      <c r="D412" t="s">
        <v>136</v>
      </c>
      <c r="E412">
        <v>16649.767199999998</v>
      </c>
      <c r="F412">
        <v>12455.3472</v>
      </c>
      <c r="G412">
        <v>0.2</v>
      </c>
      <c r="H412">
        <v>0.154346693112934</v>
      </c>
      <c r="I412">
        <v>0.74807936053304103</v>
      </c>
      <c r="J412" t="s">
        <v>17</v>
      </c>
      <c r="L412" t="s">
        <v>18</v>
      </c>
      <c r="M412" t="s">
        <v>19</v>
      </c>
    </row>
    <row r="413" spans="1:13" hidden="1" x14ac:dyDescent="0.3">
      <c r="A413" t="s">
        <v>896</v>
      </c>
      <c r="B413" t="s">
        <v>812</v>
      </c>
      <c r="C413" t="s">
        <v>897</v>
      </c>
      <c r="D413" t="s">
        <v>136</v>
      </c>
      <c r="E413">
        <v>1457.8835999999999</v>
      </c>
      <c r="F413">
        <v>1418.3416</v>
      </c>
      <c r="G413">
        <v>0</v>
      </c>
      <c r="H413">
        <v>3.05806842756675E-2</v>
      </c>
      <c r="I413">
        <v>0.97287712132847903</v>
      </c>
      <c r="J413" t="s">
        <v>17</v>
      </c>
      <c r="L413" t="s">
        <v>18</v>
      </c>
      <c r="M413" t="s">
        <v>19</v>
      </c>
    </row>
    <row r="414" spans="1:13" hidden="1" x14ac:dyDescent="0.3">
      <c r="A414" t="s">
        <v>898</v>
      </c>
      <c r="B414" t="s">
        <v>812</v>
      </c>
      <c r="C414" t="s">
        <v>899</v>
      </c>
      <c r="D414" t="s">
        <v>136</v>
      </c>
      <c r="E414">
        <v>5313.8536000000004</v>
      </c>
      <c r="F414">
        <v>4220.3792000000003</v>
      </c>
      <c r="G414">
        <v>0.1</v>
      </c>
      <c r="H414">
        <v>0.126887203524368</v>
      </c>
      <c r="I414">
        <v>0.79422195598313095</v>
      </c>
      <c r="J414" t="s">
        <v>17</v>
      </c>
      <c r="L414" t="s">
        <v>18</v>
      </c>
      <c r="M414" t="s">
        <v>32</v>
      </c>
    </row>
    <row r="415" spans="1:13" hidden="1" x14ac:dyDescent="0.3">
      <c r="A415" t="s">
        <v>900</v>
      </c>
      <c r="B415" t="s">
        <v>812</v>
      </c>
      <c r="C415" t="s">
        <v>901</v>
      </c>
      <c r="D415" t="s">
        <v>136</v>
      </c>
      <c r="E415">
        <v>13360.5836</v>
      </c>
      <c r="F415">
        <v>13112.6348</v>
      </c>
      <c r="G415">
        <v>0</v>
      </c>
      <c r="H415">
        <v>2.0781349499690099E-2</v>
      </c>
      <c r="I415">
        <v>0.98144176875626898</v>
      </c>
      <c r="J415" t="s">
        <v>17</v>
      </c>
      <c r="L415" t="s">
        <v>18</v>
      </c>
      <c r="M415" t="s">
        <v>32</v>
      </c>
    </row>
    <row r="416" spans="1:13" hidden="1" x14ac:dyDescent="0.3">
      <c r="A416" t="s">
        <v>902</v>
      </c>
      <c r="B416" t="s">
        <v>812</v>
      </c>
      <c r="C416" t="s">
        <v>903</v>
      </c>
      <c r="D416" t="s">
        <v>136</v>
      </c>
      <c r="E416">
        <v>3363.5079999999998</v>
      </c>
      <c r="F416">
        <v>3235.7984000000001</v>
      </c>
      <c r="G416">
        <v>0</v>
      </c>
      <c r="H416">
        <v>2.68012801068695E-2</v>
      </c>
      <c r="I416">
        <v>0.96203083209553797</v>
      </c>
      <c r="J416" t="s">
        <v>17</v>
      </c>
      <c r="L416" t="s">
        <v>18</v>
      </c>
      <c r="M416" t="s">
        <v>32</v>
      </c>
    </row>
    <row r="417" spans="1:13" hidden="1" x14ac:dyDescent="0.3">
      <c r="A417" t="s">
        <v>904</v>
      </c>
      <c r="B417" t="s">
        <v>812</v>
      </c>
      <c r="C417" t="s">
        <v>905</v>
      </c>
      <c r="D417" t="s">
        <v>136</v>
      </c>
      <c r="E417">
        <v>5779.5995999999996</v>
      </c>
      <c r="F417">
        <v>5504.2496000000001</v>
      </c>
      <c r="G417">
        <v>0.1</v>
      </c>
      <c r="H417">
        <v>6.6656202982318905E-2</v>
      </c>
      <c r="I417">
        <v>0.95235829139444195</v>
      </c>
      <c r="J417" t="s">
        <v>17</v>
      </c>
      <c r="L417" t="s">
        <v>18</v>
      </c>
      <c r="M417" t="s">
        <v>32</v>
      </c>
    </row>
    <row r="418" spans="1:13" hidden="1" x14ac:dyDescent="0.3">
      <c r="A418" t="s">
        <v>906</v>
      </c>
      <c r="B418" t="s">
        <v>812</v>
      </c>
      <c r="C418" t="s">
        <v>907</v>
      </c>
      <c r="D418" t="s">
        <v>167</v>
      </c>
      <c r="E418">
        <v>37063.725599999998</v>
      </c>
      <c r="F418">
        <v>37004.719599999997</v>
      </c>
      <c r="G418">
        <v>0</v>
      </c>
      <c r="H418">
        <v>2.9820074720822501E-3</v>
      </c>
      <c r="I418">
        <v>0.99840798519186102</v>
      </c>
      <c r="J418" t="s">
        <v>17</v>
      </c>
      <c r="L418" t="s">
        <v>18</v>
      </c>
      <c r="M418" t="s">
        <v>24</v>
      </c>
    </row>
    <row r="419" spans="1:13" hidden="1" x14ac:dyDescent="0.3">
      <c r="A419" t="s">
        <v>908</v>
      </c>
      <c r="B419" t="s">
        <v>812</v>
      </c>
      <c r="C419" t="s">
        <v>909</v>
      </c>
      <c r="D419" t="s">
        <v>136</v>
      </c>
      <c r="E419">
        <v>2242.3667999999998</v>
      </c>
      <c r="F419">
        <v>2239.5115999999998</v>
      </c>
      <c r="G419">
        <v>0</v>
      </c>
      <c r="H419">
        <v>3.6054394401245399E-3</v>
      </c>
      <c r="I419">
        <v>0.99872670251807105</v>
      </c>
      <c r="J419" t="s">
        <v>17</v>
      </c>
      <c r="L419" t="s">
        <v>18</v>
      </c>
      <c r="M419" t="s">
        <v>29</v>
      </c>
    </row>
    <row r="420" spans="1:13" hidden="1" x14ac:dyDescent="0.3">
      <c r="A420" t="s">
        <v>910</v>
      </c>
      <c r="B420" t="s">
        <v>812</v>
      </c>
      <c r="C420" t="s">
        <v>911</v>
      </c>
      <c r="D420" t="s">
        <v>136</v>
      </c>
      <c r="E420">
        <v>2898.1244000000002</v>
      </c>
      <c r="F420">
        <v>2897.9319999999998</v>
      </c>
      <c r="G420">
        <v>0</v>
      </c>
      <c r="H420">
        <v>0</v>
      </c>
      <c r="I420">
        <v>0.99999792969549495</v>
      </c>
      <c r="J420" t="s">
        <v>17</v>
      </c>
      <c r="L420" t="s">
        <v>18</v>
      </c>
      <c r="M420" t="s">
        <v>29</v>
      </c>
    </row>
    <row r="421" spans="1:13" hidden="1" x14ac:dyDescent="0.3">
      <c r="A421" t="s">
        <v>912</v>
      </c>
      <c r="B421" t="s">
        <v>812</v>
      </c>
      <c r="C421" t="s">
        <v>913</v>
      </c>
      <c r="D421" t="s">
        <v>136</v>
      </c>
      <c r="E421">
        <v>762.44280000000003</v>
      </c>
      <c r="F421">
        <v>762.25440000000003</v>
      </c>
      <c r="G421">
        <v>0</v>
      </c>
      <c r="H421">
        <v>3.3941673054924099E-4</v>
      </c>
      <c r="I421">
        <v>0.99975289949619806</v>
      </c>
      <c r="J421" t="s">
        <v>17</v>
      </c>
      <c r="L421" t="s">
        <v>18</v>
      </c>
      <c r="M421" t="s">
        <v>29</v>
      </c>
    </row>
    <row r="422" spans="1:13" hidden="1" x14ac:dyDescent="0.3">
      <c r="A422" t="s">
        <v>914</v>
      </c>
      <c r="B422" t="s">
        <v>812</v>
      </c>
      <c r="C422" t="s">
        <v>915</v>
      </c>
      <c r="D422" t="s">
        <v>167</v>
      </c>
      <c r="E422">
        <v>2090.6907999999999</v>
      </c>
      <c r="F422">
        <v>1579.2596000000001</v>
      </c>
      <c r="G422">
        <v>0.2</v>
      </c>
      <c r="H422">
        <v>0.228002285812232</v>
      </c>
      <c r="I422">
        <v>0.75537693091680502</v>
      </c>
      <c r="J422" t="s">
        <v>17</v>
      </c>
      <c r="L422" t="s">
        <v>18</v>
      </c>
      <c r="M422" t="s">
        <v>29</v>
      </c>
    </row>
    <row r="423" spans="1:13" hidden="1" x14ac:dyDescent="0.3">
      <c r="A423" t="s">
        <v>916</v>
      </c>
      <c r="B423" t="s">
        <v>812</v>
      </c>
      <c r="C423" t="s">
        <v>917</v>
      </c>
      <c r="D423" t="s">
        <v>167</v>
      </c>
      <c r="E423">
        <v>942.78359999999998</v>
      </c>
      <c r="F423">
        <v>615.19640000000004</v>
      </c>
      <c r="G423">
        <v>0.3</v>
      </c>
      <c r="H423">
        <v>0.26507971525886798</v>
      </c>
      <c r="I423">
        <v>0.65253192779339797</v>
      </c>
      <c r="J423" t="s">
        <v>17</v>
      </c>
      <c r="L423" t="s">
        <v>18</v>
      </c>
      <c r="M423" t="s">
        <v>29</v>
      </c>
    </row>
    <row r="424" spans="1:13" hidden="1" x14ac:dyDescent="0.3">
      <c r="A424" t="s">
        <v>918</v>
      </c>
      <c r="B424" t="s">
        <v>812</v>
      </c>
      <c r="C424" t="s">
        <v>919</v>
      </c>
      <c r="D424" t="s">
        <v>167</v>
      </c>
      <c r="E424">
        <v>630.61519999999996</v>
      </c>
      <c r="F424">
        <v>596.58720000000005</v>
      </c>
      <c r="G424">
        <v>0.1</v>
      </c>
      <c r="H424">
        <v>7.7278710457036298E-2</v>
      </c>
      <c r="I424">
        <v>0.946039993961452</v>
      </c>
      <c r="J424" t="s">
        <v>17</v>
      </c>
      <c r="L424" t="s">
        <v>18</v>
      </c>
      <c r="M424" t="s">
        <v>29</v>
      </c>
    </row>
    <row r="425" spans="1:13" hidden="1" x14ac:dyDescent="0.3">
      <c r="A425" t="s">
        <v>920</v>
      </c>
      <c r="B425" t="s">
        <v>812</v>
      </c>
      <c r="C425" t="s">
        <v>921</v>
      </c>
      <c r="D425" t="s">
        <v>167</v>
      </c>
      <c r="E425">
        <v>468.39479999999998</v>
      </c>
      <c r="F425">
        <v>368.38560000000001</v>
      </c>
      <c r="G425">
        <v>0.1</v>
      </c>
      <c r="H425">
        <v>0.130314555065346</v>
      </c>
      <c r="I425">
        <v>0.78648524706081302</v>
      </c>
      <c r="J425" t="s">
        <v>17</v>
      </c>
      <c r="L425" t="s">
        <v>18</v>
      </c>
      <c r="M425" t="s">
        <v>24</v>
      </c>
    </row>
    <row r="426" spans="1:13" hidden="1" x14ac:dyDescent="0.3">
      <c r="A426" t="s">
        <v>922</v>
      </c>
      <c r="B426" t="s">
        <v>812</v>
      </c>
      <c r="C426" t="s">
        <v>923</v>
      </c>
      <c r="D426" t="s">
        <v>167</v>
      </c>
      <c r="E426">
        <v>109.4832</v>
      </c>
      <c r="F426">
        <v>72.461200000000005</v>
      </c>
      <c r="G426">
        <v>0.2</v>
      </c>
      <c r="H426">
        <v>0.152425016540469</v>
      </c>
      <c r="I426">
        <v>0.661847662472416</v>
      </c>
      <c r="J426" t="s">
        <v>17</v>
      </c>
      <c r="L426" t="s">
        <v>18</v>
      </c>
      <c r="M426" t="s">
        <v>29</v>
      </c>
    </row>
    <row r="427" spans="1:13" hidden="1" x14ac:dyDescent="0.3">
      <c r="A427" t="s">
        <v>924</v>
      </c>
      <c r="B427" t="s">
        <v>812</v>
      </c>
      <c r="C427" t="s">
        <v>925</v>
      </c>
      <c r="D427" t="s">
        <v>167</v>
      </c>
      <c r="E427">
        <v>4460.3123999999998</v>
      </c>
      <c r="F427">
        <v>3420.6212</v>
      </c>
      <c r="G427">
        <v>0.1</v>
      </c>
      <c r="H427">
        <v>7.3137190031301397E-2</v>
      </c>
      <c r="I427">
        <v>0.76690170849916295</v>
      </c>
      <c r="J427" t="s">
        <v>17</v>
      </c>
      <c r="L427" t="s">
        <v>18</v>
      </c>
      <c r="M427" t="s">
        <v>29</v>
      </c>
    </row>
    <row r="428" spans="1:13" hidden="1" x14ac:dyDescent="0.3">
      <c r="A428" t="s">
        <v>926</v>
      </c>
      <c r="B428" t="s">
        <v>812</v>
      </c>
      <c r="C428" t="s">
        <v>927</v>
      </c>
      <c r="D428" t="s">
        <v>136</v>
      </c>
      <c r="E428">
        <v>1335.0152</v>
      </c>
      <c r="F428">
        <v>1334.5932</v>
      </c>
      <c r="G428">
        <v>0</v>
      </c>
      <c r="H428">
        <v>9.1785573315770905E-5</v>
      </c>
      <c r="I428">
        <v>1.0065323600809899</v>
      </c>
      <c r="J428" t="s">
        <v>17</v>
      </c>
      <c r="L428" t="s">
        <v>18</v>
      </c>
      <c r="M428" t="s">
        <v>29</v>
      </c>
    </row>
    <row r="429" spans="1:13" hidden="1" x14ac:dyDescent="0.3">
      <c r="A429" t="s">
        <v>928</v>
      </c>
      <c r="B429" t="s">
        <v>812</v>
      </c>
      <c r="C429" t="s">
        <v>929</v>
      </c>
      <c r="D429" t="s">
        <v>167</v>
      </c>
      <c r="E429">
        <v>2583.6644000000001</v>
      </c>
      <c r="F429">
        <v>2251.9056</v>
      </c>
      <c r="G429">
        <v>0.1</v>
      </c>
      <c r="H429">
        <v>9.1197344126924207E-2</v>
      </c>
      <c r="I429">
        <v>0.87159369459903502</v>
      </c>
      <c r="J429" t="s">
        <v>17</v>
      </c>
      <c r="L429" t="s">
        <v>18</v>
      </c>
      <c r="M429" t="s">
        <v>24</v>
      </c>
    </row>
    <row r="430" spans="1:13" hidden="1" x14ac:dyDescent="0.3">
      <c r="A430" t="s">
        <v>930</v>
      </c>
      <c r="B430" t="s">
        <v>812</v>
      </c>
      <c r="C430" t="s">
        <v>931</v>
      </c>
      <c r="D430" t="s">
        <v>167</v>
      </c>
      <c r="E430">
        <v>134.51759999999999</v>
      </c>
      <c r="F430">
        <v>42.6524</v>
      </c>
      <c r="G430">
        <v>0.8</v>
      </c>
      <c r="H430">
        <v>0.78079382610959103</v>
      </c>
      <c r="I430">
        <v>0.31707672453270103</v>
      </c>
      <c r="J430" t="s">
        <v>76</v>
      </c>
      <c r="K430" t="s">
        <v>206</v>
      </c>
      <c r="L430" t="s">
        <v>18</v>
      </c>
      <c r="M430" t="s">
        <v>32</v>
      </c>
    </row>
    <row r="431" spans="1:13" hidden="1" x14ac:dyDescent="0.3">
      <c r="A431" t="s">
        <v>932</v>
      </c>
      <c r="B431" t="s">
        <v>812</v>
      </c>
      <c r="C431" t="s">
        <v>933</v>
      </c>
      <c r="D431" t="s">
        <v>167</v>
      </c>
      <c r="E431">
        <v>1124.2472</v>
      </c>
      <c r="F431">
        <v>865.01319999999998</v>
      </c>
      <c r="G431">
        <v>0.2</v>
      </c>
      <c r="H431">
        <v>0.226470545975163</v>
      </c>
      <c r="I431">
        <v>0.76941548086577405</v>
      </c>
      <c r="J431" t="s">
        <v>17</v>
      </c>
      <c r="L431" t="s">
        <v>18</v>
      </c>
      <c r="M431" t="s">
        <v>24</v>
      </c>
    </row>
    <row r="432" spans="1:13" hidden="1" x14ac:dyDescent="0.3">
      <c r="A432" t="s">
        <v>934</v>
      </c>
      <c r="B432" t="s">
        <v>812</v>
      </c>
      <c r="C432" t="s">
        <v>935</v>
      </c>
      <c r="D432" t="s">
        <v>167</v>
      </c>
      <c r="E432">
        <v>152.94560000000001</v>
      </c>
      <c r="F432">
        <v>80.775999999999996</v>
      </c>
      <c r="G432">
        <v>0.5</v>
      </c>
      <c r="H432">
        <v>0.53464411788851496</v>
      </c>
      <c r="I432">
        <v>0.52813549392725201</v>
      </c>
      <c r="J432" t="s">
        <v>37</v>
      </c>
      <c r="K432" t="s">
        <v>38</v>
      </c>
      <c r="L432" t="s">
        <v>18</v>
      </c>
      <c r="M432" t="s">
        <v>24</v>
      </c>
    </row>
    <row r="433" spans="1:13" hidden="1" x14ac:dyDescent="0.3">
      <c r="A433" t="s">
        <v>936</v>
      </c>
      <c r="B433" t="s">
        <v>812</v>
      </c>
      <c r="C433" t="s">
        <v>937</v>
      </c>
      <c r="D433" t="s">
        <v>136</v>
      </c>
      <c r="E433">
        <v>181.636</v>
      </c>
      <c r="F433">
        <v>181.6164</v>
      </c>
      <c r="G433">
        <v>0</v>
      </c>
      <c r="H433">
        <v>0</v>
      </c>
      <c r="I433">
        <v>1.0120702944350199</v>
      </c>
      <c r="J433" t="s">
        <v>17</v>
      </c>
      <c r="L433" t="s">
        <v>18</v>
      </c>
      <c r="M433" t="s">
        <v>29</v>
      </c>
    </row>
    <row r="434" spans="1:13" hidden="1" x14ac:dyDescent="0.3">
      <c r="A434" t="s">
        <v>938</v>
      </c>
      <c r="B434" t="s">
        <v>812</v>
      </c>
      <c r="C434" t="s">
        <v>939</v>
      </c>
      <c r="D434" t="s">
        <v>167</v>
      </c>
      <c r="E434">
        <v>1645.0052000000001</v>
      </c>
      <c r="F434">
        <v>648.64800000000002</v>
      </c>
      <c r="G434">
        <v>0.8</v>
      </c>
      <c r="H434">
        <v>0.81368090187539499</v>
      </c>
      <c r="I434">
        <v>0.39431364715442802</v>
      </c>
      <c r="J434" t="s">
        <v>76</v>
      </c>
      <c r="K434" t="s">
        <v>38</v>
      </c>
      <c r="L434" t="s">
        <v>18</v>
      </c>
      <c r="M434" t="s">
        <v>24</v>
      </c>
    </row>
    <row r="435" spans="1:13" hidden="1" x14ac:dyDescent="0.3">
      <c r="A435" t="s">
        <v>940</v>
      </c>
      <c r="B435" t="s">
        <v>812</v>
      </c>
      <c r="C435" t="s">
        <v>941</v>
      </c>
      <c r="D435" t="s">
        <v>136</v>
      </c>
      <c r="E435">
        <v>335.05799999999999</v>
      </c>
      <c r="F435">
        <v>268.57080000000002</v>
      </c>
      <c r="G435">
        <v>0.2</v>
      </c>
      <c r="H435">
        <v>0.22959620185215601</v>
      </c>
      <c r="I435">
        <v>0.80156510216141696</v>
      </c>
      <c r="J435" t="s">
        <v>17</v>
      </c>
      <c r="L435" t="s">
        <v>18</v>
      </c>
      <c r="M435" t="s">
        <v>29</v>
      </c>
    </row>
    <row r="436" spans="1:13" hidden="1" x14ac:dyDescent="0.3">
      <c r="A436" t="s">
        <v>942</v>
      </c>
      <c r="B436" t="s">
        <v>812</v>
      </c>
      <c r="C436" t="s">
        <v>943</v>
      </c>
      <c r="D436" t="s">
        <v>167</v>
      </c>
      <c r="E436">
        <v>5173.6088</v>
      </c>
      <c r="F436">
        <v>3681.6779999999999</v>
      </c>
      <c r="G436">
        <v>0.2</v>
      </c>
      <c r="H436">
        <v>0.150366108786611</v>
      </c>
      <c r="I436">
        <v>0.71162666956960496</v>
      </c>
      <c r="J436" t="s">
        <v>17</v>
      </c>
      <c r="L436" t="s">
        <v>18</v>
      </c>
      <c r="M436" t="s">
        <v>24</v>
      </c>
    </row>
    <row r="437" spans="1:13" hidden="1" x14ac:dyDescent="0.3">
      <c r="A437" t="s">
        <v>944</v>
      </c>
      <c r="B437" t="s">
        <v>812</v>
      </c>
      <c r="C437" t="s">
        <v>945</v>
      </c>
      <c r="D437" t="s">
        <v>167</v>
      </c>
      <c r="E437">
        <v>8564.76</v>
      </c>
      <c r="F437">
        <v>5704.3004000000001</v>
      </c>
      <c r="G437">
        <v>0.2</v>
      </c>
      <c r="H437">
        <v>0.20756326060894301</v>
      </c>
      <c r="I437">
        <v>0.66601987679748198</v>
      </c>
      <c r="J437" t="s">
        <v>17</v>
      </c>
      <c r="L437" t="s">
        <v>18</v>
      </c>
      <c r="M437" t="s">
        <v>29</v>
      </c>
    </row>
    <row r="438" spans="1:13" hidden="1" x14ac:dyDescent="0.3">
      <c r="A438" t="s">
        <v>946</v>
      </c>
      <c r="B438" t="s">
        <v>812</v>
      </c>
      <c r="C438" t="s">
        <v>947</v>
      </c>
      <c r="D438" t="s">
        <v>167</v>
      </c>
      <c r="E438">
        <v>694.62400000000002</v>
      </c>
      <c r="F438">
        <v>182.28</v>
      </c>
      <c r="G438">
        <v>0.7</v>
      </c>
      <c r="H438">
        <v>0.69570490818895803</v>
      </c>
      <c r="I438">
        <v>0.262415349887133</v>
      </c>
      <c r="J438" t="s">
        <v>37</v>
      </c>
      <c r="K438" t="s">
        <v>38</v>
      </c>
      <c r="L438" t="s">
        <v>18</v>
      </c>
      <c r="M438" t="s">
        <v>32</v>
      </c>
    </row>
    <row r="439" spans="1:13" hidden="1" x14ac:dyDescent="0.3">
      <c r="A439" t="s">
        <v>948</v>
      </c>
      <c r="B439" t="s">
        <v>812</v>
      </c>
      <c r="C439" t="s">
        <v>949</v>
      </c>
      <c r="D439" t="s">
        <v>167</v>
      </c>
      <c r="E439">
        <v>660.60680000000002</v>
      </c>
      <c r="F439">
        <v>472.93279999999999</v>
      </c>
      <c r="G439">
        <v>0.3</v>
      </c>
      <c r="H439">
        <v>0.28675072054964601</v>
      </c>
      <c r="I439">
        <v>0.71590664825127404</v>
      </c>
      <c r="J439" t="s">
        <v>17</v>
      </c>
      <c r="L439" t="s">
        <v>18</v>
      </c>
      <c r="M439" t="s">
        <v>24</v>
      </c>
    </row>
    <row r="440" spans="1:13" hidden="1" x14ac:dyDescent="0.3">
      <c r="A440" t="s">
        <v>950</v>
      </c>
      <c r="B440" t="s">
        <v>812</v>
      </c>
      <c r="C440" t="s">
        <v>951</v>
      </c>
      <c r="D440" t="s">
        <v>167</v>
      </c>
      <c r="E440">
        <v>703.51319999999998</v>
      </c>
      <c r="F440">
        <v>510.34399999999999</v>
      </c>
      <c r="G440">
        <v>0.5</v>
      </c>
      <c r="H440">
        <v>0.47249323079174799</v>
      </c>
      <c r="I440">
        <v>0.72542206741820903</v>
      </c>
      <c r="J440" t="s">
        <v>37</v>
      </c>
      <c r="K440" t="s">
        <v>38</v>
      </c>
      <c r="L440" t="s">
        <v>18</v>
      </c>
      <c r="M440" t="s">
        <v>19</v>
      </c>
    </row>
    <row r="441" spans="1:13" hidden="1" x14ac:dyDescent="0.3">
      <c r="A441" t="s">
        <v>952</v>
      </c>
      <c r="B441" t="s">
        <v>812</v>
      </c>
      <c r="C441" t="s">
        <v>953</v>
      </c>
      <c r="D441" t="s">
        <v>167</v>
      </c>
      <c r="E441">
        <v>539.90800000000002</v>
      </c>
      <c r="F441">
        <v>426.68799999999999</v>
      </c>
      <c r="G441">
        <v>0.1</v>
      </c>
      <c r="H441">
        <v>0.10967416661314699</v>
      </c>
      <c r="I441">
        <v>0.79029760625884404</v>
      </c>
      <c r="J441" t="s">
        <v>17</v>
      </c>
      <c r="L441" t="s">
        <v>18</v>
      </c>
      <c r="M441" t="s">
        <v>24</v>
      </c>
    </row>
    <row r="442" spans="1:13" hidden="1" x14ac:dyDescent="0.3">
      <c r="A442" t="s">
        <v>954</v>
      </c>
      <c r="B442" t="s">
        <v>812</v>
      </c>
      <c r="C442" t="s">
        <v>955</v>
      </c>
      <c r="D442" t="s">
        <v>167</v>
      </c>
      <c r="E442">
        <v>19839.1584</v>
      </c>
      <c r="F442">
        <v>14882.14</v>
      </c>
      <c r="G442">
        <v>0.2</v>
      </c>
      <c r="H442">
        <v>0.174571946202386</v>
      </c>
      <c r="I442">
        <v>0.75013968334463199</v>
      </c>
      <c r="J442" t="s">
        <v>17</v>
      </c>
      <c r="L442" t="s">
        <v>18</v>
      </c>
      <c r="M442" t="s">
        <v>29</v>
      </c>
    </row>
    <row r="443" spans="1:13" hidden="1" x14ac:dyDescent="0.3">
      <c r="A443" t="s">
        <v>956</v>
      </c>
      <c r="B443" t="s">
        <v>812</v>
      </c>
      <c r="C443" t="s">
        <v>957</v>
      </c>
      <c r="D443" t="s">
        <v>167</v>
      </c>
      <c r="E443">
        <v>2722.0444000000002</v>
      </c>
      <c r="F443">
        <v>1968.0536</v>
      </c>
      <c r="G443">
        <v>0.1</v>
      </c>
      <c r="H443">
        <v>9.2106228674159504E-2</v>
      </c>
      <c r="I443">
        <v>0.72300569380866797</v>
      </c>
      <c r="J443" t="s">
        <v>17</v>
      </c>
      <c r="L443" t="s">
        <v>18</v>
      </c>
      <c r="M443" t="s">
        <v>29</v>
      </c>
    </row>
    <row r="444" spans="1:13" hidden="1" x14ac:dyDescent="0.3">
      <c r="A444" t="s">
        <v>958</v>
      </c>
      <c r="B444" t="s">
        <v>812</v>
      </c>
      <c r="C444" t="s">
        <v>959</v>
      </c>
      <c r="D444" t="s">
        <v>136</v>
      </c>
      <c r="E444">
        <v>3568.6239999999998</v>
      </c>
      <c r="F444">
        <v>2975.3692000000001</v>
      </c>
      <c r="G444">
        <v>0.1</v>
      </c>
      <c r="H444">
        <v>0.12415637438794</v>
      </c>
      <c r="I444">
        <v>0.833758109568282</v>
      </c>
      <c r="J444" t="s">
        <v>17</v>
      </c>
      <c r="L444" t="s">
        <v>18</v>
      </c>
      <c r="M444" t="s">
        <v>29</v>
      </c>
    </row>
    <row r="445" spans="1:13" hidden="1" x14ac:dyDescent="0.3">
      <c r="A445" t="s">
        <v>960</v>
      </c>
      <c r="B445" t="s">
        <v>812</v>
      </c>
      <c r="C445" t="s">
        <v>961</v>
      </c>
      <c r="D445" t="s">
        <v>167</v>
      </c>
      <c r="E445">
        <v>760.24680000000001</v>
      </c>
      <c r="F445">
        <v>757.70159999999998</v>
      </c>
      <c r="G445">
        <v>0</v>
      </c>
      <c r="H445">
        <v>4.2175985626424096E-3</v>
      </c>
      <c r="I445">
        <v>0.99665213980512601</v>
      </c>
      <c r="J445" t="s">
        <v>17</v>
      </c>
      <c r="L445" t="s">
        <v>18</v>
      </c>
      <c r="M445" t="s">
        <v>29</v>
      </c>
    </row>
    <row r="446" spans="1:13" hidden="1" x14ac:dyDescent="0.3">
      <c r="A446" t="s">
        <v>962</v>
      </c>
      <c r="B446" t="s">
        <v>812</v>
      </c>
      <c r="C446" t="s">
        <v>963</v>
      </c>
      <c r="D446" t="s">
        <v>167</v>
      </c>
      <c r="E446">
        <v>323.45359999999999</v>
      </c>
      <c r="F446">
        <v>286.21319999999997</v>
      </c>
      <c r="G446">
        <v>0.1</v>
      </c>
      <c r="H446">
        <v>7.5012173813411798E-2</v>
      </c>
      <c r="I446">
        <v>0.88486633013204996</v>
      </c>
      <c r="J446" t="s">
        <v>17</v>
      </c>
      <c r="L446" t="s">
        <v>18</v>
      </c>
      <c r="M446" t="s">
        <v>24</v>
      </c>
    </row>
    <row r="447" spans="1:13" hidden="1" x14ac:dyDescent="0.3">
      <c r="A447" t="s">
        <v>964</v>
      </c>
      <c r="B447" t="s">
        <v>812</v>
      </c>
      <c r="C447" t="s">
        <v>965</v>
      </c>
      <c r="D447" t="s">
        <v>167</v>
      </c>
      <c r="E447">
        <v>3399.5655999999999</v>
      </c>
      <c r="F447">
        <v>1748.3556000000001</v>
      </c>
      <c r="G447">
        <v>0.4</v>
      </c>
      <c r="H447">
        <v>0.38961758895932302</v>
      </c>
      <c r="I447">
        <v>0.51428794314191195</v>
      </c>
      <c r="J447" t="s">
        <v>76</v>
      </c>
      <c r="K447" t="s">
        <v>38</v>
      </c>
      <c r="L447" t="s">
        <v>18</v>
      </c>
      <c r="M447" t="s">
        <v>19</v>
      </c>
    </row>
    <row r="448" spans="1:13" hidden="1" x14ac:dyDescent="0.3">
      <c r="A448" t="s">
        <v>966</v>
      </c>
      <c r="B448" t="s">
        <v>812</v>
      </c>
      <c r="C448" t="s">
        <v>967</v>
      </c>
      <c r="D448" t="s">
        <v>167</v>
      </c>
      <c r="E448">
        <v>3562.4731999999999</v>
      </c>
      <c r="F448">
        <v>1115.6135999999999</v>
      </c>
      <c r="G448">
        <v>0.5</v>
      </c>
      <c r="H448">
        <v>0.518141606485643</v>
      </c>
      <c r="I448">
        <v>0.31315705055690002</v>
      </c>
      <c r="J448" t="s">
        <v>76</v>
      </c>
      <c r="K448" t="s">
        <v>38</v>
      </c>
      <c r="L448" t="s">
        <v>18</v>
      </c>
      <c r="M448" t="s">
        <v>19</v>
      </c>
    </row>
    <row r="449" spans="1:13" hidden="1" x14ac:dyDescent="0.3">
      <c r="A449" t="s">
        <v>968</v>
      </c>
      <c r="B449" t="s">
        <v>812</v>
      </c>
      <c r="C449" t="s">
        <v>969</v>
      </c>
      <c r="D449" t="s">
        <v>136</v>
      </c>
      <c r="E449">
        <v>8796.3575999999994</v>
      </c>
      <c r="F449">
        <v>8133.0219999999999</v>
      </c>
      <c r="G449">
        <v>0.1</v>
      </c>
      <c r="H449">
        <v>0.10178249581649999</v>
      </c>
      <c r="I449">
        <v>0.92458974155393603</v>
      </c>
      <c r="J449" t="s">
        <v>17</v>
      </c>
      <c r="L449" t="s">
        <v>18</v>
      </c>
      <c r="M449" t="s">
        <v>24</v>
      </c>
    </row>
    <row r="450" spans="1:13" hidden="1" x14ac:dyDescent="0.3">
      <c r="A450" t="s">
        <v>970</v>
      </c>
      <c r="B450" t="s">
        <v>812</v>
      </c>
      <c r="C450" t="s">
        <v>971</v>
      </c>
      <c r="D450" t="s">
        <v>167</v>
      </c>
      <c r="E450">
        <v>2779.8908000000001</v>
      </c>
      <c r="F450">
        <v>2718.2392</v>
      </c>
      <c r="G450">
        <v>0</v>
      </c>
      <c r="H450">
        <v>2.5985650660043599E-2</v>
      </c>
      <c r="I450">
        <v>0.97782229431458201</v>
      </c>
      <c r="J450" t="s">
        <v>17</v>
      </c>
      <c r="L450" t="s">
        <v>18</v>
      </c>
      <c r="M450" t="s">
        <v>29</v>
      </c>
    </row>
    <row r="451" spans="1:13" hidden="1" x14ac:dyDescent="0.3">
      <c r="A451" t="s">
        <v>972</v>
      </c>
      <c r="B451" t="s">
        <v>812</v>
      </c>
      <c r="C451" t="s">
        <v>973</v>
      </c>
      <c r="D451" t="s">
        <v>136</v>
      </c>
      <c r="E451">
        <v>277.05919999999998</v>
      </c>
      <c r="F451">
        <v>276.87799999999999</v>
      </c>
      <c r="G451">
        <v>0</v>
      </c>
      <c r="H451">
        <v>6.8155950926288499E-4</v>
      </c>
      <c r="I451">
        <v>0.999345988149825</v>
      </c>
      <c r="J451" t="s">
        <v>17</v>
      </c>
      <c r="L451" t="s">
        <v>18</v>
      </c>
      <c r="M451" t="s">
        <v>29</v>
      </c>
    </row>
    <row r="452" spans="1:13" hidden="1" x14ac:dyDescent="0.3">
      <c r="A452" t="s">
        <v>974</v>
      </c>
      <c r="B452" t="s">
        <v>812</v>
      </c>
      <c r="C452" t="s">
        <v>975</v>
      </c>
      <c r="D452" t="s">
        <v>136</v>
      </c>
      <c r="E452">
        <v>2804.7060000000001</v>
      </c>
      <c r="F452">
        <v>2800.2143999999998</v>
      </c>
      <c r="G452">
        <v>0</v>
      </c>
      <c r="H452">
        <v>4.7221389872097701E-4</v>
      </c>
      <c r="I452">
        <v>0.99839854872489298</v>
      </c>
      <c r="J452" t="s">
        <v>17</v>
      </c>
      <c r="L452" t="s">
        <v>18</v>
      </c>
      <c r="M452" t="s">
        <v>29</v>
      </c>
    </row>
    <row r="453" spans="1:13" hidden="1" x14ac:dyDescent="0.3">
      <c r="A453" t="s">
        <v>976</v>
      </c>
      <c r="B453" t="s">
        <v>812</v>
      </c>
      <c r="C453" t="s">
        <v>977</v>
      </c>
      <c r="D453" t="s">
        <v>136</v>
      </c>
      <c r="E453">
        <v>5315.1355999999996</v>
      </c>
      <c r="F453">
        <v>4722.0828000000001</v>
      </c>
      <c r="G453">
        <v>0.1</v>
      </c>
      <c r="H453">
        <v>7.2286623188170598E-2</v>
      </c>
      <c r="I453">
        <v>0.88842188711046299</v>
      </c>
      <c r="J453" t="s">
        <v>17</v>
      </c>
      <c r="L453" t="s">
        <v>18</v>
      </c>
      <c r="M453" t="s">
        <v>29</v>
      </c>
    </row>
    <row r="454" spans="1:13" hidden="1" x14ac:dyDescent="0.3">
      <c r="A454" t="s">
        <v>978</v>
      </c>
      <c r="B454" t="s">
        <v>812</v>
      </c>
      <c r="C454" t="s">
        <v>979</v>
      </c>
      <c r="D454" t="s">
        <v>136</v>
      </c>
      <c r="E454">
        <v>3154.1124</v>
      </c>
      <c r="F454">
        <v>2431.4684000000002</v>
      </c>
      <c r="G454">
        <v>0.2</v>
      </c>
      <c r="H454">
        <v>0.16083524394713999</v>
      </c>
      <c r="I454">
        <v>0.77088831710626404</v>
      </c>
      <c r="J454" t="s">
        <v>17</v>
      </c>
      <c r="L454" t="s">
        <v>18</v>
      </c>
      <c r="M454" t="s">
        <v>29</v>
      </c>
    </row>
    <row r="455" spans="1:13" hidden="1" x14ac:dyDescent="0.3">
      <c r="A455" t="s">
        <v>980</v>
      </c>
      <c r="B455" t="s">
        <v>812</v>
      </c>
      <c r="C455" t="s">
        <v>981</v>
      </c>
      <c r="D455" t="s">
        <v>136</v>
      </c>
      <c r="E455">
        <v>2225.5536000000002</v>
      </c>
      <c r="F455">
        <v>2027.626</v>
      </c>
      <c r="G455">
        <v>0.1</v>
      </c>
      <c r="H455">
        <v>9.9481520281755595E-2</v>
      </c>
      <c r="I455">
        <v>0.91106590288366895</v>
      </c>
      <c r="J455" t="s">
        <v>17</v>
      </c>
      <c r="L455" t="s">
        <v>18</v>
      </c>
      <c r="M455" t="s">
        <v>29</v>
      </c>
    </row>
    <row r="456" spans="1:13" hidden="1" x14ac:dyDescent="0.3">
      <c r="A456" t="s">
        <v>982</v>
      </c>
      <c r="B456" t="s">
        <v>812</v>
      </c>
      <c r="C456" t="s">
        <v>983</v>
      </c>
      <c r="D456" t="s">
        <v>136</v>
      </c>
      <c r="E456">
        <v>310.43799999999999</v>
      </c>
      <c r="F456">
        <v>310.28359999999998</v>
      </c>
      <c r="G456">
        <v>0</v>
      </c>
      <c r="H456">
        <v>1.89331439266974E-4</v>
      </c>
      <c r="I456">
        <v>0.99950263820795104</v>
      </c>
      <c r="J456" t="s">
        <v>17</v>
      </c>
      <c r="L456" t="s">
        <v>18</v>
      </c>
      <c r="M456" t="s">
        <v>29</v>
      </c>
    </row>
    <row r="457" spans="1:13" hidden="1" x14ac:dyDescent="0.3">
      <c r="A457" t="s">
        <v>984</v>
      </c>
      <c r="B457" t="s">
        <v>812</v>
      </c>
      <c r="C457" t="s">
        <v>985</v>
      </c>
      <c r="D457" t="s">
        <v>167</v>
      </c>
      <c r="E457">
        <v>2706.5924</v>
      </c>
      <c r="F457">
        <v>1972.2840000000001</v>
      </c>
      <c r="G457">
        <v>0.2</v>
      </c>
      <c r="H457">
        <v>0.16688050850923</v>
      </c>
      <c r="I457">
        <v>0.72869634895893498</v>
      </c>
      <c r="J457" t="s">
        <v>17</v>
      </c>
      <c r="L457" t="s">
        <v>18</v>
      </c>
      <c r="M457" t="s">
        <v>32</v>
      </c>
    </row>
    <row r="458" spans="1:13" hidden="1" x14ac:dyDescent="0.3">
      <c r="A458" t="s">
        <v>986</v>
      </c>
      <c r="B458" t="s">
        <v>812</v>
      </c>
      <c r="C458" t="s">
        <v>987</v>
      </c>
      <c r="D458" t="s">
        <v>167</v>
      </c>
      <c r="E458">
        <v>2215.6012000000001</v>
      </c>
      <c r="F458">
        <v>1631.75</v>
      </c>
      <c r="G458">
        <v>0.2</v>
      </c>
      <c r="H458">
        <v>0.168464283867203</v>
      </c>
      <c r="I458">
        <v>0.736481818117809</v>
      </c>
      <c r="J458" t="s">
        <v>17</v>
      </c>
      <c r="L458" t="s">
        <v>18</v>
      </c>
      <c r="M458" t="s">
        <v>19</v>
      </c>
    </row>
    <row r="459" spans="1:13" hidden="1" x14ac:dyDescent="0.3">
      <c r="A459" t="s">
        <v>988</v>
      </c>
      <c r="B459" t="s">
        <v>812</v>
      </c>
      <c r="C459" t="s">
        <v>989</v>
      </c>
      <c r="D459" t="s">
        <v>167</v>
      </c>
      <c r="E459">
        <v>1533.5047999999999</v>
      </c>
      <c r="F459">
        <v>1014.296</v>
      </c>
      <c r="G459">
        <v>0.3</v>
      </c>
      <c r="H459">
        <v>0.26698161591796299</v>
      </c>
      <c r="I459">
        <v>0.661423426910695</v>
      </c>
      <c r="J459" t="s">
        <v>17</v>
      </c>
      <c r="L459" t="s">
        <v>18</v>
      </c>
      <c r="M459" t="s">
        <v>19</v>
      </c>
    </row>
    <row r="460" spans="1:13" hidden="1" x14ac:dyDescent="0.3">
      <c r="A460" t="s">
        <v>990</v>
      </c>
      <c r="B460" t="s">
        <v>812</v>
      </c>
      <c r="C460" t="s">
        <v>991</v>
      </c>
      <c r="D460" t="s">
        <v>167</v>
      </c>
      <c r="E460">
        <v>803.10360000000003</v>
      </c>
      <c r="F460">
        <v>325.90519999999998</v>
      </c>
      <c r="G460">
        <v>0.4</v>
      </c>
      <c r="H460">
        <v>0.36934191842557001</v>
      </c>
      <c r="I460">
        <v>0.40580717107979603</v>
      </c>
      <c r="J460" t="s">
        <v>76</v>
      </c>
      <c r="K460" t="s">
        <v>38</v>
      </c>
      <c r="L460" t="s">
        <v>18</v>
      </c>
      <c r="M460" t="s">
        <v>32</v>
      </c>
    </row>
    <row r="461" spans="1:13" hidden="1" x14ac:dyDescent="0.3">
      <c r="A461" t="s">
        <v>992</v>
      </c>
      <c r="B461" t="s">
        <v>812</v>
      </c>
      <c r="C461" t="s">
        <v>993</v>
      </c>
      <c r="D461" t="s">
        <v>167</v>
      </c>
      <c r="E461">
        <v>1812.6007999999999</v>
      </c>
      <c r="F461">
        <v>250.33359999999999</v>
      </c>
      <c r="G461">
        <v>1</v>
      </c>
      <c r="H461">
        <v>1.04191297549587</v>
      </c>
      <c r="I461">
        <v>0.13810740897830301</v>
      </c>
      <c r="J461" t="s">
        <v>76</v>
      </c>
      <c r="K461" t="s">
        <v>172</v>
      </c>
      <c r="L461" t="s">
        <v>18</v>
      </c>
      <c r="M461" t="s">
        <v>32</v>
      </c>
    </row>
    <row r="462" spans="1:13" hidden="1" x14ac:dyDescent="0.3">
      <c r="A462" t="s">
        <v>994</v>
      </c>
      <c r="B462" t="s">
        <v>812</v>
      </c>
      <c r="C462" t="s">
        <v>995</v>
      </c>
      <c r="D462" t="s">
        <v>167</v>
      </c>
      <c r="E462">
        <v>10185.484399999999</v>
      </c>
      <c r="F462">
        <v>7037.5756000000001</v>
      </c>
      <c r="G462">
        <v>0.1</v>
      </c>
      <c r="H462">
        <v>0.122292242486316</v>
      </c>
      <c r="I462">
        <v>0.69094166989249906</v>
      </c>
      <c r="J462" t="s">
        <v>17</v>
      </c>
      <c r="L462" t="s">
        <v>18</v>
      </c>
      <c r="M462" t="s">
        <v>32</v>
      </c>
    </row>
    <row r="463" spans="1:13" hidden="1" x14ac:dyDescent="0.3">
      <c r="A463" t="s">
        <v>996</v>
      </c>
      <c r="B463" t="s">
        <v>812</v>
      </c>
      <c r="C463" t="s">
        <v>997</v>
      </c>
      <c r="D463" t="s">
        <v>167</v>
      </c>
      <c r="E463">
        <v>7762.2767999999996</v>
      </c>
      <c r="F463">
        <v>4782.8159999999998</v>
      </c>
      <c r="G463">
        <v>0.3</v>
      </c>
      <c r="H463">
        <v>0.263995621943375</v>
      </c>
      <c r="I463">
        <v>0.61616148499110501</v>
      </c>
      <c r="J463" t="s">
        <v>17</v>
      </c>
      <c r="L463" t="s">
        <v>18</v>
      </c>
      <c r="M463" t="s">
        <v>32</v>
      </c>
    </row>
    <row r="464" spans="1:13" hidden="1" x14ac:dyDescent="0.3">
      <c r="A464" t="s">
        <v>998</v>
      </c>
      <c r="B464" t="s">
        <v>812</v>
      </c>
      <c r="C464" t="s">
        <v>999</v>
      </c>
      <c r="D464" t="s">
        <v>167</v>
      </c>
      <c r="E464">
        <v>1527.7652</v>
      </c>
      <c r="F464">
        <v>848.68240000000003</v>
      </c>
      <c r="G464">
        <v>0.4</v>
      </c>
      <c r="H464">
        <v>0.36865104869057103</v>
      </c>
      <c r="I464">
        <v>0.55550578060031697</v>
      </c>
      <c r="J464" t="s">
        <v>76</v>
      </c>
      <c r="K464" t="s">
        <v>38</v>
      </c>
      <c r="L464" t="s">
        <v>18</v>
      </c>
      <c r="M464" t="s">
        <v>19</v>
      </c>
    </row>
  </sheetData>
  <autoFilter ref="A1:M464" xr:uid="{00000000-0001-0000-0000-000000000000}">
    <filterColumn colId="1">
      <filters>
        <filter val="Grasslan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4D70-5037-402A-9968-E30E91D022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Maphale Monyeki</cp:lastModifiedBy>
  <dcterms:created xsi:type="dcterms:W3CDTF">2026-07-19T11:45:10Z</dcterms:created>
  <dcterms:modified xsi:type="dcterms:W3CDTF">2026-08-01T22:46:05Z</dcterms:modified>
</cp:coreProperties>
</file>