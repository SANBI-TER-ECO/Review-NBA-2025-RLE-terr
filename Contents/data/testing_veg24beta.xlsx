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sanbiorgza-my.sharepoint.com/personal/a_skowno_sanbi_org_za/Documents/Documents/4EcosystemClassification&amp;Assessment/Assessment/RLE2025/"/>
    </mc:Choice>
  </mc:AlternateContent>
  <xr:revisionPtr revIDLastSave="8" documentId="8_{F7949DFA-CDD4-4375-8242-400609B67385}" xr6:coauthVersionLast="47" xr6:coauthVersionMax="47" xr10:uidLastSave="{A1A3E930-0D77-4438-BA6D-BD4F49B7A69D}"/>
  <bookViews>
    <workbookView xWindow="-120" yWindow="-120" windowWidth="29040" windowHeight="15840" xr2:uid="{163B58E7-CF00-456D-B9BA-DC99F1CFFE90}"/>
  </bookViews>
  <sheets>
    <sheet name="ta_hm80L18L1_veg24beta" sheetId="1" r:id="rId1"/>
    <sheet name="Sheet1" sheetId="2" r:id="rId2"/>
    <sheet name="Sheet2" sheetId="3" r:id="rId3"/>
  </sheets>
  <definedNames>
    <definedName name="_xlnm.Database">ta_hm80L18L1_veg24beta!$A$1:$C$467</definedName>
  </definedNames>
  <calcPr calcId="0"/>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2" i="1"/>
  <c r="N3" i="1"/>
  <c r="N4" i="1"/>
  <c r="N5" i="1"/>
  <c r="N6" i="1"/>
  <c r="N7" i="1"/>
  <c r="N8" i="1"/>
  <c r="N9" i="1"/>
  <c r="N10" i="1"/>
  <c r="N11" i="1"/>
  <c r="N12" i="1"/>
  <c r="N13" i="1"/>
  <c r="N14" i="1"/>
  <c r="N15" i="1"/>
  <c r="N16" i="1"/>
  <c r="N17" i="1"/>
  <c r="N18" i="1"/>
  <c r="N19" i="1"/>
  <c r="N20" i="1"/>
  <c r="O20" i="1" s="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O37" i="1" s="1"/>
  <c r="F38" i="1"/>
  <c r="O38" i="1" s="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O137" i="1" s="1"/>
  <c r="F138" i="1"/>
  <c r="O138" i="1" s="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O237" i="1" s="1"/>
  <c r="F238" i="1"/>
  <c r="O238" i="1" s="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O277" i="1" s="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O337" i="1" s="1"/>
  <c r="F338" i="1"/>
  <c r="O338" i="1" s="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O377" i="1" s="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O437" i="1" s="1"/>
  <c r="F438" i="1"/>
  <c r="O438" i="1" s="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2" i="1"/>
  <c r="L468"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2" i="1"/>
  <c r="O452" i="1" l="1"/>
  <c r="O432" i="1"/>
  <c r="O412" i="1"/>
  <c r="O392" i="1"/>
  <c r="O352" i="1"/>
  <c r="O332" i="1"/>
  <c r="O312" i="1"/>
  <c r="O292" i="1"/>
  <c r="O272" i="1"/>
  <c r="O252" i="1"/>
  <c r="O232" i="1"/>
  <c r="O212" i="1"/>
  <c r="O192" i="1"/>
  <c r="O172" i="1"/>
  <c r="O152" i="1"/>
  <c r="O52" i="1"/>
  <c r="O372" i="1"/>
  <c r="O402" i="1"/>
  <c r="O382" i="1"/>
  <c r="O302" i="1"/>
  <c r="O202" i="1"/>
  <c r="O102" i="1"/>
  <c r="O82" i="1"/>
  <c r="O221" i="1"/>
  <c r="O181" i="1"/>
  <c r="O280" i="1"/>
  <c r="O240" i="1"/>
  <c r="O439" i="1"/>
  <c r="O419" i="1"/>
  <c r="O399" i="1"/>
  <c r="O339" i="1"/>
  <c r="O319" i="1"/>
  <c r="O299" i="1"/>
  <c r="O239" i="1"/>
  <c r="O219" i="1"/>
  <c r="O199" i="1"/>
  <c r="O179" i="1"/>
  <c r="O139" i="1"/>
  <c r="O119" i="1"/>
  <c r="O99" i="1"/>
  <c r="O79" i="1"/>
  <c r="O39" i="1"/>
  <c r="O19" i="1"/>
  <c r="O445" i="1"/>
  <c r="O224" i="1"/>
  <c r="O265" i="1"/>
  <c r="O464" i="1"/>
  <c r="O444" i="1"/>
  <c r="O424" i="1"/>
  <c r="O404" i="1"/>
  <c r="O384" i="1"/>
  <c r="O364" i="1"/>
  <c r="O344" i="1"/>
  <c r="O324" i="1"/>
  <c r="O304" i="1"/>
  <c r="O284" i="1"/>
  <c r="O204" i="1"/>
  <c r="O184" i="1"/>
  <c r="O164" i="1"/>
  <c r="O144" i="1"/>
  <c r="O124" i="1"/>
  <c r="O104" i="1"/>
  <c r="O84" i="1"/>
  <c r="O64" i="1"/>
  <c r="O44" i="1"/>
  <c r="O24" i="1"/>
  <c r="O4" i="1"/>
  <c r="O463" i="1"/>
  <c r="O443" i="1"/>
  <c r="O423" i="1"/>
  <c r="O403" i="1"/>
  <c r="O383" i="1"/>
  <c r="O363" i="1"/>
  <c r="O343" i="1"/>
  <c r="O323" i="1"/>
  <c r="O303" i="1"/>
  <c r="O283" i="1"/>
  <c r="O263" i="1"/>
  <c r="O243" i="1"/>
  <c r="O223" i="1"/>
  <c r="O203" i="1"/>
  <c r="O183" i="1"/>
  <c r="O163" i="1"/>
  <c r="O143" i="1"/>
  <c r="O123" i="1"/>
  <c r="O103" i="1"/>
  <c r="O83" i="1"/>
  <c r="O63" i="1"/>
  <c r="O43" i="1"/>
  <c r="O23" i="1"/>
  <c r="O3" i="1"/>
  <c r="O465" i="1"/>
  <c r="O425" i="1"/>
  <c r="O405" i="1"/>
  <c r="O385" i="1"/>
  <c r="O345" i="1"/>
  <c r="O325" i="1"/>
  <c r="O305" i="1"/>
  <c r="O285" i="1"/>
  <c r="O245" i="1"/>
  <c r="O225" i="1"/>
  <c r="O205" i="1"/>
  <c r="O185" i="1"/>
  <c r="O165" i="1"/>
  <c r="O145" i="1"/>
  <c r="O125" i="1"/>
  <c r="O105" i="1"/>
  <c r="O45" i="1"/>
  <c r="O5" i="1"/>
  <c r="O244" i="1"/>
  <c r="O282" i="1"/>
  <c r="O182" i="1"/>
  <c r="O421" i="1"/>
  <c r="O381" i="1"/>
  <c r="O321" i="1"/>
  <c r="O281" i="1"/>
  <c r="O121" i="1"/>
  <c r="O81" i="1"/>
  <c r="O21" i="1"/>
  <c r="O365" i="1"/>
  <c r="O264" i="1"/>
  <c r="O440" i="1"/>
  <c r="O420" i="1"/>
  <c r="O400" i="1"/>
  <c r="O380" i="1"/>
  <c r="O340" i="1"/>
  <c r="O320" i="1"/>
  <c r="O300" i="1"/>
  <c r="O220" i="1"/>
  <c r="O200" i="1"/>
  <c r="O180" i="1"/>
  <c r="O140" i="1"/>
  <c r="O120" i="1"/>
  <c r="O100" i="1"/>
  <c r="O80" i="1"/>
  <c r="O40" i="1"/>
  <c r="O25" i="1"/>
  <c r="O177" i="1"/>
  <c r="O77" i="1"/>
  <c r="O85" i="1"/>
  <c r="O456" i="1"/>
  <c r="O436" i="1"/>
  <c r="O416" i="1"/>
  <c r="O396" i="1"/>
  <c r="O376" i="1"/>
  <c r="O356" i="1"/>
  <c r="O336" i="1"/>
  <c r="O316" i="1"/>
  <c r="O296" i="1"/>
  <c r="O276" i="1"/>
  <c r="O256" i="1"/>
  <c r="O236" i="1"/>
  <c r="O216" i="1"/>
  <c r="O196" i="1"/>
  <c r="O176" i="1"/>
  <c r="O156" i="1"/>
  <c r="O136" i="1"/>
  <c r="O116" i="1"/>
  <c r="O96" i="1"/>
  <c r="O76" i="1"/>
  <c r="O56" i="1"/>
  <c r="O36" i="1"/>
  <c r="O16" i="1"/>
  <c r="O65" i="1"/>
  <c r="O462" i="1"/>
  <c r="O442" i="1"/>
  <c r="O422" i="1"/>
  <c r="O362" i="1"/>
  <c r="O342" i="1"/>
  <c r="O322" i="1"/>
  <c r="O262" i="1"/>
  <c r="O242" i="1"/>
  <c r="O222" i="1"/>
  <c r="O162" i="1"/>
  <c r="O142" i="1"/>
  <c r="O122" i="1"/>
  <c r="O62" i="1"/>
  <c r="O42" i="1"/>
  <c r="O22" i="1"/>
  <c r="O360" i="1"/>
  <c r="O459" i="1"/>
  <c r="O379" i="1"/>
  <c r="O359" i="1"/>
  <c r="O279" i="1"/>
  <c r="O259" i="1"/>
  <c r="O159" i="1"/>
  <c r="O59" i="1"/>
  <c r="O458" i="1"/>
  <c r="O418" i="1"/>
  <c r="O398" i="1"/>
  <c r="O378" i="1"/>
  <c r="O358" i="1"/>
  <c r="O318" i="1"/>
  <c r="O298" i="1"/>
  <c r="O278" i="1"/>
  <c r="O258" i="1"/>
  <c r="O218" i="1"/>
  <c r="O198" i="1"/>
  <c r="O178" i="1"/>
  <c r="O158" i="1"/>
  <c r="O118" i="1"/>
  <c r="O98" i="1"/>
  <c r="O78" i="1"/>
  <c r="O58" i="1"/>
  <c r="O18" i="1"/>
  <c r="O301" i="1"/>
  <c r="O460" i="1"/>
  <c r="O457" i="1"/>
  <c r="O417" i="1"/>
  <c r="O397" i="1"/>
  <c r="O357" i="1"/>
  <c r="O317" i="1"/>
  <c r="O297" i="1"/>
  <c r="O257" i="1"/>
  <c r="O217" i="1"/>
  <c r="O197" i="1"/>
  <c r="O157" i="1"/>
  <c r="O117" i="1"/>
  <c r="O97" i="1"/>
  <c r="O57" i="1"/>
  <c r="O17" i="1"/>
  <c r="O61" i="1"/>
  <c r="O260" i="1"/>
  <c r="O401" i="1"/>
  <c r="O101" i="1"/>
  <c r="O155" i="1"/>
  <c r="O261" i="1"/>
  <c r="O41" i="1"/>
  <c r="O461" i="1"/>
  <c r="O132" i="1"/>
  <c r="O112" i="1"/>
  <c r="O92" i="1"/>
  <c r="O72" i="1"/>
  <c r="O32" i="1"/>
  <c r="O12" i="1"/>
  <c r="O361" i="1"/>
  <c r="O60" i="1"/>
  <c r="O451" i="1"/>
  <c r="O431" i="1"/>
  <c r="O411" i="1"/>
  <c r="O391" i="1"/>
  <c r="O371" i="1"/>
  <c r="O331" i="1"/>
  <c r="O311" i="1"/>
  <c r="O291" i="1"/>
  <c r="O251" i="1"/>
  <c r="O231" i="1"/>
  <c r="O211" i="1"/>
  <c r="O191" i="1"/>
  <c r="O171" i="1"/>
  <c r="O151" i="1"/>
  <c r="O131" i="1"/>
  <c r="O111" i="1"/>
  <c r="O91" i="1"/>
  <c r="O71" i="1"/>
  <c r="O51" i="1"/>
  <c r="O31" i="1"/>
  <c r="O11" i="1"/>
  <c r="O141" i="1"/>
  <c r="O271" i="1"/>
  <c r="O441" i="1"/>
  <c r="O341" i="1"/>
  <c r="O241" i="1"/>
  <c r="O201" i="1"/>
  <c r="O161" i="1"/>
  <c r="O160" i="1"/>
  <c r="O351" i="1"/>
  <c r="O449" i="1"/>
  <c r="O429" i="1"/>
  <c r="O409" i="1"/>
  <c r="O389" i="1"/>
  <c r="O369" i="1"/>
  <c r="O349" i="1"/>
  <c r="O329" i="1"/>
  <c r="O309" i="1"/>
  <c r="O289" i="1"/>
  <c r="O269" i="1"/>
  <c r="O249" i="1"/>
  <c r="O229" i="1"/>
  <c r="O209" i="1"/>
  <c r="O189" i="1"/>
  <c r="O169" i="1"/>
  <c r="O149" i="1"/>
  <c r="O129" i="1"/>
  <c r="O109" i="1"/>
  <c r="O89" i="1"/>
  <c r="O69" i="1"/>
  <c r="O49" i="1"/>
  <c r="O29" i="1"/>
  <c r="O9" i="1"/>
  <c r="O467" i="1"/>
  <c r="O447" i="1"/>
  <c r="O427" i="1"/>
  <c r="O407" i="1"/>
  <c r="O387" i="1"/>
  <c r="O367" i="1"/>
  <c r="O347" i="1"/>
  <c r="O327" i="1"/>
  <c r="O307" i="1"/>
  <c r="O287" i="1"/>
  <c r="O267" i="1"/>
  <c r="O247" i="1"/>
  <c r="O227" i="1"/>
  <c r="O207" i="1"/>
  <c r="O187" i="1"/>
  <c r="O167" i="1"/>
  <c r="O147" i="1"/>
  <c r="O127" i="1"/>
  <c r="O107" i="1"/>
  <c r="O87" i="1"/>
  <c r="O67" i="1"/>
  <c r="O47" i="1"/>
  <c r="O27" i="1"/>
  <c r="O7" i="1"/>
  <c r="O466" i="1"/>
  <c r="O446" i="1"/>
  <c r="O426" i="1"/>
  <c r="O406" i="1"/>
  <c r="O386" i="1"/>
  <c r="O366" i="1"/>
  <c r="O346" i="1"/>
  <c r="O326" i="1"/>
  <c r="O306" i="1"/>
  <c r="O286" i="1"/>
  <c r="O266" i="1"/>
  <c r="O246" i="1"/>
  <c r="O226" i="1"/>
  <c r="O206" i="1"/>
  <c r="O186" i="1"/>
  <c r="O166" i="1"/>
  <c r="O146" i="1"/>
  <c r="O126" i="1"/>
  <c r="O106" i="1"/>
  <c r="O86" i="1"/>
  <c r="O66" i="1"/>
  <c r="O46" i="1"/>
  <c r="O26" i="1"/>
  <c r="O6" i="1"/>
  <c r="O410" i="1"/>
  <c r="O370" i="1"/>
  <c r="O350" i="1"/>
  <c r="O330" i="1"/>
  <c r="O290" i="1"/>
  <c r="O270" i="1"/>
  <c r="O250" i="1"/>
  <c r="O230" i="1"/>
  <c r="O190" i="1"/>
  <c r="O170" i="1"/>
  <c r="O150" i="1"/>
  <c r="O130" i="1"/>
  <c r="O110" i="1"/>
  <c r="O90" i="1"/>
  <c r="O70" i="1"/>
  <c r="O50" i="1"/>
  <c r="O30" i="1"/>
  <c r="O10" i="1"/>
  <c r="O395" i="1"/>
  <c r="O355" i="1"/>
  <c r="O335" i="1"/>
  <c r="O315" i="1"/>
  <c r="O295" i="1"/>
  <c r="O275" i="1"/>
  <c r="O255" i="1"/>
  <c r="O235" i="1"/>
  <c r="O215" i="1"/>
  <c r="O195" i="1"/>
  <c r="O135" i="1"/>
  <c r="O115" i="1"/>
  <c r="O95" i="1"/>
  <c r="O75" i="1"/>
  <c r="O55" i="1"/>
  <c r="O35" i="1"/>
  <c r="O15" i="1"/>
  <c r="O310" i="1"/>
  <c r="O2" i="1"/>
  <c r="O448" i="1"/>
  <c r="O428" i="1"/>
  <c r="O408" i="1"/>
  <c r="O388" i="1"/>
  <c r="O368" i="1"/>
  <c r="O348" i="1"/>
  <c r="O328" i="1"/>
  <c r="O308" i="1"/>
  <c r="O288" i="1"/>
  <c r="O268" i="1"/>
  <c r="O248" i="1"/>
  <c r="O228" i="1"/>
  <c r="O208" i="1"/>
  <c r="O188" i="1"/>
  <c r="O168" i="1"/>
  <c r="O148" i="1"/>
  <c r="O128" i="1"/>
  <c r="O108" i="1"/>
  <c r="O88" i="1"/>
  <c r="O68" i="1"/>
  <c r="O48" i="1"/>
  <c r="O28" i="1"/>
  <c r="O8" i="1"/>
  <c r="O454" i="1"/>
  <c r="O434" i="1"/>
  <c r="O414" i="1"/>
  <c r="O394" i="1"/>
  <c r="O374" i="1"/>
  <c r="O354" i="1"/>
  <c r="O334" i="1"/>
  <c r="O314" i="1"/>
  <c r="O294" i="1"/>
  <c r="O274" i="1"/>
  <c r="O254" i="1"/>
  <c r="O234" i="1"/>
  <c r="O214" i="1"/>
  <c r="O194" i="1"/>
  <c r="O174" i="1"/>
  <c r="O154" i="1"/>
  <c r="O134" i="1"/>
  <c r="O114" i="1"/>
  <c r="O94" i="1"/>
  <c r="O74" i="1"/>
  <c r="O54" i="1"/>
  <c r="O34" i="1"/>
  <c r="O14" i="1"/>
  <c r="O450" i="1"/>
  <c r="O430" i="1"/>
  <c r="O390" i="1"/>
  <c r="O210" i="1"/>
  <c r="O455" i="1"/>
  <c r="O435" i="1"/>
  <c r="O415" i="1"/>
  <c r="O375" i="1"/>
  <c r="O175" i="1"/>
  <c r="O453" i="1"/>
  <c r="O433" i="1"/>
  <c r="O413" i="1"/>
  <c r="O393" i="1"/>
  <c r="O373" i="1"/>
  <c r="O353" i="1"/>
  <c r="O333" i="1"/>
  <c r="O313" i="1"/>
  <c r="O293" i="1"/>
  <c r="O273" i="1"/>
  <c r="O253" i="1"/>
  <c r="O233" i="1"/>
  <c r="O213" i="1"/>
  <c r="O193" i="1"/>
  <c r="O173" i="1"/>
  <c r="O153" i="1"/>
  <c r="O133" i="1"/>
  <c r="O113" i="1"/>
  <c r="O93" i="1"/>
  <c r="O73" i="1"/>
  <c r="O53" i="1"/>
  <c r="O33" i="1"/>
  <c r="O13" i="1"/>
  <c r="D468" i="1"/>
</calcChain>
</file>

<file path=xl/sharedStrings.xml><?xml version="1.0" encoding="utf-8"?>
<sst xmlns="http://schemas.openxmlformats.org/spreadsheetml/2006/main" count="2352" uniqueCount="970">
  <si>
    <t>FFd7</t>
  </si>
  <si>
    <t>AT34</t>
  </si>
  <si>
    <t>AT50</t>
  </si>
  <si>
    <t>AT51</t>
  </si>
  <si>
    <t>AT36</t>
  </si>
  <si>
    <t>FS13</t>
  </si>
  <si>
    <t>AT40</t>
  </si>
  <si>
    <t>FFl3</t>
  </si>
  <si>
    <t>FFd9</t>
  </si>
  <si>
    <t>FFd11</t>
  </si>
  <si>
    <t>FFs20</t>
  </si>
  <si>
    <t>AT57</t>
  </si>
  <si>
    <t>AT54</t>
  </si>
  <si>
    <t>AT19</t>
  </si>
  <si>
    <t>AT25</t>
  </si>
  <si>
    <t>AT27</t>
  </si>
  <si>
    <t>AT29</t>
  </si>
  <si>
    <t>AT33</t>
  </si>
  <si>
    <t>AT43</t>
  </si>
  <si>
    <t>AT46</t>
  </si>
  <si>
    <t>AT49</t>
  </si>
  <si>
    <t>AT55</t>
  </si>
  <si>
    <t>AT58</t>
  </si>
  <si>
    <t>AT26</t>
  </si>
  <si>
    <t>AT37</t>
  </si>
  <si>
    <t>FS14</t>
  </si>
  <si>
    <t>FRs19</t>
  </si>
  <si>
    <t>AZa6</t>
  </si>
  <si>
    <t>AZd2</t>
  </si>
  <si>
    <t>AZd3</t>
  </si>
  <si>
    <t>AZa2</t>
  </si>
  <si>
    <t>AZi1</t>
  </si>
  <si>
    <t>AZa1</t>
  </si>
  <si>
    <t>AZi5</t>
  </si>
  <si>
    <t>AZi6</t>
  </si>
  <si>
    <t>AZi7</t>
  </si>
  <si>
    <t>AZi8</t>
  </si>
  <si>
    <t>FOz6</t>
  </si>
  <si>
    <t>FOz1</t>
  </si>
  <si>
    <t>FFs19</t>
  </si>
  <si>
    <t>FFt2</t>
  </si>
  <si>
    <t>FFd2</t>
  </si>
  <si>
    <t>FFb4</t>
  </si>
  <si>
    <t>FFs15</t>
  </si>
  <si>
    <t>FFb2</t>
  </si>
  <si>
    <t>FFg2</t>
  </si>
  <si>
    <t>FRg2</t>
  </si>
  <si>
    <t>FFg5</t>
  </si>
  <si>
    <t>FFd1</t>
  </si>
  <si>
    <t>FFl1</t>
  </si>
  <si>
    <t>FS7</t>
  </si>
  <si>
    <t>FFl2</t>
  </si>
  <si>
    <t>FFs17</t>
  </si>
  <si>
    <t>FS9</t>
  </si>
  <si>
    <t>FFd6</t>
  </si>
  <si>
    <t>FFf1</t>
  </si>
  <si>
    <t>FFg3</t>
  </si>
  <si>
    <t>FRs10</t>
  </si>
  <si>
    <t>FS1</t>
  </si>
  <si>
    <t>FS2</t>
  </si>
  <si>
    <t>FS3</t>
  </si>
  <si>
    <t>FS4</t>
  </si>
  <si>
    <t>FS5</t>
  </si>
  <si>
    <t>FS6</t>
  </si>
  <si>
    <t>FRc2</t>
  </si>
  <si>
    <t>FRs12</t>
  </si>
  <si>
    <t>FRs13</t>
  </si>
  <si>
    <t>FFs27</t>
  </si>
  <si>
    <t>FFs28</t>
  </si>
  <si>
    <t>FFs2</t>
  </si>
  <si>
    <t>FFh6</t>
  </si>
  <si>
    <t>FRc1</t>
  </si>
  <si>
    <t>FRs9</t>
  </si>
  <si>
    <t>FRa1</t>
  </si>
  <si>
    <t>FRg3</t>
  </si>
  <si>
    <t>FRs11</t>
  </si>
  <si>
    <t>FRs8</t>
  </si>
  <si>
    <t>FFb5</t>
  </si>
  <si>
    <t>FFh10</t>
  </si>
  <si>
    <t>FFq5</t>
  </si>
  <si>
    <t>FFq6</t>
  </si>
  <si>
    <t>FFs18</t>
  </si>
  <si>
    <t>FRs16</t>
  </si>
  <si>
    <t>FRs17</t>
  </si>
  <si>
    <t>FRs18</t>
  </si>
  <si>
    <t>FRs20</t>
  </si>
  <si>
    <t>FRd1</t>
  </si>
  <si>
    <t>FRd2</t>
  </si>
  <si>
    <t>FRs1</t>
  </si>
  <si>
    <t>FRs2</t>
  </si>
  <si>
    <t>FRs3</t>
  </si>
  <si>
    <t>FRs5</t>
  </si>
  <si>
    <t>FFg1</t>
  </si>
  <si>
    <t>FRg1</t>
  </si>
  <si>
    <t>FFa1</t>
  </si>
  <si>
    <t>FFb1</t>
  </si>
  <si>
    <t>FFh1</t>
  </si>
  <si>
    <t>FFq2</t>
  </si>
  <si>
    <t>FFs1</t>
  </si>
  <si>
    <t>FFs3</t>
  </si>
  <si>
    <t>FFs30</t>
  </si>
  <si>
    <t>FFs4</t>
  </si>
  <si>
    <t>FFs5</t>
  </si>
  <si>
    <t>FFs6</t>
  </si>
  <si>
    <t>FFs7</t>
  </si>
  <si>
    <t>FFs8</t>
  </si>
  <si>
    <t>FFc1</t>
  </si>
  <si>
    <t>FFh8</t>
  </si>
  <si>
    <t>FFs16</t>
  </si>
  <si>
    <t>FFa2</t>
  </si>
  <si>
    <t>FFa3</t>
  </si>
  <si>
    <t>FFd8</t>
  </si>
  <si>
    <t>FFg4</t>
  </si>
  <si>
    <t>FFh4</t>
  </si>
  <si>
    <t>FFh7</t>
  </si>
  <si>
    <t>FFq4</t>
  </si>
  <si>
    <t>FFs10</t>
  </si>
  <si>
    <t>FFs13</t>
  </si>
  <si>
    <t>FFs14</t>
  </si>
  <si>
    <t>FRa2</t>
  </si>
  <si>
    <t>FFb3</t>
  </si>
  <si>
    <t>FFh2</t>
  </si>
  <si>
    <t>FFh3</t>
  </si>
  <si>
    <t>FFq3</t>
  </si>
  <si>
    <t>FFs21</t>
  </si>
  <si>
    <t>FFs22</t>
  </si>
  <si>
    <t>FFs23</t>
  </si>
  <si>
    <t>FFs24</t>
  </si>
  <si>
    <t>FFs25</t>
  </si>
  <si>
    <t>FFs26</t>
  </si>
  <si>
    <t>FFs31</t>
  </si>
  <si>
    <t>FFs32</t>
  </si>
  <si>
    <t>FFt1</t>
  </si>
  <si>
    <t>FRl1</t>
  </si>
  <si>
    <t>FRs15</t>
  </si>
  <si>
    <t>FRs4</t>
  </si>
  <si>
    <t>FRs6</t>
  </si>
  <si>
    <t>FRs7</t>
  </si>
  <si>
    <t>FRs14</t>
  </si>
  <si>
    <t>FFb6</t>
  </si>
  <si>
    <t>FFd10</t>
  </si>
  <si>
    <t>FFh9</t>
  </si>
  <si>
    <t>FFa4</t>
  </si>
  <si>
    <t>FFd3</t>
  </si>
  <si>
    <t>FFd4</t>
  </si>
  <si>
    <t>FFd5</t>
  </si>
  <si>
    <t>FFf2</t>
  </si>
  <si>
    <t>FFh11</t>
  </si>
  <si>
    <t>FFh5</t>
  </si>
  <si>
    <t>FFs11</t>
  </si>
  <si>
    <t>FFs12</t>
  </si>
  <si>
    <t>FFs9</t>
  </si>
  <si>
    <t>FS10</t>
  </si>
  <si>
    <t>Gh1</t>
  </si>
  <si>
    <t>Gh4</t>
  </si>
  <si>
    <t>Gs17</t>
  </si>
  <si>
    <t>NKb3</t>
  </si>
  <si>
    <t>NKb4</t>
  </si>
  <si>
    <t>NKb6</t>
  </si>
  <si>
    <t>NKl1</t>
  </si>
  <si>
    <t>NKl2</t>
  </si>
  <si>
    <t>NKu1</t>
  </si>
  <si>
    <t>NKu2</t>
  </si>
  <si>
    <t>NKu3</t>
  </si>
  <si>
    <t>NKu4</t>
  </si>
  <si>
    <t>SKs14</t>
  </si>
  <si>
    <t>SKs7</t>
  </si>
  <si>
    <t>SKs8</t>
  </si>
  <si>
    <t>SKs9</t>
  </si>
  <si>
    <t>SKk3</t>
  </si>
  <si>
    <t>SKs12</t>
  </si>
  <si>
    <t>SKk1</t>
  </si>
  <si>
    <t>SKk2</t>
  </si>
  <si>
    <t>SKk4</t>
  </si>
  <si>
    <t>SKk5</t>
  </si>
  <si>
    <t>SKk6</t>
  </si>
  <si>
    <t>SKk7</t>
  </si>
  <si>
    <t>SKk8</t>
  </si>
  <si>
    <t>SKk9</t>
  </si>
  <si>
    <t>SKn1</t>
  </si>
  <si>
    <t>SKn3</t>
  </si>
  <si>
    <t>SKn4</t>
  </si>
  <si>
    <t>SKn5</t>
  </si>
  <si>
    <t>SKn6</t>
  </si>
  <si>
    <t>SKn7</t>
  </si>
  <si>
    <t>SKs10</t>
  </si>
  <si>
    <t>SKs11</t>
  </si>
  <si>
    <t>SKs13</t>
  </si>
  <si>
    <t>SKv1</t>
  </si>
  <si>
    <t>SKv10</t>
  </si>
  <si>
    <t>SKv11</t>
  </si>
  <si>
    <t>SKv13</t>
  </si>
  <si>
    <t>SKv14</t>
  </si>
  <si>
    <t>SKv2</t>
  </si>
  <si>
    <t>SKv3</t>
  </si>
  <si>
    <t>SKv4</t>
  </si>
  <si>
    <t>SKv5</t>
  </si>
  <si>
    <t>SKv6</t>
  </si>
  <si>
    <t>SKv7</t>
  </si>
  <si>
    <t>SKv8</t>
  </si>
  <si>
    <t>SKt1</t>
  </si>
  <si>
    <t>SKt2</t>
  </si>
  <si>
    <t>SKt3</t>
  </si>
  <si>
    <t>FS11</t>
  </si>
  <si>
    <t>FS12</t>
  </si>
  <si>
    <t>AT21</t>
  </si>
  <si>
    <t>AT31</t>
  </si>
  <si>
    <t>AT38</t>
  </si>
  <si>
    <t>AT45</t>
  </si>
  <si>
    <t>AT41</t>
  </si>
  <si>
    <t>AT56</t>
  </si>
  <si>
    <t>AT18</t>
  </si>
  <si>
    <t>AT24</t>
  </si>
  <si>
    <t>AT15</t>
  </si>
  <si>
    <t>AT16</t>
  </si>
  <si>
    <t>AT22</t>
  </si>
  <si>
    <t>AT23</t>
  </si>
  <si>
    <t>AT28</t>
  </si>
  <si>
    <t>AT30</t>
  </si>
  <si>
    <t>AT32</t>
  </si>
  <si>
    <t>AT35</t>
  </si>
  <si>
    <t>AT42</t>
  </si>
  <si>
    <t>AT47</t>
  </si>
  <si>
    <t>AT52</t>
  </si>
  <si>
    <t>AT17</t>
  </si>
  <si>
    <t>AT20</t>
  </si>
  <si>
    <t>AT39</t>
  </si>
  <si>
    <t>AT44</t>
  </si>
  <si>
    <t>AT48</t>
  </si>
  <si>
    <t>AT53</t>
  </si>
  <si>
    <t>AZa7</t>
  </si>
  <si>
    <t>AZd4</t>
  </si>
  <si>
    <t>AZs3</t>
  </si>
  <si>
    <t>AZa4</t>
  </si>
  <si>
    <t>FOz5</t>
  </si>
  <si>
    <t>FOa2</t>
  </si>
  <si>
    <t>SVs6</t>
  </si>
  <si>
    <t>FOz7</t>
  </si>
  <si>
    <t>FOz2</t>
  </si>
  <si>
    <t>FOz3</t>
  </si>
  <si>
    <t>FFs29</t>
  </si>
  <si>
    <t>Gd1</t>
  </si>
  <si>
    <t>Gd2</t>
  </si>
  <si>
    <t>Gd3</t>
  </si>
  <si>
    <t>Gd4</t>
  </si>
  <si>
    <t>Gd8</t>
  </si>
  <si>
    <t>Gh2</t>
  </si>
  <si>
    <t>Gh3</t>
  </si>
  <si>
    <t>Gm1</t>
  </si>
  <si>
    <t>Gm5</t>
  </si>
  <si>
    <t>Gs10</t>
  </si>
  <si>
    <t>Gs11</t>
  </si>
  <si>
    <t>Gs12</t>
  </si>
  <si>
    <t>Gs13</t>
  </si>
  <si>
    <t>Gs14</t>
  </si>
  <si>
    <t>Gs15</t>
  </si>
  <si>
    <t>Gs16</t>
  </si>
  <si>
    <t>Gs18</t>
  </si>
  <si>
    <t>Gs19</t>
  </si>
  <si>
    <t>Gs20</t>
  </si>
  <si>
    <t>Gs6</t>
  </si>
  <si>
    <t>Gs9</t>
  </si>
  <si>
    <t>CB6</t>
  </si>
  <si>
    <t>CB3</t>
  </si>
  <si>
    <t>CB4</t>
  </si>
  <si>
    <t>CB5</t>
  </si>
  <si>
    <t>NKl4</t>
  </si>
  <si>
    <t>SVs7</t>
  </si>
  <si>
    <t>SVs4</t>
  </si>
  <si>
    <t>SVs5</t>
  </si>
  <si>
    <t>SVs8</t>
  </si>
  <si>
    <t>FOa3</t>
  </si>
  <si>
    <t>AZd1</t>
  </si>
  <si>
    <t>AZa3</t>
  </si>
  <si>
    <t>AZi3</t>
  </si>
  <si>
    <t>Dn1</t>
  </si>
  <si>
    <t>Dn3</t>
  </si>
  <si>
    <t>Dg1</t>
  </si>
  <si>
    <t>Dg10</t>
  </si>
  <si>
    <t>Dg2</t>
  </si>
  <si>
    <t>Dg3</t>
  </si>
  <si>
    <t>Dg4</t>
  </si>
  <si>
    <t>Dg5</t>
  </si>
  <si>
    <t>Dg6</t>
  </si>
  <si>
    <t>Dg7</t>
  </si>
  <si>
    <t>Dg8</t>
  </si>
  <si>
    <t>Dg9</t>
  </si>
  <si>
    <t>Dn4</t>
  </si>
  <si>
    <t>Dn5</t>
  </si>
  <si>
    <t>Dn2</t>
  </si>
  <si>
    <t>FFq1</t>
  </si>
  <si>
    <t>NKb1</t>
  </si>
  <si>
    <t>NKb2</t>
  </si>
  <si>
    <t>NKb5</t>
  </si>
  <si>
    <t>SVk10</t>
  </si>
  <si>
    <t>SVk11</t>
  </si>
  <si>
    <t>SVk12</t>
  </si>
  <si>
    <t>SVk13</t>
  </si>
  <si>
    <t>SVk14</t>
  </si>
  <si>
    <t>SVk15</t>
  </si>
  <si>
    <t>SVk16</t>
  </si>
  <si>
    <t>SVk4</t>
  </si>
  <si>
    <t>SVk5</t>
  </si>
  <si>
    <t>SVk6</t>
  </si>
  <si>
    <t>SVk7</t>
  </si>
  <si>
    <t>SVk8</t>
  </si>
  <si>
    <t>SVk9</t>
  </si>
  <si>
    <t>SVkd1</t>
  </si>
  <si>
    <t>SVkd2</t>
  </si>
  <si>
    <t>SVkd3</t>
  </si>
  <si>
    <t>SVkd4</t>
  </si>
  <si>
    <t>SKs1</t>
  </si>
  <si>
    <t>SKs2</t>
  </si>
  <si>
    <t>SKs3</t>
  </si>
  <si>
    <t>SKs4</t>
  </si>
  <si>
    <t>SKr14</t>
  </si>
  <si>
    <t>SKn2</t>
  </si>
  <si>
    <t>SKs5</t>
  </si>
  <si>
    <t>SKs6</t>
  </si>
  <si>
    <t>SKr1</t>
  </si>
  <si>
    <t>SKr10</t>
  </si>
  <si>
    <t>SKr11</t>
  </si>
  <si>
    <t>SKr12</t>
  </si>
  <si>
    <t>SKr13</t>
  </si>
  <si>
    <t>SKr15</t>
  </si>
  <si>
    <t>SKr16</t>
  </si>
  <si>
    <t>SKr17</t>
  </si>
  <si>
    <t>SKr18</t>
  </si>
  <si>
    <t>SKr19</t>
  </si>
  <si>
    <t>SKr2</t>
  </si>
  <si>
    <t>SKr3</t>
  </si>
  <si>
    <t>SKr4</t>
  </si>
  <si>
    <t>SKr5</t>
  </si>
  <si>
    <t>SKr6</t>
  </si>
  <si>
    <t>SKr7</t>
  </si>
  <si>
    <t>SKr8</t>
  </si>
  <si>
    <t>SKr9</t>
  </si>
  <si>
    <t>SVcb11</t>
  </si>
  <si>
    <t>SVk1</t>
  </si>
  <si>
    <t>SVk18</t>
  </si>
  <si>
    <t>SVk2</t>
  </si>
  <si>
    <t>SVk17</t>
  </si>
  <si>
    <t>AZa5</t>
  </si>
  <si>
    <t>FOa1</t>
  </si>
  <si>
    <t>FOz8</t>
  </si>
  <si>
    <t>FOz4</t>
  </si>
  <si>
    <t>FOz9</t>
  </si>
  <si>
    <t>CB1</t>
  </si>
  <si>
    <t>Gd10</t>
  </si>
  <si>
    <t>Gd5</t>
  </si>
  <si>
    <t>Gd6</t>
  </si>
  <si>
    <t>Gd7</t>
  </si>
  <si>
    <t>Gh10</t>
  </si>
  <si>
    <t>Gh11</t>
  </si>
  <si>
    <t>Gh12</t>
  </si>
  <si>
    <t>Gh15</t>
  </si>
  <si>
    <t>Gh5</t>
  </si>
  <si>
    <t>Gh6</t>
  </si>
  <si>
    <t>Gh7</t>
  </si>
  <si>
    <t>Gh8</t>
  </si>
  <si>
    <t>Gh9</t>
  </si>
  <si>
    <t>Gm10</t>
  </si>
  <si>
    <t>Gm11</t>
  </si>
  <si>
    <t>Gm12</t>
  </si>
  <si>
    <t>Gm13</t>
  </si>
  <si>
    <t>Gm14</t>
  </si>
  <si>
    <t>Gm15</t>
  </si>
  <si>
    <t>Gm16</t>
  </si>
  <si>
    <t>Gm17</t>
  </si>
  <si>
    <t>Gm19</t>
  </si>
  <si>
    <t>Gm20</t>
  </si>
  <si>
    <t>Gm21</t>
  </si>
  <si>
    <t>Gm22</t>
  </si>
  <si>
    <t>Gm23</t>
  </si>
  <si>
    <t>Gm24</t>
  </si>
  <si>
    <t>Gm25</t>
  </si>
  <si>
    <t>Gm26</t>
  </si>
  <si>
    <t>Gm27</t>
  </si>
  <si>
    <t>Gm28</t>
  </si>
  <si>
    <t>Gm29</t>
  </si>
  <si>
    <t>Gm3</t>
  </si>
  <si>
    <t>Gm30</t>
  </si>
  <si>
    <t>Gm31</t>
  </si>
  <si>
    <t>Gm4</t>
  </si>
  <si>
    <t>Gm6</t>
  </si>
  <si>
    <t>Gm7</t>
  </si>
  <si>
    <t>Gm8</t>
  </si>
  <si>
    <t>Gm9</t>
  </si>
  <si>
    <t>Gs1</t>
  </si>
  <si>
    <t>Gs2</t>
  </si>
  <si>
    <t>Gs3</t>
  </si>
  <si>
    <t>Gs4</t>
  </si>
  <si>
    <t>Gs7</t>
  </si>
  <si>
    <t>Gs8</t>
  </si>
  <si>
    <t>CB2</t>
  </si>
  <si>
    <t>SVcb1</t>
  </si>
  <si>
    <t>SVcb10</t>
  </si>
  <si>
    <t>SVcb12</t>
  </si>
  <si>
    <t>SVcb13</t>
  </si>
  <si>
    <t>SVcb14</t>
  </si>
  <si>
    <t>SVcb15</t>
  </si>
  <si>
    <t>SVcb16</t>
  </si>
  <si>
    <t>SVcb17</t>
  </si>
  <si>
    <t>SVcb18</t>
  </si>
  <si>
    <t>SVcb19</t>
  </si>
  <si>
    <t>SVcb2</t>
  </si>
  <si>
    <t>SVcb20</t>
  </si>
  <si>
    <t>SVcb21</t>
  </si>
  <si>
    <t>SVcb22</t>
  </si>
  <si>
    <t>SVcb23</t>
  </si>
  <si>
    <t>SVcb24</t>
  </si>
  <si>
    <t>SVcb25</t>
  </si>
  <si>
    <t>SVcb26</t>
  </si>
  <si>
    <t>SVcb27</t>
  </si>
  <si>
    <t>SVcb28</t>
  </si>
  <si>
    <t>SVcb6</t>
  </si>
  <si>
    <t>SVcb7</t>
  </si>
  <si>
    <t>SVcb8</t>
  </si>
  <si>
    <t>SVcb9</t>
  </si>
  <si>
    <t>SVl1</t>
  </si>
  <si>
    <t>SVl10</t>
  </si>
  <si>
    <t>SVl11</t>
  </si>
  <si>
    <t>SVl12</t>
  </si>
  <si>
    <t>SVl13</t>
  </si>
  <si>
    <t>SVl14</t>
  </si>
  <si>
    <t>SVl15</t>
  </si>
  <si>
    <t>SVl16</t>
  </si>
  <si>
    <t>SVl17</t>
  </si>
  <si>
    <t>SVl18</t>
  </si>
  <si>
    <t>SVl19</t>
  </si>
  <si>
    <t>SVl2</t>
  </si>
  <si>
    <t>SVl20</t>
  </si>
  <si>
    <t>SVl21</t>
  </si>
  <si>
    <t>SVl22</t>
  </si>
  <si>
    <t>SVl23</t>
  </si>
  <si>
    <t>SVl24</t>
  </si>
  <si>
    <t>SVl25</t>
  </si>
  <si>
    <t>SVl26</t>
  </si>
  <si>
    <t>SVl27</t>
  </si>
  <si>
    <t>SVl3</t>
  </si>
  <si>
    <t>SVl4</t>
  </si>
  <si>
    <t>SVl5</t>
  </si>
  <si>
    <t>SVl6</t>
  </si>
  <si>
    <t>SVl7</t>
  </si>
  <si>
    <t>SVl8</t>
  </si>
  <si>
    <t>SVl9</t>
  </si>
  <si>
    <t>SVmp1</t>
  </si>
  <si>
    <t>SVmp2</t>
  </si>
  <si>
    <t>SVmp3</t>
  </si>
  <si>
    <t>SVmp4</t>
  </si>
  <si>
    <t>SVmp5</t>
  </si>
  <si>
    <t>SVmp6</t>
  </si>
  <si>
    <t>SVmp7</t>
  </si>
  <si>
    <t>SVmp8</t>
  </si>
  <si>
    <t>SVs1</t>
  </si>
  <si>
    <t>SVs2</t>
  </si>
  <si>
    <t>SVs3</t>
  </si>
  <si>
    <t>SVcb29</t>
  </si>
  <si>
    <t>SVcb4</t>
  </si>
  <si>
    <t>Gh13</t>
  </si>
  <si>
    <t>SVcb5</t>
  </si>
  <si>
    <t>Gh14</t>
  </si>
  <si>
    <t>SVcb3</t>
  </si>
  <si>
    <t>Gm2</t>
  </si>
  <si>
    <t>SVk3</t>
  </si>
  <si>
    <t>NAME</t>
  </si>
  <si>
    <t>Albany Arid Thicket</t>
  </si>
  <si>
    <t>Albany Bontveld</t>
  </si>
  <si>
    <t>Albany Mesic Thicket</t>
  </si>
  <si>
    <t>Albany Valley Thicket</t>
  </si>
  <si>
    <t>Baviaans Valley Thicket</t>
  </si>
  <si>
    <t>Bethelsdorp Bontveld</t>
  </si>
  <si>
    <t>Buffels Mesic Thicket</t>
  </si>
  <si>
    <t>Buffels Valley Thicket</t>
  </si>
  <si>
    <t>Crossroads Grassland Thicket</t>
  </si>
  <si>
    <t>Doubledrift Karroid Thicket</t>
  </si>
  <si>
    <t>Eastern Gwarrieveld</t>
  </si>
  <si>
    <t>Elands Forest Thicket</t>
  </si>
  <si>
    <t>Escarpment Arid Thicket</t>
  </si>
  <si>
    <t>Escarpment Mesic Thicket</t>
  </si>
  <si>
    <t>Escarpment Valley Thicket</t>
  </si>
  <si>
    <t>Fish Arid Thicket</t>
  </si>
  <si>
    <t>Fish Mesic Thicket</t>
  </si>
  <si>
    <t>Fish Valley Thicket</t>
  </si>
  <si>
    <t>Gamka Arid Thicket</t>
  </si>
  <si>
    <t>Gamka Valley Thicket</t>
  </si>
  <si>
    <t>Geluk Grassland Thicket</t>
  </si>
  <si>
    <t>Goukamma Dune Thicket</t>
  </si>
  <si>
    <t>Gouritz Valley Thicket</t>
  </si>
  <si>
    <t>Grahamstown Grassland Thicket</t>
  </si>
  <si>
    <t>Grassridge Bontveld</t>
  </si>
  <si>
    <t>Hartenbos Dune Thicket</t>
  </si>
  <si>
    <t>Kasouga Dune Thicket</t>
  </si>
  <si>
    <t>Koedoeskloof Karroid Thicket</t>
  </si>
  <si>
    <t>Mons Ruber Fynbos Thicket</t>
  </si>
  <si>
    <t>Motherwell Karroid Thicket</t>
  </si>
  <si>
    <t>Nanaga Savanna Thicket</t>
  </si>
  <si>
    <t>Oudtshoorn Karroid Thicket</t>
  </si>
  <si>
    <t>Saltaire Karroid Thicket</t>
  </si>
  <si>
    <t>Sardinia Forest Thicket</t>
  </si>
  <si>
    <t>Sundays Arid Thicket</t>
  </si>
  <si>
    <t>Sundays Mesic Thicket</t>
  </si>
  <si>
    <t>Sundays Valley Thicket</t>
  </si>
  <si>
    <t>Thorndale Forest Thicket</t>
  </si>
  <si>
    <t>Umtiza Forest Thicket</t>
  </si>
  <si>
    <t>Vanstadens Forest Thicket</t>
  </si>
  <si>
    <t>Western Gwarrieveld</t>
  </si>
  <si>
    <t>Hamburg Dune Thicket</t>
  </si>
  <si>
    <t>St Francis Dune Thicket</t>
  </si>
  <si>
    <t>Willowmore Gwarrieveld</t>
  </si>
  <si>
    <t>Fynbos Riparian Vegetation</t>
  </si>
  <si>
    <t>Cape Lowland Alluvial Vegetation</t>
  </si>
  <si>
    <t>Lower Gariep Alluvial Vegetation</t>
  </si>
  <si>
    <t>Upper Gariep Alluvial Vegetation</t>
  </si>
  <si>
    <t>Highveld Alluvial Vegetation</t>
  </si>
  <si>
    <t>Albany Alluvial Vegetation</t>
  </si>
  <si>
    <t>Subtropical Alluvial Vegetation</t>
  </si>
  <si>
    <t>Namib Seashore Vegetation</t>
  </si>
  <si>
    <t>Namaqualand Seashore Vegetation</t>
  </si>
  <si>
    <t>Cape Seashore Vegetation</t>
  </si>
  <si>
    <t>Subtropical Seashore Vegetation</t>
  </si>
  <si>
    <t>Namaqualand Riviere</t>
  </si>
  <si>
    <t>Southern Kalahari Mekgacha</t>
  </si>
  <si>
    <t>Bushmanland Vloere</t>
  </si>
  <si>
    <t>Southern Karoo Riviere</t>
  </si>
  <si>
    <t>Tanqua Wash Riviere</t>
  </si>
  <si>
    <t>Muscadel Riviere</t>
  </si>
  <si>
    <t>Subtropical Dune Thicket</t>
  </si>
  <si>
    <t>Maputaland Coastal Belt</t>
  </si>
  <si>
    <t>Maputaland Wooded Grassland</t>
  </si>
  <si>
    <t>KwaZulu-Natal Coastal Belt Grassland</t>
  </si>
  <si>
    <t>Pondoland-Ugu Sandstone Coastal Sourveld</t>
  </si>
  <si>
    <t>Transkei Coastal Belt</t>
  </si>
  <si>
    <t>KwaZulu-Natal Coastal Belt Thornveld</t>
  </si>
  <si>
    <t>Noms Mountain Desert</t>
  </si>
  <si>
    <t>Eastern Gariep Rocky Desert</t>
  </si>
  <si>
    <t>Richtersberg Mountain Desert</t>
  </si>
  <si>
    <t>Richtersveld Sheet Wash Desert</t>
  </si>
  <si>
    <t>Kwaggarug Mountain Desert</t>
  </si>
  <si>
    <t>Kahams Mountain Desert</t>
  </si>
  <si>
    <t>Helskloof Canyon Desert</t>
  </si>
  <si>
    <t>Northern Nababiepsberge Mountain Desert</t>
  </si>
  <si>
    <t>Southern Nababiepsberge Mountain Desert</t>
  </si>
  <si>
    <t>Eastern Gariep Plains Desert</t>
  </si>
  <si>
    <t>Alexander Bay Coastal Duneveld</t>
  </si>
  <si>
    <t>Namib Lichen Fields</t>
  </si>
  <si>
    <t>Western Gariep Plains Desert</t>
  </si>
  <si>
    <t>Western Gariep Lowland Desert</t>
  </si>
  <si>
    <t>Western Gariep Hills Desert</t>
  </si>
  <si>
    <t>Kouebokkeveld Alluvium Fynbos</t>
  </si>
  <si>
    <t>Breede Alluvium Fynbos</t>
  </si>
  <si>
    <t>Swartland Alluvium Fynbos</t>
  </si>
  <si>
    <t>Lourensford Alluvium Fynbos</t>
  </si>
  <si>
    <t>Northern Inland Shale Band Vegetation</t>
  </si>
  <si>
    <t>Western Coastal Shale Band Vegetation</t>
  </si>
  <si>
    <t>Central Inland Shale Band Vegetation</t>
  </si>
  <si>
    <t>Central Coastal Shale Band Vegetation</t>
  </si>
  <si>
    <t>Eastern Inland Shale Band Vegetation</t>
  </si>
  <si>
    <t>Eastern Coastal Shale Band Vegetation</t>
  </si>
  <si>
    <t>Swellendam Silcrete Fynbos</t>
  </si>
  <si>
    <t>Namaqualand Sand Fynbos</t>
  </si>
  <si>
    <t>Knysna Sand Fynbos</t>
  </si>
  <si>
    <t>Southern Cape Dune Fynbos</t>
  </si>
  <si>
    <t>Leipoldtville Sand Fynbos</t>
  </si>
  <si>
    <t>Hopefield Sand Fynbos</t>
  </si>
  <si>
    <t>Atlantis Sand Fynbos</t>
  </si>
  <si>
    <t>Cape Flats Sand Fynbos</t>
  </si>
  <si>
    <t>Hangklip Sand Fynbos</t>
  </si>
  <si>
    <t>Agulhas Sand Fynbos</t>
  </si>
  <si>
    <t>Breede Sand Fynbos</t>
  </si>
  <si>
    <t>Albertinia Sand Fynbos</t>
  </si>
  <si>
    <t>Elim Ferricrete Fynbos</t>
  </si>
  <si>
    <t>Potberg Ferricrete Fynbos</t>
  </si>
  <si>
    <t>Kamiesberg Granite Fynbos</t>
  </si>
  <si>
    <t>Boland Granite Fynbos</t>
  </si>
  <si>
    <t>Peninsula Granite Fynbos</t>
  </si>
  <si>
    <t>Robertson Granite Fynbos</t>
  </si>
  <si>
    <t>Garden Route Granite Fynbos</t>
  </si>
  <si>
    <t>Kouebokkeveld Shale Fynbos</t>
  </si>
  <si>
    <t>Suurberg Shale Fynbos</t>
  </si>
  <si>
    <t>Peninsula Shale Fynbos</t>
  </si>
  <si>
    <t>Matjiesfontein Shale Fynbos</t>
  </si>
  <si>
    <t>Swartberg Shale Fynbos</t>
  </si>
  <si>
    <t>Breede Shale Fynbos</t>
  </si>
  <si>
    <t>Cape Winelands Shale Fynbos</t>
  </si>
  <si>
    <t>Elgin Shale Fynbos</t>
  </si>
  <si>
    <t>Greyton Shale Fynbos</t>
  </si>
  <si>
    <t>Montagu Shale Fynbos</t>
  </si>
  <si>
    <t>Garden Route Shale Fynbos</t>
  </si>
  <si>
    <t>Agulhas Limestone Fynbos</t>
  </si>
  <si>
    <t>De Hoop Limestone Fynbos</t>
  </si>
  <si>
    <t>Canca Limestone Fynbos</t>
  </si>
  <si>
    <t>Stinkfonteinberge Quartzite Fynbos</t>
  </si>
  <si>
    <t>Swartruggens Quartzite Fynbos</t>
  </si>
  <si>
    <t>Matjiesfontein Quartzite Fynbos</t>
  </si>
  <si>
    <t>Breede Quartzite Fynbos</t>
  </si>
  <si>
    <t>Grootrivier Quartzite Fynbos</t>
  </si>
  <si>
    <t>Suurberg Quartzite Fynbos</t>
  </si>
  <si>
    <t>Bokkeveld Sandstone Fynbos</t>
  </si>
  <si>
    <t>Hawequas Sandstone Fynbos</t>
  </si>
  <si>
    <t>Kogelberg Sandstone Fynbos</t>
  </si>
  <si>
    <t>Overberg Sandstone Fynbos</t>
  </si>
  <si>
    <t>North Sonderend Sandstone Fynbos</t>
  </si>
  <si>
    <t>South Sonderend Sandstone Fynbos</t>
  </si>
  <si>
    <t>North Langeberg Sandstone Fynbos</t>
  </si>
  <si>
    <t>South Langeberg Sandstone Fynbos</t>
  </si>
  <si>
    <t>Potberg Sandstone Fynbos</t>
  </si>
  <si>
    <t>North Outeniqua Sandstone Fynbos</t>
  </si>
  <si>
    <t>South Outeniqua Sandstone Fynbos</t>
  </si>
  <si>
    <t>Graafwater Sandstone Fynbos</t>
  </si>
  <si>
    <t>Tsitsikamma Sandstone Fynbos</t>
  </si>
  <si>
    <t>North Rooiberg Sandstone Fynbos</t>
  </si>
  <si>
    <t>South Rooiberg Sandstone Fynbos</t>
  </si>
  <si>
    <t>North Swartberg Sandstone Fynbos</t>
  </si>
  <si>
    <t>South Swartberg Sandstone Fynbos</t>
  </si>
  <si>
    <t>North Kammanassie Sandstone Fynbos</t>
  </si>
  <si>
    <t>South Kammanassie Sandstone Fynbos</t>
  </si>
  <si>
    <t>Kouga Sandstone Fynbos</t>
  </si>
  <si>
    <t>Kouga Grassy Sandstone Fynbos</t>
  </si>
  <si>
    <t>Algoa Sandstone Fynbos</t>
  </si>
  <si>
    <t>Olifants Sandstone Fynbos</t>
  </si>
  <si>
    <t>Western Altimontane Sandstone Fynbos</t>
  </si>
  <si>
    <t>Swartberg Altimontane Sandstone Fynbos</t>
  </si>
  <si>
    <t>Nardouw Sandstone Fynbos</t>
  </si>
  <si>
    <t>Cederberg Sandstone Fynbos</t>
  </si>
  <si>
    <t>Winterhoek Sandstone Fynbos</t>
  </si>
  <si>
    <t>Piketberg Sandstone Fynbos</t>
  </si>
  <si>
    <t>North Hex Sandstone Fynbos</t>
  </si>
  <si>
    <t>South Hex Sandstone Fynbos</t>
  </si>
  <si>
    <t>Peninsula Sandstone Fynbos</t>
  </si>
  <si>
    <t>Kango Conglomerate Fynbos</t>
  </si>
  <si>
    <t>Loerie Conglomerate Fynbos</t>
  </si>
  <si>
    <t>Lowveld Riverine Forest</t>
  </si>
  <si>
    <t>Swamp Forest</t>
  </si>
  <si>
    <t>Mangrove Forest</t>
  </si>
  <si>
    <t>Southern Afrotemperate Forest</t>
  </si>
  <si>
    <t>Northern Afrotemperate Forest</t>
  </si>
  <si>
    <t>Southern Mistbelt Forest</t>
  </si>
  <si>
    <t>Northern Mistbelt Forest</t>
  </si>
  <si>
    <t>Scarp Forest</t>
  </si>
  <si>
    <t>Southern Coastal Forest</t>
  </si>
  <si>
    <t>Northern Coastal Forest</t>
  </si>
  <si>
    <t>Sand Forest</t>
  </si>
  <si>
    <t>Ironwood Dry Forest</t>
  </si>
  <si>
    <t>Breede Alluvium Renosterveld</t>
  </si>
  <si>
    <t>Swartland Alluvium Renosterveld</t>
  </si>
  <si>
    <t>Swartland Silcrete Renosterveld</t>
  </si>
  <si>
    <t>Ruens Silcrete Renosterveld</t>
  </si>
  <si>
    <t>Nieuwoudtville-Roggeveld Dolerite Renosterveld</t>
  </si>
  <si>
    <t>Hantam Plateau Dolerite Renosterveld</t>
  </si>
  <si>
    <t>Namaqualand Granite Renosterveld</t>
  </si>
  <si>
    <t>Swartland Granite Renosterveld</t>
  </si>
  <si>
    <t>Robertson Granite Renosterveld</t>
  </si>
  <si>
    <t>Kango Limestone Renosterveld</t>
  </si>
  <si>
    <t>Vanrhynsdorp Shale Renosterveld</t>
  </si>
  <si>
    <t>Peninsula Shale Renosterveld</t>
  </si>
  <si>
    <t>Western Ruens Shale Renosterveld</t>
  </si>
  <si>
    <t>Central Ruens Shale Renosterveld</t>
  </si>
  <si>
    <t>Eastern Ruens Shale Renosterveld</t>
  </si>
  <si>
    <t>Mossel Bay Shale Renosterveld</t>
  </si>
  <si>
    <t>Swartberg Shale Renosterveld</t>
  </si>
  <si>
    <t>Uniondale Shale Renosterveld</t>
  </si>
  <si>
    <t>Langkloof Shale Renosterveld</t>
  </si>
  <si>
    <t>Baviaanskloof Shale Renosterveld</t>
  </si>
  <si>
    <t>Humansdorp Shale Renosterveld</t>
  </si>
  <si>
    <t>Nieuwoudtville Shale Renosterveld</t>
  </si>
  <si>
    <t>Citrusdal Shale Renosterveld</t>
  </si>
  <si>
    <t>Roggeveld Shale Renosterveld</t>
  </si>
  <si>
    <t>Ceres Shale Renosterveld</t>
  </si>
  <si>
    <t>Central Mountain Shale Renosterveld</t>
  </si>
  <si>
    <t>Matjiesfontein Shale Renosterveld</t>
  </si>
  <si>
    <t>Montagu Shale Renosterveld</t>
  </si>
  <si>
    <t>Breede Shale Renosterveld</t>
  </si>
  <si>
    <t>Swartland Shale Renosterveld</t>
  </si>
  <si>
    <t>Lambert’s Bay Strandveld</t>
  </si>
  <si>
    <t>Saldanha Granite Strandveld</t>
  </si>
  <si>
    <t>Saldanha Flats Strandveld</t>
  </si>
  <si>
    <t>Saldanha Limestone Strandveld</t>
  </si>
  <si>
    <t>Langebaan Dune Strandveld</t>
  </si>
  <si>
    <t>Cape Flats Dune Strandveld</t>
  </si>
  <si>
    <t>Overberg Dune Strandveld</t>
  </si>
  <si>
    <t>Blombos Strandveld</t>
  </si>
  <si>
    <t>Groot Brak Dune Strandveld</t>
  </si>
  <si>
    <t>Amathole Montane Grassland</t>
  </si>
  <si>
    <t>Drakensberg Afroalpine Heathland</t>
  </si>
  <si>
    <t>Amathole Mistbelt Grassland</t>
  </si>
  <si>
    <t>Stormberg Plateau Grassland</t>
  </si>
  <si>
    <t>Southern Drakensberg Highland Grassland</t>
  </si>
  <si>
    <t>Northern Drakensberg Highland Grassland</t>
  </si>
  <si>
    <t>Drakensberg-Amathole Afromontane Fynbos</t>
  </si>
  <si>
    <t>uKhahlamba Basalt Grassland</t>
  </si>
  <si>
    <t>Lesotho Highland Basalt Grassland</t>
  </si>
  <si>
    <t>Karoo Escarpment Grassland</t>
  </si>
  <si>
    <t>Vaal-Vet Sandy Grassland</t>
  </si>
  <si>
    <t>Vredefort Dome Granite Grassland</t>
  </si>
  <si>
    <t>Vaal Reefs Dolomite Sinkhole Woodland</t>
  </si>
  <si>
    <t>Klerksdorp Thornveld</t>
  </si>
  <si>
    <t>Western Highveld Sandy Grassland</t>
  </si>
  <si>
    <t>Carletonville Dolomite Grassland</t>
  </si>
  <si>
    <t>Aliwal North Dry Grassland</t>
  </si>
  <si>
    <t>Xhariep Karroid Grassland</t>
  </si>
  <si>
    <t>Besemkaree Koppies Shrubland</t>
  </si>
  <si>
    <t>Bloemfontein Dry Grassland</t>
  </si>
  <si>
    <t>Central Free State Grassland</t>
  </si>
  <si>
    <t>Winburg Grassy Shrubland</t>
  </si>
  <si>
    <t>Bloemfontein Karroid Shrubland</t>
  </si>
  <si>
    <t>Western Free State Clay Grassland</t>
  </si>
  <si>
    <t>Zastron Moist Grassland</t>
  </si>
  <si>
    <t>Egoli Granite Grassland</t>
  </si>
  <si>
    <t>Rand Highveld Grassland</t>
  </si>
  <si>
    <t>Eastern Highveld Grassland</t>
  </si>
  <si>
    <t>Amersfoort Highveld Clay Grassland</t>
  </si>
  <si>
    <t>Wakkerstroom Montane Grassland</t>
  </si>
  <si>
    <t>Paulpietersburg Moist Grassland</t>
  </si>
  <si>
    <t>KaNgwane Montane Grassland</t>
  </si>
  <si>
    <t>Barberton Montane Grassland</t>
  </si>
  <si>
    <t>Sekhukhune Montane Grassland</t>
  </si>
  <si>
    <t>Senqu Montane Shrubland</t>
  </si>
  <si>
    <t>Leolo Summit Sourveld</t>
  </si>
  <si>
    <t>Lydenburg Thornveld</t>
  </si>
  <si>
    <t>Northern Escarpment Dolomite Grassland</t>
  </si>
  <si>
    <t>Northern Escarpment Quartzite Sourveld</t>
  </si>
  <si>
    <t>Northern Escarpment Afromontane Fynbos</t>
  </si>
  <si>
    <t>Woodbush Granite Grassland</t>
  </si>
  <si>
    <t>Wolkberg Dolomite Grassland</t>
  </si>
  <si>
    <t>Strydpoort Summit Sourveld</t>
  </si>
  <si>
    <t>Soutpansberg Summit Sourveld</t>
  </si>
  <si>
    <t>Waterberg-Magaliesberg Summit Sourveld</t>
  </si>
  <si>
    <t>Eastern Free State Clay Grassland</t>
  </si>
  <si>
    <t>Steenkampsberg Montane Grassland</t>
  </si>
  <si>
    <t>Long Tom Pass Montane Grassland</t>
  </si>
  <si>
    <t>Eastern Free State Sandy Grassland</t>
  </si>
  <si>
    <t>Basotho Montane Shrubland</t>
  </si>
  <si>
    <t>Frankfort Highveld Grassland</t>
  </si>
  <si>
    <t>Northern Free State Shrubland</t>
  </si>
  <si>
    <t>Soweto Highveld Grassland</t>
  </si>
  <si>
    <t>Tsakane Clay Grassland</t>
  </si>
  <si>
    <t>Northern Zululand Mistbelt Grassland</t>
  </si>
  <si>
    <t>Drakensberg Foothill Moist Grassland</t>
  </si>
  <si>
    <t>Southern KwaZulu-Natal Moist Grassland</t>
  </si>
  <si>
    <t>East Griqualand Grassland</t>
  </si>
  <si>
    <t>Mabela Sandy Grassland</t>
  </si>
  <si>
    <t>Mthatha Moist Grassland</t>
  </si>
  <si>
    <t>Tsomo Grassland</t>
  </si>
  <si>
    <t>Queenstown Thornveld</t>
  </si>
  <si>
    <t>Tarkastad Montane Shrubland</t>
  </si>
  <si>
    <t>Bedford Dry Grassland</t>
  </si>
  <si>
    <t>Dry Coast Hinterland Grassland</t>
  </si>
  <si>
    <t>Ithala Quartzite Sourveld</t>
  </si>
  <si>
    <t>Moist Coast Hinterland Grassland</t>
  </si>
  <si>
    <t>Low Escarpment Moist Grassland</t>
  </si>
  <si>
    <t>Northern KwaZulu-Natal Moist Grassland</t>
  </si>
  <si>
    <t>KwaZulu-Natal Highland Thornveld</t>
  </si>
  <si>
    <t>Income Sandy Grassland</t>
  </si>
  <si>
    <t>Mooi River Highland Grassland</t>
  </si>
  <si>
    <t>Midlands Mistbelt Grassland</t>
  </si>
  <si>
    <t>Lower Gariep Broken Veld</t>
  </si>
  <si>
    <t>Blouputs Karroid Thornveld</t>
  </si>
  <si>
    <t>Bushmanland Arid Grassland</t>
  </si>
  <si>
    <t>Bushmanland Sandy Grassland</t>
  </si>
  <si>
    <t>Kalahari Karroid Shrubland</t>
  </si>
  <si>
    <t>Bushmanland Basin Shrubland</t>
  </si>
  <si>
    <t>Gamka Karoo</t>
  </si>
  <si>
    <t>Eastern Lower Karoo</t>
  </si>
  <si>
    <t>Albany Broken Veld</t>
  </si>
  <si>
    <t>Western Upper Karoo</t>
  </si>
  <si>
    <t>Upper Karoo Hardeveld</t>
  </si>
  <si>
    <t>Northern Upper Karoo</t>
  </si>
  <si>
    <t>Eastern Upper Karoo</t>
  </si>
  <si>
    <t>Northern Knersvlakte Vygieveld</t>
  </si>
  <si>
    <t>Central Knersvlakte Vygieveld</t>
  </si>
  <si>
    <t>Knersvlakte Quartz Vygieveld</t>
  </si>
  <si>
    <t>Knersvlakte Shale Vygieveld</t>
  </si>
  <si>
    <t>Vanrhynsdorp Gannabosveld</t>
  </si>
  <si>
    <t>Knersvlakte Dolomite Vygieveld</t>
  </si>
  <si>
    <t>Citrusdal Vygieveld</t>
  </si>
  <si>
    <t>Piketberg Quartz Succulent Shrubland</t>
  </si>
  <si>
    <t>Kobee Succulent Shrubland</t>
  </si>
  <si>
    <t>Namaqualand Klipkoppe Shrubland</t>
  </si>
  <si>
    <t>Namaqualand Shale Shrubland</t>
  </si>
  <si>
    <t>Namaqualand Blomveld</t>
  </si>
  <si>
    <t>Namaqualand Heuweltjieveld</t>
  </si>
  <si>
    <t>Platbakkies Succulent Shrubland</t>
  </si>
  <si>
    <t>Kamiesberg Mountains Shrubland</t>
  </si>
  <si>
    <t>Southern Namaqualand Quartzite Klipkoppe Shrubland</t>
  </si>
  <si>
    <t>Central Richtersveld Mountain Shrubland</t>
  </si>
  <si>
    <t>Die Plate Succulent Shrubland</t>
  </si>
  <si>
    <t>Rooiberg Quartz Vygieveld</t>
  </si>
  <si>
    <t>Kosiesberg Succulent Shrubland</t>
  </si>
  <si>
    <t>Southern Richtersveld Scorpionstailveld</t>
  </si>
  <si>
    <t>Southern Richtersveld Inselberg Shrubland</t>
  </si>
  <si>
    <t>Anenous Plateau Shrubland</t>
  </si>
  <si>
    <t>Umdaus Mountains Succulent Shrubland</t>
  </si>
  <si>
    <t>Eenriet Plains Succulent Shrubland</t>
  </si>
  <si>
    <t>Bushmanland Inselberg Shrubland</t>
  </si>
  <si>
    <t>Aggeneys Gravel Vygieveld</t>
  </si>
  <si>
    <t>Upper Annisvlakte Succulent Shrubland</t>
  </si>
  <si>
    <t>Goariep Mountain Succulent Shrubland</t>
  </si>
  <si>
    <t>Lekkersing Succulent Shrubland</t>
  </si>
  <si>
    <t>Vyftienmyl se Berge Succulent Shrubland</t>
  </si>
  <si>
    <t>Stinkfonteinberge Eastern Apron Shrubland</t>
  </si>
  <si>
    <t>Northern Richtersveld Scorpionstailveld</t>
  </si>
  <si>
    <t>Rosyntjieberg Succulent Shrubland</t>
  </si>
  <si>
    <t>Tatasberg Mountain Succulent Shrubland</t>
  </si>
  <si>
    <t>Richtersveld Coastal Duneveld</t>
  </si>
  <si>
    <t>Riethuis-Wallekraal Quartz Vygieveld</t>
  </si>
  <si>
    <t>Namaqualand Arid Grassland</t>
  </si>
  <si>
    <t>Namaqualand Spinescent Grassland</t>
  </si>
  <si>
    <t>Klawer Sandy Shrubland</t>
  </si>
  <si>
    <t>Namaqualand Heuweltjie Strandveld</t>
  </si>
  <si>
    <t>Northern Richtersveld Yellow Duneveld</t>
  </si>
  <si>
    <t>Southern Richtersveld Yellow Duneveld</t>
  </si>
  <si>
    <t>Richtersveld Sandy Coastal Scorpionstailveld</t>
  </si>
  <si>
    <t>Richtersveld Red Duneveld</t>
  </si>
  <si>
    <t>Oograbies Plains Sandy Grassland</t>
  </si>
  <si>
    <t>Namaqualand Strandveld</t>
  </si>
  <si>
    <t>Namaqualand Coastal Duneveld</t>
  </si>
  <si>
    <t>Namaqualand Inland Duneveld</t>
  </si>
  <si>
    <t>Western Bushmanland Klipveld</t>
  </si>
  <si>
    <t>Hantam Karoo</t>
  </si>
  <si>
    <t>Roggeveld Karoo</t>
  </si>
  <si>
    <t>Doringrivier Quartzite Karoo</t>
  </si>
  <si>
    <t>Little Karoo Quartz Vygieveld</t>
  </si>
  <si>
    <t>Eastern Little Karoo</t>
  </si>
  <si>
    <t>Prince Albert Succulent Karoo</t>
  </si>
  <si>
    <t>Steytlerville Karoo</t>
  </si>
  <si>
    <t>Swartruggens Quartzite Karoo</t>
  </si>
  <si>
    <t>Agter-Sederberg Shrubland</t>
  </si>
  <si>
    <t>Tanqua Escarpment Shrubland</t>
  </si>
  <si>
    <t>Tanqua Karoo</t>
  </si>
  <si>
    <t>Koedoesberge-Moordenaars Karoo</t>
  </si>
  <si>
    <t>Robertson Karoo</t>
  </si>
  <si>
    <t>Western Little Karoo</t>
  </si>
  <si>
    <t>Dwaalboom Thornveld</t>
  </si>
  <si>
    <t>Gauteng Shale Mountain Bushveld</t>
  </si>
  <si>
    <t>Andesite Mountain Bushveld</t>
  </si>
  <si>
    <t>Central Sandy Bushveld</t>
  </si>
  <si>
    <t>Loskop Mountain Bushveld</t>
  </si>
  <si>
    <t>Loskop Thornveld</t>
  </si>
  <si>
    <t>Springbokvlakte Thornveld</t>
  </si>
  <si>
    <t>Western Sandy Bushveld</t>
  </si>
  <si>
    <t>Waterberg Mountain Bushveld</t>
  </si>
  <si>
    <t>Roodeberg Bushveld</t>
  </si>
  <si>
    <t>Limpopo Sweet Bushveld</t>
  </si>
  <si>
    <t>Madikwe Dolomite Bushveld</t>
  </si>
  <si>
    <t>Makhado Sweet Bushveld</t>
  </si>
  <si>
    <t>Soutpansberg Mountain Bushveld</t>
  </si>
  <si>
    <t>VhaVenda Miombo</t>
  </si>
  <si>
    <t>Polokwane Plateau Bushveld</t>
  </si>
  <si>
    <t>Mamabolo Mountain Bushveld</t>
  </si>
  <si>
    <t>Poung Dolomite Mountain Bushveld</t>
  </si>
  <si>
    <t>Ohrigstad Mountain Bushveld</t>
  </si>
  <si>
    <t>Sekhukhune Plains Bushveld</t>
  </si>
  <si>
    <t>Sekhukhune Mountain Bushveld</t>
  </si>
  <si>
    <t>Zeerust Thornveld</t>
  </si>
  <si>
    <t>Dwarsberg-Swartruggens Mountain Bushveld</t>
  </si>
  <si>
    <t>Pilanesberg Mountain Bushveld</t>
  </si>
  <si>
    <t>Marikana Thornveld</t>
  </si>
  <si>
    <t>Norite Koppies Bushveld</t>
  </si>
  <si>
    <t>Moot Plains Bushveld</t>
  </si>
  <si>
    <t>Gold Reef Mountain Bushveld</t>
  </si>
  <si>
    <t>Mafikeng Bushveld</t>
  </si>
  <si>
    <t>Kuruman Mountain Bushveld</t>
  </si>
  <si>
    <t>Molopo Bushveld</t>
  </si>
  <si>
    <t>Kathu Bushveld</t>
  </si>
  <si>
    <t>Olifantshoek Plains Thornveld</t>
  </si>
  <si>
    <t>Postmasburg Thornveld</t>
  </si>
  <si>
    <t>Koranna-Langeberg Mountain Bushveld</t>
  </si>
  <si>
    <t>Gordonia Plains Shrubland</t>
  </si>
  <si>
    <t>Stella Bushveld</t>
  </si>
  <si>
    <t>Schweizer-Reneke Bushveld</t>
  </si>
  <si>
    <t>Kimberley Thornveld</t>
  </si>
  <si>
    <t>Vaalbos Rocky Shrubland</t>
  </si>
  <si>
    <t>Schmidtsdrif Thornveld</t>
  </si>
  <si>
    <t>Ghaap Plateau Vaalbosveld</t>
  </si>
  <si>
    <t>Kuruman Vaalbosveld</t>
  </si>
  <si>
    <t>Kuruman Thornveld</t>
  </si>
  <si>
    <t>Gordonia Duneveld</t>
  </si>
  <si>
    <t>Gordonia Kameeldoring Bushveld</t>
  </si>
  <si>
    <t>Auob Duneveld</t>
  </si>
  <si>
    <t>Nossob Bushveld</t>
  </si>
  <si>
    <t>Makuleke Sandy Bushveld</t>
  </si>
  <si>
    <t>Pretoriuskop Sour Bushveld</t>
  </si>
  <si>
    <t>Malelane Mountain Bushveld</t>
  </si>
  <si>
    <t>Kaalrug Mountain Bushveld</t>
  </si>
  <si>
    <t>Barberton Serpentine Sourveld</t>
  </si>
  <si>
    <t>Swaziland Sour Bushveld</t>
  </si>
  <si>
    <t>Northern Lebombo Bushveld</t>
  </si>
  <si>
    <t>Southern Lebombo Bushveld</t>
  </si>
  <si>
    <t>Lebombo Summit Sourveld</t>
  </si>
  <si>
    <t>Tembe Sandy Bushveld</t>
  </si>
  <si>
    <t>Western Maputaland Sandy Bushveld</t>
  </si>
  <si>
    <t>Nwambyia-Pumbe Sandy Bushveld</t>
  </si>
  <si>
    <t>Western Maputaland Clay Bushveld</t>
  </si>
  <si>
    <t>Makatini Clay Thicket</t>
  </si>
  <si>
    <t>Northern Zululand Sourveld</t>
  </si>
  <si>
    <t>Zululand Lowveld</t>
  </si>
  <si>
    <t>Zululand Coastal Thornveld</t>
  </si>
  <si>
    <t>Maputaland Pallid Sandy Bushveld</t>
  </si>
  <si>
    <t>Muzi Palm Veld and Wooded Grassland</t>
  </si>
  <si>
    <t>Crocodile Gorge Mountain Bushveld</t>
  </si>
  <si>
    <t>Granite Lowveld</t>
  </si>
  <si>
    <t>Delagoa Lowveld</t>
  </si>
  <si>
    <t>Tshokwane-Hlane Basalt Lowveld</t>
  </si>
  <si>
    <t>Gabbro Grassy Bushveld</t>
  </si>
  <si>
    <t>Gravelotte Rocky Bushveld</t>
  </si>
  <si>
    <t>Tzaneen Sour Bushveld</t>
  </si>
  <si>
    <t>Legogote Sour Bushveld</t>
  </si>
  <si>
    <t>Musina Mopane Bushveld</t>
  </si>
  <si>
    <t>Limpopo Ridge Bushveld</t>
  </si>
  <si>
    <t>Cathedral Mopane Bushveld</t>
  </si>
  <si>
    <t>Mopane Basalt Shrubland</t>
  </si>
  <si>
    <t>Tsende Mopaneveld</t>
  </si>
  <si>
    <t>Lowveld Rugged Mopaneveld</t>
  </si>
  <si>
    <t>Phalaborwa-Timbavati Mopaneveld</t>
  </si>
  <si>
    <t>Mopane Gabbro Shrubland</t>
  </si>
  <si>
    <t>Thukela Valley Bushveld</t>
  </si>
  <si>
    <t>Thukela Thornveld</t>
  </si>
  <si>
    <t>KwaZulu-Natal Hinterland Thornveld</t>
  </si>
  <si>
    <t>Ngongoni Veld</t>
  </si>
  <si>
    <t>KwaZulu-Natal Sandstone Sourveld</t>
  </si>
  <si>
    <t>Eastern Valley Bushveld</t>
  </si>
  <si>
    <t>Bhisho Thornveld</t>
  </si>
  <si>
    <t>South Eastern Coastal Thornveld</t>
  </si>
  <si>
    <t>MAPCODE18</t>
  </si>
  <si>
    <t>FS8</t>
  </si>
  <si>
    <t>Nat2018v18</t>
  </si>
  <si>
    <t>Tot2018v18</t>
  </si>
  <si>
    <t>pNat2018v18</t>
  </si>
  <si>
    <t xml:space="preserve">diff p nat </t>
  </si>
  <si>
    <t>%nat</t>
  </si>
  <si>
    <t>nat m2</t>
  </si>
  <si>
    <t>notnat m2</t>
  </si>
  <si>
    <t>nat km2</t>
  </si>
  <si>
    <t>tot km2</t>
  </si>
  <si>
    <t>area of type decreased in places with anthropogenic landuse</t>
  </si>
  <si>
    <t>type increased in size and gained some natural areas</t>
  </si>
  <si>
    <t>doubled in size gained some cultivated areas</t>
  </si>
  <si>
    <t xml:space="preserve">halved in size </t>
  </si>
  <si>
    <t>big size increase</t>
  </si>
  <si>
    <t>size increase gain cult areas</t>
  </si>
  <si>
    <t>decrease in size loss of cult areas</t>
  </si>
  <si>
    <t>increase in size gain nat area</t>
  </si>
  <si>
    <t>decrease in size loss of nat areas</t>
  </si>
  <si>
    <t>type decommissioned</t>
  </si>
  <si>
    <t>T_MAPCODE_v24beta</t>
  </si>
  <si>
    <t>NATURAL_v24beta</t>
  </si>
  <si>
    <t>NOT_NATURA_v24beta</t>
  </si>
  <si>
    <t>Nat2018v24beta</t>
  </si>
  <si>
    <t>Tot2018v24beta</t>
  </si>
  <si>
    <t>PcNat2018v24beta</t>
  </si>
  <si>
    <t>MAPCODE18v18</t>
  </si>
  <si>
    <t>NATURALv18</t>
  </si>
  <si>
    <t>NOT_NATURAv18</t>
  </si>
  <si>
    <t xml:space="preserve">comment </t>
  </si>
  <si>
    <t>decrease in size of type, drop in % nat</t>
  </si>
  <si>
    <t>decrease in size, loss of nat areas</t>
  </si>
  <si>
    <t>new</t>
  </si>
  <si>
    <t xml:space="preserve">increase in size gain cult areas (stays EN in RLE) </t>
  </si>
  <si>
    <t>big size decrease loss of cultivated areas, could go to VU from LC in RLE</t>
  </si>
  <si>
    <t>RLE2022</t>
  </si>
  <si>
    <t>RLE2021May</t>
  </si>
  <si>
    <t>LC</t>
  </si>
  <si>
    <t>CR</t>
  </si>
  <si>
    <t>EN</t>
  </si>
  <si>
    <t>VU</t>
  </si>
  <si>
    <t>big decrease in area more nat lost than cult (listed for other reasons than extent)</t>
  </si>
  <si>
    <t>area of type increased and gained natural extent, bit of an  issue for RLE as this is likley to go to VU from EN, though rate of loss might still means its EN</t>
  </si>
  <si>
    <t>lost some extent that was natural stll VU in RLE</t>
  </si>
  <si>
    <t xml:space="preserve">decrease in size loss of nat areas, no change  in RLE it will be  a bit more VU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</si>
</sst>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0000000"/>
    <numFmt numFmtId="167"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 fontId="0" fillId="0" borderId="0" xfId="0" applyNumberFormat="1"/>
    <xf numFmtId="164" fontId="0" fillId="0" borderId="0" xfId="0" applyNumberFormat="1"/>
    <xf numFmtId="1" fontId="14" fillId="0" borderId="0" xfId="0" applyNumberFormat="1" applyFont="1"/>
    <xf numFmtId="164" fontId="14" fillId="0" borderId="0" xfId="0" applyNumberFormat="1" applyFont="1"/>
    <xf numFmtId="0" fontId="14" fillId="0" borderId="0" xfId="0" applyFont="1"/>
    <xf numFmtId="9" fontId="0" fillId="0" borderId="0" xfId="2" applyFont="1"/>
    <xf numFmtId="9" fontId="0" fillId="0" borderId="0" xfId="0" applyNumberFormat="1"/>
    <xf numFmtId="0" fontId="0" fillId="33" borderId="0" xfId="0" applyFill="1"/>
    <xf numFmtId="0" fontId="0" fillId="34" borderId="0" xfId="0" applyFill="1"/>
    <xf numFmtId="9" fontId="0" fillId="34" borderId="0" xfId="2" applyFont="1" applyFill="1"/>
    <xf numFmtId="43" fontId="0" fillId="0" borderId="0" xfId="1" applyFont="1"/>
    <xf numFmtId="167" fontId="0" fillId="0" borderId="0" xfId="0" applyNumberFormat="1"/>
    <xf numFmtId="167" fontId="0" fillId="34" borderId="0" xfId="0" applyNumberFormat="1" applyFill="1"/>
    <xf numFmtId="1" fontId="0" fillId="0" borderId="0" xfId="0" applyNumberFormat="1" applyFill="1"/>
    <xf numFmtId="164" fontId="0" fillId="0" borderId="0" xfId="0" applyNumberFormat="1" applyFill="1"/>
    <xf numFmtId="0" fontId="0" fillId="0" borderId="0" xfId="0" applyFill="1"/>
    <xf numFmtId="43" fontId="0" fillId="0" borderId="0" xfId="1" applyFont="1" applyFill="1"/>
    <xf numFmtId="9" fontId="0" fillId="0" borderId="0" xfId="2" applyFont="1" applyFill="1"/>
    <xf numFmtId="9" fontId="0" fillId="0" borderId="0" xfId="0" applyNumberFormat="1" applyFill="1"/>
    <xf numFmtId="0" fontId="14" fillId="0" borderId="0" xfId="0" applyFont="1" applyFill="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65E6-6E35-4FAD-98F1-781BAA603B31}">
  <dimension ref="A1:P468"/>
  <sheetViews>
    <sheetView tabSelected="1" topLeftCell="F427" workbookViewId="0">
      <selection activeCell="P414" sqref="P414"/>
    </sheetView>
  </sheetViews>
  <sheetFormatPr defaultRowHeight="15" x14ac:dyDescent="0.25"/>
  <cols>
    <col min="1" max="1" width="11.5703125" style="1" bestFit="1" customWidth="1"/>
    <col min="2" max="3" width="24" style="2" bestFit="1" customWidth="1"/>
    <col min="5" max="5" width="13.7109375" customWidth="1"/>
    <col min="6" max="6" width="17.28515625" bestFit="1" customWidth="1"/>
    <col min="7" max="7" width="50.85546875" bestFit="1" customWidth="1"/>
    <col min="8" max="8" width="14.7109375" bestFit="1" customWidth="1"/>
    <col min="9" max="9" width="14.7109375" customWidth="1"/>
    <col min="10" max="10" width="12" bestFit="1" customWidth="1"/>
    <col min="14" max="14" width="12.140625" bestFit="1" customWidth="1"/>
    <col min="16" max="16" width="96.42578125" bestFit="1" customWidth="1"/>
  </cols>
  <sheetData>
    <row r="1" spans="1:16" x14ac:dyDescent="0.25">
      <c r="A1" s="1" t="s">
        <v>945</v>
      </c>
      <c r="B1" s="2" t="s">
        <v>946</v>
      </c>
      <c r="C1" s="2" t="s">
        <v>947</v>
      </c>
      <c r="D1" t="s">
        <v>948</v>
      </c>
      <c r="E1" t="s">
        <v>949</v>
      </c>
      <c r="F1" t="s">
        <v>950</v>
      </c>
      <c r="G1" t="s">
        <v>465</v>
      </c>
      <c r="H1" t="s">
        <v>951</v>
      </c>
      <c r="I1" t="s">
        <v>960</v>
      </c>
      <c r="J1" t="s">
        <v>952</v>
      </c>
      <c r="K1" t="s">
        <v>953</v>
      </c>
      <c r="L1" t="s">
        <v>926</v>
      </c>
      <c r="M1" t="s">
        <v>927</v>
      </c>
      <c r="N1" t="s">
        <v>928</v>
      </c>
      <c r="O1" t="s">
        <v>929</v>
      </c>
      <c r="P1" t="s">
        <v>954</v>
      </c>
    </row>
    <row r="2" spans="1:16" x14ac:dyDescent="0.25">
      <c r="A2" s="1" t="s">
        <v>213</v>
      </c>
      <c r="B2" s="2">
        <v>14595300</v>
      </c>
      <c r="C2" s="2">
        <v>18900</v>
      </c>
      <c r="D2">
        <f>B2/1000000</f>
        <v>14.5953</v>
      </c>
      <c r="E2" s="11">
        <f>(B2+C2)/1000000</f>
        <v>14.6142</v>
      </c>
      <c r="F2" s="6">
        <f>B2/(B2+C2)</f>
        <v>0.99870673728291659</v>
      </c>
      <c r="G2" t="s">
        <v>466</v>
      </c>
      <c r="H2" t="s">
        <v>213</v>
      </c>
      <c r="I2" t="str">
        <f>VLOOKUP(H2,Sheet2!$A$2:$B$459, 2, FALSE)</f>
        <v>LC</v>
      </c>
      <c r="J2">
        <v>14593500</v>
      </c>
      <c r="K2">
        <v>18900</v>
      </c>
      <c r="L2">
        <v>14.593500000000001</v>
      </c>
      <c r="M2">
        <v>14.612399999999999</v>
      </c>
      <c r="N2" s="6">
        <f>L2/M2</f>
        <v>0.99870657797487072</v>
      </c>
      <c r="O2" s="7">
        <f>N2-F2</f>
        <v>-1.5930804586616887E-7</v>
      </c>
    </row>
    <row r="3" spans="1:16" x14ac:dyDescent="0.25">
      <c r="A3" s="1" t="s">
        <v>214</v>
      </c>
      <c r="B3" s="2">
        <v>51284700</v>
      </c>
      <c r="C3" s="2">
        <v>2475900</v>
      </c>
      <c r="D3">
        <f t="shared" ref="D3:D66" si="0">B3/1000000</f>
        <v>51.284700000000001</v>
      </c>
      <c r="E3" s="11">
        <f t="shared" ref="E3:E66" si="1">(B3+C3)/1000000</f>
        <v>53.760599999999997</v>
      </c>
      <c r="F3" s="6">
        <f t="shared" ref="F3:F66" si="2">B3/(B3+C3)</f>
        <v>0.95394582649747217</v>
      </c>
      <c r="G3" t="s">
        <v>467</v>
      </c>
      <c r="H3" t="s">
        <v>214</v>
      </c>
      <c r="I3" t="str">
        <f>VLOOKUP(H3,Sheet2!$A$2:$B$459, 2, FALSE)</f>
        <v>LC</v>
      </c>
      <c r="J3">
        <v>51284700</v>
      </c>
      <c r="K3">
        <v>2475900</v>
      </c>
      <c r="L3">
        <v>51.284700000000001</v>
      </c>
      <c r="M3">
        <v>53.760599999999997</v>
      </c>
      <c r="N3" s="6">
        <f t="shared" ref="N3:N66" si="3">L3/M3</f>
        <v>0.95394582649747217</v>
      </c>
      <c r="O3" s="7">
        <f>N3-F3</f>
        <v>0</v>
      </c>
    </row>
    <row r="4" spans="1:16" x14ac:dyDescent="0.25">
      <c r="A4" s="1" t="s">
        <v>224</v>
      </c>
      <c r="B4" s="2">
        <v>579072600</v>
      </c>
      <c r="C4" s="2">
        <v>150138900</v>
      </c>
      <c r="D4">
        <f t="shared" si="0"/>
        <v>579.07259999999997</v>
      </c>
      <c r="E4" s="11">
        <f t="shared" si="1"/>
        <v>729.2115</v>
      </c>
      <c r="F4" s="6">
        <f t="shared" si="2"/>
        <v>0.79410788228106666</v>
      </c>
      <c r="G4" t="s">
        <v>468</v>
      </c>
      <c r="H4" t="s">
        <v>224</v>
      </c>
      <c r="I4" t="str">
        <f>VLOOKUP(H4,Sheet2!$A$2:$B$459, 2, FALSE)</f>
        <v>LC</v>
      </c>
      <c r="J4">
        <v>579081600</v>
      </c>
      <c r="K4">
        <v>150135300</v>
      </c>
      <c r="L4">
        <v>579.08159999999998</v>
      </c>
      <c r="M4">
        <v>729.21690000000001</v>
      </c>
      <c r="N4" s="6">
        <f t="shared" si="3"/>
        <v>0.79411434375698087</v>
      </c>
      <c r="O4" s="7">
        <f>N4-F4</f>
        <v>6.4614759142100908E-6</v>
      </c>
    </row>
    <row r="5" spans="1:16" x14ac:dyDescent="0.25">
      <c r="A5" s="1" t="s">
        <v>211</v>
      </c>
      <c r="B5" s="2">
        <v>1038102300</v>
      </c>
      <c r="C5" s="2">
        <v>137548800</v>
      </c>
      <c r="D5">
        <f t="shared" si="0"/>
        <v>1038.1023</v>
      </c>
      <c r="E5" s="11">
        <f t="shared" si="1"/>
        <v>1175.6511</v>
      </c>
      <c r="F5" s="6">
        <f t="shared" si="2"/>
        <v>0.88300202330436295</v>
      </c>
      <c r="G5" t="s">
        <v>469</v>
      </c>
      <c r="H5" t="s">
        <v>211</v>
      </c>
      <c r="I5" t="str">
        <f>VLOOKUP(H5,Sheet2!$A$2:$B$459, 2, FALSE)</f>
        <v>LC</v>
      </c>
      <c r="J5">
        <v>1038104100</v>
      </c>
      <c r="K5">
        <v>137548800</v>
      </c>
      <c r="L5">
        <v>1038.1041</v>
      </c>
      <c r="M5">
        <v>1175.6529</v>
      </c>
      <c r="N5" s="6">
        <f t="shared" si="3"/>
        <v>0.88300220243576988</v>
      </c>
      <c r="O5" s="7">
        <f>N5-F5</f>
        <v>1.7913140692993323E-7</v>
      </c>
    </row>
    <row r="6" spans="1:16" x14ac:dyDescent="0.25">
      <c r="A6" s="1" t="s">
        <v>13</v>
      </c>
      <c r="B6" s="2">
        <v>1062972000</v>
      </c>
      <c r="C6" s="2">
        <v>14873400</v>
      </c>
      <c r="D6">
        <f t="shared" si="0"/>
        <v>1062.972</v>
      </c>
      <c r="E6" s="11">
        <f t="shared" si="1"/>
        <v>1077.8453999999999</v>
      </c>
      <c r="F6" s="6">
        <f t="shared" si="2"/>
        <v>0.98620080393718801</v>
      </c>
      <c r="G6" t="s">
        <v>470</v>
      </c>
      <c r="H6" t="s">
        <v>13</v>
      </c>
      <c r="I6" t="str">
        <f>VLOOKUP(H6,Sheet2!$A$2:$B$459, 2, FALSE)</f>
        <v>LC</v>
      </c>
      <c r="J6">
        <v>1062635400</v>
      </c>
      <c r="K6">
        <v>14873400</v>
      </c>
      <c r="L6">
        <v>1062.6353999999999</v>
      </c>
      <c r="M6">
        <v>1077.5088000000001</v>
      </c>
      <c r="N6" s="6">
        <f t="shared" si="3"/>
        <v>0.98619649324441694</v>
      </c>
      <c r="O6" s="7">
        <f>N6-F6</f>
        <v>-4.3106927710701015E-6</v>
      </c>
    </row>
    <row r="7" spans="1:16" x14ac:dyDescent="0.25">
      <c r="A7" s="1" t="s">
        <v>225</v>
      </c>
      <c r="B7" s="2">
        <v>20179800</v>
      </c>
      <c r="C7" s="2">
        <v>15348600</v>
      </c>
      <c r="D7">
        <f t="shared" si="0"/>
        <v>20.1798</v>
      </c>
      <c r="E7" s="11">
        <f t="shared" si="1"/>
        <v>35.528399999999998</v>
      </c>
      <c r="F7" s="6">
        <f t="shared" si="2"/>
        <v>0.56799067788023105</v>
      </c>
      <c r="G7" t="s">
        <v>471</v>
      </c>
      <c r="H7" t="s">
        <v>225</v>
      </c>
      <c r="I7" t="str">
        <f>VLOOKUP(H7,Sheet2!$A$2:$B$459, 2, FALSE)</f>
        <v>LC</v>
      </c>
      <c r="J7">
        <v>20180700</v>
      </c>
      <c r="K7">
        <v>15348600</v>
      </c>
      <c r="L7">
        <v>20.180700000000002</v>
      </c>
      <c r="M7">
        <v>35.529299999999999</v>
      </c>
      <c r="N7" s="6">
        <f t="shared" si="3"/>
        <v>0.56800162119715281</v>
      </c>
      <c r="O7" s="7">
        <f>N7-F7</f>
        <v>1.09433169217521E-5</v>
      </c>
    </row>
    <row r="8" spans="1:16" x14ac:dyDescent="0.25">
      <c r="A8" s="1" t="s">
        <v>205</v>
      </c>
      <c r="B8" s="2">
        <v>312208200</v>
      </c>
      <c r="C8" s="2">
        <v>74132100</v>
      </c>
      <c r="D8">
        <f t="shared" si="0"/>
        <v>312.20819999999998</v>
      </c>
      <c r="E8" s="11">
        <f t="shared" si="1"/>
        <v>386.34030000000001</v>
      </c>
      <c r="F8" s="6">
        <f t="shared" si="2"/>
        <v>0.80811709262533571</v>
      </c>
      <c r="G8" t="s">
        <v>472</v>
      </c>
      <c r="H8" t="s">
        <v>205</v>
      </c>
      <c r="I8" t="str">
        <f>VLOOKUP(H8,Sheet2!$A$2:$B$459, 2, FALSE)</f>
        <v>LC</v>
      </c>
      <c r="J8">
        <v>312210900</v>
      </c>
      <c r="K8">
        <v>74131200</v>
      </c>
      <c r="L8">
        <v>312.21089999999998</v>
      </c>
      <c r="M8">
        <v>386.34210000000002</v>
      </c>
      <c r="N8" s="6">
        <f t="shared" si="3"/>
        <v>0.80812031616538804</v>
      </c>
      <c r="O8" s="7">
        <f>N8-F8</f>
        <v>3.2235400523328295E-6</v>
      </c>
    </row>
    <row r="9" spans="1:16" x14ac:dyDescent="0.25">
      <c r="A9" s="1" t="s">
        <v>215</v>
      </c>
      <c r="B9" s="2">
        <v>94256100</v>
      </c>
      <c r="C9" s="2">
        <v>121205700</v>
      </c>
      <c r="D9">
        <f t="shared" si="0"/>
        <v>94.256100000000004</v>
      </c>
      <c r="E9" s="11">
        <f t="shared" si="1"/>
        <v>215.46180000000001</v>
      </c>
      <c r="F9" s="6">
        <f t="shared" si="2"/>
        <v>0.43746083992614931</v>
      </c>
      <c r="G9" t="s">
        <v>473</v>
      </c>
      <c r="H9" t="s">
        <v>215</v>
      </c>
      <c r="I9" t="str">
        <f>VLOOKUP(H9,Sheet2!$A$2:$B$459, 2, FALSE)</f>
        <v>CR</v>
      </c>
      <c r="J9">
        <v>94257000</v>
      </c>
      <c r="K9">
        <v>121207500</v>
      </c>
      <c r="L9">
        <v>94.257000000000005</v>
      </c>
      <c r="M9">
        <v>215.46449999999999</v>
      </c>
      <c r="N9" s="6">
        <f t="shared" si="3"/>
        <v>0.43745953509742908</v>
      </c>
      <c r="O9" s="7">
        <f>N9-F9</f>
        <v>-1.3048287202388487E-6</v>
      </c>
    </row>
    <row r="10" spans="1:16" x14ac:dyDescent="0.25">
      <c r="A10" s="1" t="s">
        <v>216</v>
      </c>
      <c r="B10" s="2">
        <v>269073900</v>
      </c>
      <c r="C10" s="2">
        <v>42062400</v>
      </c>
      <c r="D10">
        <f t="shared" si="0"/>
        <v>269.07389999999998</v>
      </c>
      <c r="E10" s="11">
        <f t="shared" si="1"/>
        <v>311.13630000000001</v>
      </c>
      <c r="F10" s="6">
        <f t="shared" si="2"/>
        <v>0.86481037410292527</v>
      </c>
      <c r="G10" t="s">
        <v>474</v>
      </c>
      <c r="H10" t="s">
        <v>216</v>
      </c>
      <c r="I10" t="str">
        <f>VLOOKUP(H10,Sheet2!$A$2:$B$459, 2, FALSE)</f>
        <v>LC</v>
      </c>
      <c r="J10">
        <v>269076600</v>
      </c>
      <c r="K10">
        <v>42062400</v>
      </c>
      <c r="L10">
        <v>269.07659999999998</v>
      </c>
      <c r="M10">
        <v>311.13900000000001</v>
      </c>
      <c r="N10" s="6">
        <f t="shared" si="3"/>
        <v>0.86481154725058562</v>
      </c>
      <c r="O10" s="7">
        <f>N10-F10</f>
        <v>1.1731476603493718E-6</v>
      </c>
    </row>
    <row r="11" spans="1:16" x14ac:dyDescent="0.25">
      <c r="A11" s="1" t="s">
        <v>212</v>
      </c>
      <c r="B11" s="2">
        <v>2605178700</v>
      </c>
      <c r="C11" s="2">
        <v>370825200</v>
      </c>
      <c r="D11">
        <f t="shared" si="0"/>
        <v>2605.1786999999999</v>
      </c>
      <c r="E11" s="11">
        <f t="shared" si="1"/>
        <v>2976.0039000000002</v>
      </c>
      <c r="F11" s="6">
        <f t="shared" si="2"/>
        <v>0.87539492135746189</v>
      </c>
      <c r="G11" t="s">
        <v>475</v>
      </c>
      <c r="H11" t="s">
        <v>212</v>
      </c>
      <c r="I11" t="str">
        <f>VLOOKUP(H11,Sheet2!$A$2:$B$459, 2, FALSE)</f>
        <v>LC</v>
      </c>
      <c r="J11">
        <v>2605095000</v>
      </c>
      <c r="K11">
        <v>370824300</v>
      </c>
      <c r="L11">
        <v>2605.0949999999998</v>
      </c>
      <c r="M11">
        <v>2975.9193</v>
      </c>
      <c r="N11" s="6">
        <f t="shared" si="3"/>
        <v>0.87539168148813706</v>
      </c>
      <c r="O11" s="7">
        <f>N11-F11</f>
        <v>-3.2398693248225641E-6</v>
      </c>
    </row>
    <row r="12" spans="1:16" x14ac:dyDescent="0.25">
      <c r="A12" s="1" t="s">
        <v>14</v>
      </c>
      <c r="B12" s="2">
        <v>2113814700</v>
      </c>
      <c r="C12" s="2">
        <v>15148800</v>
      </c>
      <c r="D12">
        <f t="shared" si="0"/>
        <v>2113.8146999999999</v>
      </c>
      <c r="E12" s="11">
        <f t="shared" si="1"/>
        <v>2128.9634999999998</v>
      </c>
      <c r="F12" s="6">
        <f t="shared" si="2"/>
        <v>0.99288442474471728</v>
      </c>
      <c r="G12" t="s">
        <v>476</v>
      </c>
      <c r="H12" t="s">
        <v>14</v>
      </c>
      <c r="I12" t="str">
        <f>VLOOKUP(H12,Sheet2!$A$2:$B$459, 2, FALSE)</f>
        <v>LC</v>
      </c>
      <c r="J12">
        <v>2113818300</v>
      </c>
      <c r="K12">
        <v>15148800</v>
      </c>
      <c r="L12">
        <v>2113.8182999999999</v>
      </c>
      <c r="M12">
        <v>2128.9670999999998</v>
      </c>
      <c r="N12" s="6">
        <f t="shared" si="3"/>
        <v>0.99288443677687643</v>
      </c>
      <c r="O12" s="7">
        <f>N12-F12</f>
        <v>1.2032159157904232E-8</v>
      </c>
    </row>
    <row r="13" spans="1:16" x14ac:dyDescent="0.25">
      <c r="A13" s="1" t="s">
        <v>23</v>
      </c>
      <c r="B13" s="2">
        <v>30345300</v>
      </c>
      <c r="C13" s="2">
        <v>10122300</v>
      </c>
      <c r="D13">
        <f t="shared" si="0"/>
        <v>30.345300000000002</v>
      </c>
      <c r="E13" s="11">
        <f t="shared" si="1"/>
        <v>40.467599999999997</v>
      </c>
      <c r="F13" s="6">
        <f t="shared" si="2"/>
        <v>0.74986655991459839</v>
      </c>
      <c r="G13" t="s">
        <v>477</v>
      </c>
      <c r="H13" t="s">
        <v>23</v>
      </c>
      <c r="I13" t="str">
        <f>VLOOKUP(H13,Sheet2!$A$2:$B$459, 2, FALSE)</f>
        <v>LC</v>
      </c>
      <c r="J13">
        <v>30347100</v>
      </c>
      <c r="K13">
        <v>10121400</v>
      </c>
      <c r="L13">
        <v>30.347100000000001</v>
      </c>
      <c r="M13">
        <v>40.468499999999999</v>
      </c>
      <c r="N13" s="6">
        <f t="shared" si="3"/>
        <v>0.74989436228177475</v>
      </c>
      <c r="O13" s="7">
        <f>N13-F13</f>
        <v>2.7802367176366083E-5</v>
      </c>
    </row>
    <row r="14" spans="1:16" x14ac:dyDescent="0.25">
      <c r="A14" s="1" t="s">
        <v>15</v>
      </c>
      <c r="B14" s="2">
        <v>1232270100</v>
      </c>
      <c r="C14" s="2">
        <v>7652700</v>
      </c>
      <c r="D14">
        <f t="shared" si="0"/>
        <v>1232.2701</v>
      </c>
      <c r="E14" s="11">
        <f t="shared" si="1"/>
        <v>1239.9228000000001</v>
      </c>
      <c r="F14" s="6">
        <f t="shared" si="2"/>
        <v>0.99382808349035923</v>
      </c>
      <c r="G14" t="s">
        <v>478</v>
      </c>
      <c r="H14" t="s">
        <v>15</v>
      </c>
      <c r="I14" t="str">
        <f>VLOOKUP(H14,Sheet2!$A$2:$B$459, 2, FALSE)</f>
        <v>LC</v>
      </c>
      <c r="J14">
        <v>1232269200</v>
      </c>
      <c r="K14">
        <v>7652700</v>
      </c>
      <c r="L14">
        <v>1232.2692</v>
      </c>
      <c r="M14">
        <v>1239.9219000000001</v>
      </c>
      <c r="N14" s="6">
        <f t="shared" si="3"/>
        <v>0.99382807901046022</v>
      </c>
      <c r="O14" s="7">
        <f>N14-F14</f>
        <v>-4.4798990073147138E-9</v>
      </c>
    </row>
    <row r="15" spans="1:16" x14ac:dyDescent="0.25">
      <c r="A15" s="1" t="s">
        <v>217</v>
      </c>
      <c r="B15" s="2">
        <v>910017900</v>
      </c>
      <c r="C15" s="2">
        <v>120508200</v>
      </c>
      <c r="D15">
        <f t="shared" si="0"/>
        <v>910.01790000000005</v>
      </c>
      <c r="E15" s="11">
        <f t="shared" si="1"/>
        <v>1030.5261</v>
      </c>
      <c r="F15" s="6">
        <f t="shared" si="2"/>
        <v>0.8830614770455596</v>
      </c>
      <c r="G15" t="s">
        <v>479</v>
      </c>
      <c r="H15" t="s">
        <v>217</v>
      </c>
      <c r="I15" t="str">
        <f>VLOOKUP(H15,Sheet2!$A$2:$B$459, 2, FALSE)</f>
        <v>LC</v>
      </c>
      <c r="J15">
        <v>910008900</v>
      </c>
      <c r="K15">
        <v>120508200</v>
      </c>
      <c r="L15">
        <v>910.00890000000004</v>
      </c>
      <c r="M15">
        <v>1030.5171</v>
      </c>
      <c r="N15" s="6">
        <f t="shared" si="3"/>
        <v>0.88306045576536285</v>
      </c>
      <c r="O15" s="7">
        <f>N15-F15</f>
        <v>-1.0212801967446339E-6</v>
      </c>
    </row>
    <row r="16" spans="1:16" x14ac:dyDescent="0.25">
      <c r="A16" s="1" t="s">
        <v>16</v>
      </c>
      <c r="B16" s="2">
        <v>769233600</v>
      </c>
      <c r="C16" s="2">
        <v>15394500</v>
      </c>
      <c r="D16">
        <f t="shared" si="0"/>
        <v>769.23360000000002</v>
      </c>
      <c r="E16" s="11">
        <f t="shared" si="1"/>
        <v>784.62810000000002</v>
      </c>
      <c r="F16" s="6">
        <f t="shared" si="2"/>
        <v>0.98037987678493799</v>
      </c>
      <c r="G16" t="s">
        <v>480</v>
      </c>
      <c r="H16" t="s">
        <v>16</v>
      </c>
      <c r="I16" t="str">
        <f>VLOOKUP(H16,Sheet2!$A$2:$B$459, 2, FALSE)</f>
        <v>LC</v>
      </c>
      <c r="J16">
        <v>769232700</v>
      </c>
      <c r="K16">
        <v>15394500</v>
      </c>
      <c r="L16">
        <v>769.23270000000002</v>
      </c>
      <c r="M16">
        <v>784.62720000000002</v>
      </c>
      <c r="N16" s="6">
        <f t="shared" si="3"/>
        <v>0.98037985427984142</v>
      </c>
      <c r="O16" s="7">
        <f>N16-F16</f>
        <v>-2.250509656409605E-8</v>
      </c>
    </row>
    <row r="17" spans="1:16" x14ac:dyDescent="0.25">
      <c r="A17" s="1" t="s">
        <v>218</v>
      </c>
      <c r="B17" s="2">
        <v>627817500</v>
      </c>
      <c r="C17" s="2">
        <v>46201500</v>
      </c>
      <c r="D17">
        <f t="shared" si="0"/>
        <v>627.8175</v>
      </c>
      <c r="E17" s="11">
        <f t="shared" si="1"/>
        <v>674.01900000000001</v>
      </c>
      <c r="F17" s="6">
        <f t="shared" si="2"/>
        <v>0.93145371272916644</v>
      </c>
      <c r="G17" t="s">
        <v>481</v>
      </c>
      <c r="H17" t="s">
        <v>218</v>
      </c>
      <c r="I17" t="str">
        <f>VLOOKUP(H17,Sheet2!$A$2:$B$459, 2, FALSE)</f>
        <v>LC</v>
      </c>
      <c r="J17">
        <v>627819300</v>
      </c>
      <c r="K17">
        <v>46201500</v>
      </c>
      <c r="L17">
        <v>627.8193</v>
      </c>
      <c r="M17">
        <v>674.02080000000001</v>
      </c>
      <c r="N17" s="6">
        <f t="shared" si="3"/>
        <v>0.93145389578481852</v>
      </c>
      <c r="O17" s="7">
        <f>N17-F17</f>
        <v>1.8305565208098784E-7</v>
      </c>
    </row>
    <row r="18" spans="1:16" x14ac:dyDescent="0.25">
      <c r="A18" s="1" t="s">
        <v>206</v>
      </c>
      <c r="B18" s="2">
        <v>210778200</v>
      </c>
      <c r="C18" s="2">
        <v>30116700</v>
      </c>
      <c r="D18">
        <f t="shared" si="0"/>
        <v>210.7782</v>
      </c>
      <c r="E18" s="11">
        <f t="shared" si="1"/>
        <v>240.89490000000001</v>
      </c>
      <c r="F18" s="6">
        <f t="shared" si="2"/>
        <v>0.87497991862841429</v>
      </c>
      <c r="G18" t="s">
        <v>482</v>
      </c>
      <c r="H18" t="s">
        <v>206</v>
      </c>
      <c r="I18" t="str">
        <f>VLOOKUP(H18,Sheet2!$A$2:$B$459, 2, FALSE)</f>
        <v>LC</v>
      </c>
      <c r="J18">
        <v>211245300</v>
      </c>
      <c r="K18">
        <v>30124800</v>
      </c>
      <c r="L18">
        <v>211.24529999999999</v>
      </c>
      <c r="M18">
        <v>241.37010000000001</v>
      </c>
      <c r="N18" s="6">
        <f t="shared" si="3"/>
        <v>0.87519249484505324</v>
      </c>
      <c r="O18" s="7">
        <f>N18-F18</f>
        <v>2.1257621663894888E-4</v>
      </c>
    </row>
    <row r="19" spans="1:16" x14ac:dyDescent="0.25">
      <c r="A19" s="1" t="s">
        <v>219</v>
      </c>
      <c r="B19" s="2">
        <v>3457945800</v>
      </c>
      <c r="C19" s="2">
        <v>138360600</v>
      </c>
      <c r="D19">
        <f t="shared" si="0"/>
        <v>3457.9458</v>
      </c>
      <c r="E19" s="11">
        <f t="shared" si="1"/>
        <v>3596.3063999999999</v>
      </c>
      <c r="F19" s="6">
        <f t="shared" si="2"/>
        <v>0.96152702672942436</v>
      </c>
      <c r="G19" t="s">
        <v>483</v>
      </c>
      <c r="H19" t="s">
        <v>219</v>
      </c>
      <c r="I19" t="str">
        <f>VLOOKUP(H19,Sheet2!$A$2:$B$459, 2, FALSE)</f>
        <v>LC</v>
      </c>
      <c r="J19">
        <v>3457953000</v>
      </c>
      <c r="K19">
        <v>138360600</v>
      </c>
      <c r="L19">
        <v>3457.953</v>
      </c>
      <c r="M19">
        <v>3596.3136</v>
      </c>
      <c r="N19" s="6">
        <f t="shared" si="3"/>
        <v>0.96152710375424433</v>
      </c>
      <c r="O19" s="7">
        <f>N19-F19</f>
        <v>7.7024819966631242E-8</v>
      </c>
    </row>
    <row r="20" spans="1:16" x14ac:dyDescent="0.25">
      <c r="A20" s="1" t="s">
        <v>17</v>
      </c>
      <c r="B20" s="2">
        <v>484970400</v>
      </c>
      <c r="C20" s="2">
        <v>6902100</v>
      </c>
      <c r="D20">
        <f t="shared" si="0"/>
        <v>484.97039999999998</v>
      </c>
      <c r="E20" s="11">
        <f t="shared" si="1"/>
        <v>491.8725</v>
      </c>
      <c r="F20" s="6">
        <f t="shared" si="2"/>
        <v>0.9859677050455149</v>
      </c>
      <c r="G20" t="s">
        <v>484</v>
      </c>
      <c r="H20" t="s">
        <v>17</v>
      </c>
      <c r="I20" t="str">
        <f>VLOOKUP(H20,Sheet2!$A$2:$B$459, 2, FALSE)</f>
        <v>LC</v>
      </c>
      <c r="J20">
        <v>484975800</v>
      </c>
      <c r="K20">
        <v>6902100</v>
      </c>
      <c r="L20">
        <v>484.97579999999999</v>
      </c>
      <c r="M20">
        <v>491.87790000000001</v>
      </c>
      <c r="N20" s="6">
        <f t="shared" si="3"/>
        <v>0.98596785909673923</v>
      </c>
      <c r="O20" s="7">
        <f>N20-F20</f>
        <v>1.5405122433254093E-7</v>
      </c>
    </row>
    <row r="21" spans="1:16" x14ac:dyDescent="0.25">
      <c r="A21" s="1" t="s">
        <v>1</v>
      </c>
      <c r="B21" s="2">
        <v>161895600</v>
      </c>
      <c r="C21" s="2">
        <v>5643000</v>
      </c>
      <c r="D21">
        <f t="shared" si="0"/>
        <v>161.8956</v>
      </c>
      <c r="E21" s="11">
        <f t="shared" si="1"/>
        <v>167.5386</v>
      </c>
      <c r="F21" s="6">
        <f t="shared" si="2"/>
        <v>0.96631820965437221</v>
      </c>
      <c r="G21" t="s">
        <v>485</v>
      </c>
      <c r="H21" t="s">
        <v>1</v>
      </c>
      <c r="I21" t="str">
        <f>VLOOKUP(H21,Sheet2!$A$2:$B$459, 2, FALSE)</f>
        <v>LC</v>
      </c>
      <c r="J21">
        <v>161896500</v>
      </c>
      <c r="K21">
        <v>5643000</v>
      </c>
      <c r="L21">
        <v>161.8965</v>
      </c>
      <c r="M21">
        <v>167.5395</v>
      </c>
      <c r="N21" s="6">
        <f t="shared" si="3"/>
        <v>0.96631839058848812</v>
      </c>
      <c r="O21" s="7">
        <f>N21-F21</f>
        <v>1.8093411591202369E-7</v>
      </c>
    </row>
    <row r="22" spans="1:16" x14ac:dyDescent="0.25">
      <c r="A22" s="1" t="s">
        <v>220</v>
      </c>
      <c r="B22" s="2">
        <v>18552600</v>
      </c>
      <c r="C22" s="2">
        <v>11601900</v>
      </c>
      <c r="D22">
        <f t="shared" si="0"/>
        <v>18.552600000000002</v>
      </c>
      <c r="E22" s="11">
        <f t="shared" si="1"/>
        <v>30.154499999999999</v>
      </c>
      <c r="F22" s="6">
        <f t="shared" si="2"/>
        <v>0.61525145500671541</v>
      </c>
      <c r="G22" t="s">
        <v>486</v>
      </c>
      <c r="H22" t="s">
        <v>220</v>
      </c>
      <c r="I22" t="str">
        <f>VLOOKUP(H22,Sheet2!$A$2:$B$459, 2, FALSE)</f>
        <v>LC</v>
      </c>
      <c r="J22">
        <v>18552600</v>
      </c>
      <c r="K22">
        <v>11601900</v>
      </c>
      <c r="L22">
        <v>18.552600000000002</v>
      </c>
      <c r="M22">
        <v>30.154499999999999</v>
      </c>
      <c r="N22" s="6">
        <f t="shared" si="3"/>
        <v>0.61525145500671552</v>
      </c>
      <c r="O22" s="7">
        <f>N22-F22</f>
        <v>0</v>
      </c>
    </row>
    <row r="23" spans="1:16" s="16" customFormat="1" x14ac:dyDescent="0.25">
      <c r="A23" s="14" t="s">
        <v>4</v>
      </c>
      <c r="B23" s="15">
        <v>30100500</v>
      </c>
      <c r="C23" s="15">
        <v>21305700</v>
      </c>
      <c r="D23" s="16">
        <f t="shared" si="0"/>
        <v>30.1005</v>
      </c>
      <c r="E23" s="17">
        <f t="shared" si="1"/>
        <v>51.406199999999998</v>
      </c>
      <c r="F23" s="18">
        <f t="shared" si="2"/>
        <v>0.58554221086172487</v>
      </c>
      <c r="G23" s="16" t="s">
        <v>487</v>
      </c>
      <c r="H23" s="16" t="s">
        <v>4</v>
      </c>
      <c r="I23" t="str">
        <f>VLOOKUP(H23,Sheet2!$A$2:$B$459, 2, FALSE)</f>
        <v>LC</v>
      </c>
      <c r="J23" s="16">
        <v>64710900</v>
      </c>
      <c r="K23" s="16">
        <v>27067500</v>
      </c>
      <c r="L23" s="16">
        <v>64.710899999999995</v>
      </c>
      <c r="M23" s="16">
        <v>91.778400000000005</v>
      </c>
      <c r="N23" s="18">
        <f t="shared" si="3"/>
        <v>0.70507766533301941</v>
      </c>
      <c r="O23" s="19">
        <f>N23-F23</f>
        <v>0.11953545447129454</v>
      </c>
      <c r="P23" s="16" t="s">
        <v>955</v>
      </c>
    </row>
    <row r="24" spans="1:16" s="16" customFormat="1" x14ac:dyDescent="0.25">
      <c r="A24" s="14" t="s">
        <v>24</v>
      </c>
      <c r="B24" s="15">
        <v>107244900</v>
      </c>
      <c r="C24" s="15">
        <v>69426900</v>
      </c>
      <c r="D24" s="16">
        <f t="shared" si="0"/>
        <v>107.2449</v>
      </c>
      <c r="E24" s="17">
        <f t="shared" si="1"/>
        <v>176.67179999999999</v>
      </c>
      <c r="F24" s="18">
        <f t="shared" si="2"/>
        <v>0.60702896557345309</v>
      </c>
      <c r="G24" s="16" t="s">
        <v>488</v>
      </c>
      <c r="H24" s="16" t="s">
        <v>24</v>
      </c>
      <c r="I24" t="str">
        <f>VLOOKUP(H24,Sheet2!$A$2:$B$459, 2, FALSE)</f>
        <v>CR</v>
      </c>
      <c r="J24" s="16">
        <v>107375400</v>
      </c>
      <c r="K24" s="16">
        <v>69479100</v>
      </c>
      <c r="L24" s="16">
        <v>107.3754</v>
      </c>
      <c r="M24" s="16">
        <v>176.8545</v>
      </c>
      <c r="N24" s="18">
        <f t="shared" si="3"/>
        <v>0.60713976743594311</v>
      </c>
      <c r="O24" s="19">
        <f>N24-F24</f>
        <v>1.1080186249001756E-4</v>
      </c>
    </row>
    <row r="25" spans="1:16" s="16" customFormat="1" x14ac:dyDescent="0.25">
      <c r="A25" s="14" t="s">
        <v>207</v>
      </c>
      <c r="B25" s="15">
        <v>857895300</v>
      </c>
      <c r="C25" s="15">
        <v>432946800</v>
      </c>
      <c r="D25" s="16">
        <f t="shared" si="0"/>
        <v>857.89530000000002</v>
      </c>
      <c r="E25" s="17">
        <f t="shared" si="1"/>
        <v>1290.8421000000001</v>
      </c>
      <c r="F25" s="18">
        <f t="shared" si="2"/>
        <v>0.66460127075186037</v>
      </c>
      <c r="G25" s="16" t="s">
        <v>489</v>
      </c>
      <c r="H25" s="16" t="s">
        <v>207</v>
      </c>
      <c r="I25" t="str">
        <f>VLOOKUP(H25,Sheet2!$A$2:$B$459, 2, FALSE)</f>
        <v>LC</v>
      </c>
      <c r="J25" s="16">
        <v>857892600</v>
      </c>
      <c r="K25" s="16">
        <v>432952200</v>
      </c>
      <c r="L25" s="16">
        <v>857.89260000000002</v>
      </c>
      <c r="M25" s="16">
        <v>1290.8448000000001</v>
      </c>
      <c r="N25" s="18">
        <f t="shared" si="3"/>
        <v>0.66459778898284283</v>
      </c>
      <c r="O25" s="19">
        <f>N25-F25</f>
        <v>-3.4817690175437122E-6</v>
      </c>
    </row>
    <row r="26" spans="1:16" s="16" customFormat="1" x14ac:dyDescent="0.25">
      <c r="A26" s="14" t="s">
        <v>226</v>
      </c>
      <c r="B26" s="15">
        <v>220023900</v>
      </c>
      <c r="C26" s="15">
        <v>25822800</v>
      </c>
      <c r="D26" s="16">
        <f t="shared" si="0"/>
        <v>220.0239</v>
      </c>
      <c r="E26" s="17">
        <f t="shared" si="1"/>
        <v>245.8467</v>
      </c>
      <c r="F26" s="18">
        <f t="shared" si="2"/>
        <v>0.8949638128150591</v>
      </c>
      <c r="G26" s="16" t="s">
        <v>490</v>
      </c>
      <c r="H26" s="16" t="s">
        <v>226</v>
      </c>
      <c r="I26" t="str">
        <f>VLOOKUP(H26,Sheet2!$A$2:$B$459, 2, FALSE)</f>
        <v>LC</v>
      </c>
      <c r="J26" s="16">
        <v>220021200</v>
      </c>
      <c r="K26" s="16">
        <v>25821900</v>
      </c>
      <c r="L26" s="16">
        <v>220.02119999999999</v>
      </c>
      <c r="M26" s="16">
        <v>245.84309999999999</v>
      </c>
      <c r="N26" s="18">
        <f t="shared" si="3"/>
        <v>0.89496593559062665</v>
      </c>
      <c r="O26" s="19">
        <f>N26-F26</f>
        <v>2.1227755675479187E-6</v>
      </c>
    </row>
    <row r="27" spans="1:16" s="16" customFormat="1" x14ac:dyDescent="0.25">
      <c r="A27" s="14" t="s">
        <v>6</v>
      </c>
      <c r="B27" s="15">
        <v>467093700</v>
      </c>
      <c r="C27" s="15">
        <v>129210300</v>
      </c>
      <c r="D27" s="16">
        <f t="shared" si="0"/>
        <v>467.09370000000001</v>
      </c>
      <c r="E27" s="17">
        <f t="shared" si="1"/>
        <v>596.30399999999997</v>
      </c>
      <c r="F27" s="18">
        <f t="shared" si="2"/>
        <v>0.78331471866698865</v>
      </c>
      <c r="G27" s="16" t="s">
        <v>491</v>
      </c>
      <c r="H27" s="16" t="s">
        <v>6</v>
      </c>
      <c r="I27" t="str">
        <f>VLOOKUP(H27,Sheet2!$A$2:$B$459, 2, FALSE)</f>
        <v>EN</v>
      </c>
      <c r="J27" s="16">
        <v>516087900</v>
      </c>
      <c r="K27" s="16">
        <v>134748900</v>
      </c>
      <c r="L27" s="16">
        <v>516.08789999999999</v>
      </c>
      <c r="M27" s="16">
        <v>650.83680000000004</v>
      </c>
      <c r="N27" s="18">
        <f t="shared" si="3"/>
        <v>0.79296053941633293</v>
      </c>
      <c r="O27" s="19">
        <f>N27-F27</f>
        <v>9.6458207493442805E-3</v>
      </c>
    </row>
    <row r="28" spans="1:16" s="16" customFormat="1" x14ac:dyDescent="0.25">
      <c r="A28" s="14" t="s">
        <v>209</v>
      </c>
      <c r="B28" s="15">
        <v>209875500</v>
      </c>
      <c r="C28" s="15">
        <v>97653600</v>
      </c>
      <c r="D28" s="16">
        <f t="shared" si="0"/>
        <v>209.87549999999999</v>
      </c>
      <c r="E28" s="17">
        <f t="shared" si="1"/>
        <v>307.52910000000003</v>
      </c>
      <c r="F28" s="18">
        <f t="shared" si="2"/>
        <v>0.68245736744912922</v>
      </c>
      <c r="G28" s="16" t="s">
        <v>492</v>
      </c>
      <c r="H28" s="16" t="s">
        <v>209</v>
      </c>
      <c r="I28" t="str">
        <f>VLOOKUP(H28,Sheet2!$A$2:$B$459, 2, FALSE)</f>
        <v>LC</v>
      </c>
      <c r="J28" s="16">
        <v>209864700</v>
      </c>
      <c r="K28" s="16">
        <v>97654500</v>
      </c>
      <c r="L28" s="16">
        <v>209.8647</v>
      </c>
      <c r="M28" s="16">
        <v>307.51920000000001</v>
      </c>
      <c r="N28" s="18">
        <f t="shared" si="3"/>
        <v>0.68244421811711264</v>
      </c>
      <c r="O28" s="19">
        <f>N28-F28</f>
        <v>-1.314933201657098E-5</v>
      </c>
    </row>
    <row r="29" spans="1:16" s="16" customFormat="1" x14ac:dyDescent="0.25">
      <c r="A29" s="14" t="s">
        <v>221</v>
      </c>
      <c r="B29" s="15">
        <v>53350200</v>
      </c>
      <c r="C29" s="15">
        <v>6502500</v>
      </c>
      <c r="D29" s="16">
        <f t="shared" si="0"/>
        <v>53.350200000000001</v>
      </c>
      <c r="E29" s="17">
        <f t="shared" si="1"/>
        <v>59.852699999999999</v>
      </c>
      <c r="F29" s="18">
        <f t="shared" si="2"/>
        <v>0.89135828458866517</v>
      </c>
      <c r="G29" s="16" t="s">
        <v>493</v>
      </c>
      <c r="H29" s="16" t="s">
        <v>221</v>
      </c>
      <c r="I29" t="str">
        <f>VLOOKUP(H29,Sheet2!$A$2:$B$459, 2, FALSE)</f>
        <v>LC</v>
      </c>
      <c r="J29" s="16">
        <v>53350200</v>
      </c>
      <c r="K29" s="16">
        <v>6502500</v>
      </c>
      <c r="L29" s="16">
        <v>53.350200000000001</v>
      </c>
      <c r="M29" s="16">
        <v>59.852699999999999</v>
      </c>
      <c r="N29" s="18">
        <f t="shared" si="3"/>
        <v>0.89135828458866517</v>
      </c>
      <c r="O29" s="19">
        <f>N29-F29</f>
        <v>0</v>
      </c>
    </row>
    <row r="30" spans="1:16" s="16" customFormat="1" x14ac:dyDescent="0.25">
      <c r="A30" s="14" t="s">
        <v>18</v>
      </c>
      <c r="B30" s="15">
        <v>266858100</v>
      </c>
      <c r="C30" s="15">
        <v>19333800</v>
      </c>
      <c r="D30" s="16">
        <f t="shared" si="0"/>
        <v>266.85809999999998</v>
      </c>
      <c r="E30" s="17">
        <f t="shared" si="1"/>
        <v>286.19189999999998</v>
      </c>
      <c r="F30" s="18">
        <f t="shared" si="2"/>
        <v>0.93244462893603908</v>
      </c>
      <c r="G30" s="16" t="s">
        <v>494</v>
      </c>
      <c r="H30" s="16" t="s">
        <v>18</v>
      </c>
      <c r="I30" t="str">
        <f>VLOOKUP(H30,Sheet2!$A$2:$B$459, 2, FALSE)</f>
        <v>LC</v>
      </c>
      <c r="J30" s="16">
        <v>266859900</v>
      </c>
      <c r="K30" s="16">
        <v>19334700</v>
      </c>
      <c r="L30" s="16">
        <v>266.85989999999998</v>
      </c>
      <c r="M30" s="16">
        <v>286.19459999999998</v>
      </c>
      <c r="N30" s="18">
        <f t="shared" si="3"/>
        <v>0.93244212154946315</v>
      </c>
      <c r="O30" s="19">
        <f>N30-F30</f>
        <v>-2.5073865759228653E-6</v>
      </c>
    </row>
    <row r="31" spans="1:16" s="16" customFormat="1" x14ac:dyDescent="0.25">
      <c r="A31" s="14" t="s">
        <v>227</v>
      </c>
      <c r="B31" s="15">
        <v>65959200</v>
      </c>
      <c r="C31" s="15">
        <v>97473600</v>
      </c>
      <c r="D31" s="16">
        <f t="shared" si="0"/>
        <v>65.959199999999996</v>
      </c>
      <c r="E31" s="17">
        <f t="shared" si="1"/>
        <v>163.43279999999999</v>
      </c>
      <c r="F31" s="18">
        <f t="shared" si="2"/>
        <v>0.40358606105995859</v>
      </c>
      <c r="G31" s="16" t="s">
        <v>495</v>
      </c>
      <c r="H31" s="16" t="s">
        <v>227</v>
      </c>
      <c r="I31" t="str">
        <f>VLOOKUP(H31,Sheet2!$A$2:$B$459, 2, FALSE)</f>
        <v>CR</v>
      </c>
      <c r="J31" s="16">
        <v>65957400</v>
      </c>
      <c r="K31" s="16">
        <v>97456500</v>
      </c>
      <c r="L31" s="16">
        <v>65.957400000000007</v>
      </c>
      <c r="M31" s="16">
        <v>163.41390000000001</v>
      </c>
      <c r="N31" s="18">
        <f t="shared" si="3"/>
        <v>0.40362172373341559</v>
      </c>
      <c r="O31" s="19">
        <f>N31-F31</f>
        <v>3.5662673457004246E-5</v>
      </c>
    </row>
    <row r="32" spans="1:16" s="16" customFormat="1" x14ac:dyDescent="0.25">
      <c r="A32" s="14" t="s">
        <v>208</v>
      </c>
      <c r="B32" s="15">
        <v>433495800</v>
      </c>
      <c r="C32" s="15">
        <v>263493900</v>
      </c>
      <c r="D32" s="16">
        <f t="shared" si="0"/>
        <v>433.49579999999997</v>
      </c>
      <c r="E32" s="17">
        <f t="shared" si="1"/>
        <v>696.98969999999997</v>
      </c>
      <c r="F32" s="18">
        <f t="shared" si="2"/>
        <v>0.621954384691768</v>
      </c>
      <c r="G32" s="16" t="s">
        <v>496</v>
      </c>
      <c r="H32" s="16" t="s">
        <v>208</v>
      </c>
      <c r="I32" t="str">
        <f>VLOOKUP(H32,Sheet2!$A$2:$B$459, 2, FALSE)</f>
        <v>LC</v>
      </c>
      <c r="J32" s="16">
        <v>433501200</v>
      </c>
      <c r="K32" s="16">
        <v>263493900</v>
      </c>
      <c r="L32" s="16">
        <v>433.50119999999998</v>
      </c>
      <c r="M32" s="16">
        <v>696.99509999999998</v>
      </c>
      <c r="N32" s="18">
        <f t="shared" si="3"/>
        <v>0.62195731361669548</v>
      </c>
      <c r="O32" s="19">
        <f>N32-F32</f>
        <v>2.9289249274810913E-6</v>
      </c>
    </row>
    <row r="33" spans="1:16" s="16" customFormat="1" x14ac:dyDescent="0.25">
      <c r="A33" s="14" t="s">
        <v>19</v>
      </c>
      <c r="B33" s="15">
        <v>553819500</v>
      </c>
      <c r="C33" s="15">
        <v>18111600</v>
      </c>
      <c r="D33" s="16">
        <f t="shared" si="0"/>
        <v>553.81949999999995</v>
      </c>
      <c r="E33" s="17">
        <f t="shared" si="1"/>
        <v>571.93110000000001</v>
      </c>
      <c r="F33" s="18">
        <f t="shared" si="2"/>
        <v>0.96833254914796552</v>
      </c>
      <c r="G33" s="16" t="s">
        <v>497</v>
      </c>
      <c r="H33" s="16" t="s">
        <v>19</v>
      </c>
      <c r="I33" t="str">
        <f>VLOOKUP(H33,Sheet2!$A$2:$B$459, 2, FALSE)</f>
        <v>LC</v>
      </c>
      <c r="J33" s="16">
        <v>553815900</v>
      </c>
      <c r="K33" s="16">
        <v>18110700</v>
      </c>
      <c r="L33" s="16">
        <v>553.81590000000006</v>
      </c>
      <c r="M33" s="16">
        <v>571.92660000000001</v>
      </c>
      <c r="N33" s="18">
        <f t="shared" si="3"/>
        <v>0.96833387361245316</v>
      </c>
      <c r="O33" s="19">
        <f>N33-F33</f>
        <v>1.3244644876397871E-6</v>
      </c>
    </row>
    <row r="34" spans="1:16" s="16" customFormat="1" x14ac:dyDescent="0.25">
      <c r="A34" s="14" t="s">
        <v>222</v>
      </c>
      <c r="B34" s="15">
        <v>890021700</v>
      </c>
      <c r="C34" s="15">
        <v>20453400</v>
      </c>
      <c r="D34" s="16">
        <f t="shared" si="0"/>
        <v>890.02170000000001</v>
      </c>
      <c r="E34" s="17">
        <f t="shared" si="1"/>
        <v>910.4751</v>
      </c>
      <c r="F34" s="18">
        <f t="shared" si="2"/>
        <v>0.97753546472605346</v>
      </c>
      <c r="G34" s="16" t="s">
        <v>498</v>
      </c>
      <c r="H34" s="16" t="s">
        <v>222</v>
      </c>
      <c r="I34" t="str">
        <f>VLOOKUP(H34,Sheet2!$A$2:$B$459, 2, FALSE)</f>
        <v>LC</v>
      </c>
      <c r="J34" s="16">
        <v>890014500</v>
      </c>
      <c r="K34" s="16">
        <v>20453400</v>
      </c>
      <c r="L34" s="16">
        <v>890.0145</v>
      </c>
      <c r="M34" s="16">
        <v>910.46789999999999</v>
      </c>
      <c r="N34" s="18">
        <f t="shared" si="3"/>
        <v>0.97753528707601889</v>
      </c>
      <c r="O34" s="19">
        <f>N34-F34</f>
        <v>-1.7765003457181905E-7</v>
      </c>
    </row>
    <row r="35" spans="1:16" s="16" customFormat="1" x14ac:dyDescent="0.25">
      <c r="A35" s="14" t="s">
        <v>228</v>
      </c>
      <c r="B35" s="15">
        <v>11918700</v>
      </c>
      <c r="C35" s="15">
        <v>8438400</v>
      </c>
      <c r="D35" s="16">
        <f t="shared" si="0"/>
        <v>11.918699999999999</v>
      </c>
      <c r="E35" s="17">
        <f t="shared" si="1"/>
        <v>20.357099999999999</v>
      </c>
      <c r="F35" s="18">
        <f t="shared" si="2"/>
        <v>0.58548123259206863</v>
      </c>
      <c r="G35" s="16" t="s">
        <v>499</v>
      </c>
      <c r="H35" s="16" t="s">
        <v>228</v>
      </c>
      <c r="I35" t="str">
        <f>VLOOKUP(H35,Sheet2!$A$2:$B$459, 2, FALSE)</f>
        <v>LC</v>
      </c>
      <c r="J35" s="16">
        <v>16035300</v>
      </c>
      <c r="K35" s="16">
        <v>9216000</v>
      </c>
      <c r="L35" s="16">
        <v>16.035299999999999</v>
      </c>
      <c r="M35" s="16">
        <v>25.251300000000001</v>
      </c>
      <c r="N35" s="18">
        <f t="shared" si="3"/>
        <v>0.63502869159211606</v>
      </c>
      <c r="O35" s="19">
        <f>N35-F35</f>
        <v>4.9547459000047422E-2</v>
      </c>
      <c r="P35" s="16" t="s">
        <v>956</v>
      </c>
    </row>
    <row r="36" spans="1:16" s="16" customFormat="1" x14ac:dyDescent="0.25">
      <c r="A36" s="14" t="s">
        <v>20</v>
      </c>
      <c r="B36" s="15">
        <v>5544078300</v>
      </c>
      <c r="C36" s="15">
        <v>103105800</v>
      </c>
      <c r="D36" s="16">
        <f t="shared" si="0"/>
        <v>5544.0783000000001</v>
      </c>
      <c r="E36" s="17">
        <f t="shared" si="1"/>
        <v>5647.1841000000004</v>
      </c>
      <c r="F36" s="18">
        <f t="shared" si="2"/>
        <v>0.98174208629040449</v>
      </c>
      <c r="G36" s="16" t="s">
        <v>500</v>
      </c>
      <c r="H36" s="16" t="s">
        <v>20</v>
      </c>
      <c r="I36" t="str">
        <f>VLOOKUP(H36,Sheet2!$A$2:$B$459, 2, FALSE)</f>
        <v>VU</v>
      </c>
      <c r="J36" s="16">
        <v>5544072000</v>
      </c>
      <c r="K36" s="16">
        <v>103106700</v>
      </c>
      <c r="L36" s="16">
        <v>5544.0720000000001</v>
      </c>
      <c r="M36" s="16">
        <v>5647.1787000000004</v>
      </c>
      <c r="N36" s="18">
        <f t="shared" si="3"/>
        <v>0.98174190946002815</v>
      </c>
      <c r="O36" s="19">
        <f>N36-F36</f>
        <v>-1.7683037634164123E-7</v>
      </c>
    </row>
    <row r="37" spans="1:16" s="16" customFormat="1" x14ac:dyDescent="0.25">
      <c r="A37" s="14" t="s">
        <v>2</v>
      </c>
      <c r="B37" s="15">
        <v>516919500</v>
      </c>
      <c r="C37" s="15">
        <v>60629400</v>
      </c>
      <c r="D37" s="16">
        <f t="shared" si="0"/>
        <v>516.91949999999997</v>
      </c>
      <c r="E37" s="17">
        <f t="shared" si="1"/>
        <v>577.5489</v>
      </c>
      <c r="F37" s="18">
        <f t="shared" si="2"/>
        <v>0.89502291494278663</v>
      </c>
      <c r="G37" s="16" t="s">
        <v>501</v>
      </c>
      <c r="H37" s="16" t="s">
        <v>2</v>
      </c>
      <c r="I37" t="str">
        <f>VLOOKUP(H37,Sheet2!$A$2:$B$459, 2, FALSE)</f>
        <v>LC</v>
      </c>
      <c r="J37" s="16">
        <v>518705100</v>
      </c>
      <c r="K37" s="16">
        <v>61492500</v>
      </c>
      <c r="L37" s="16">
        <v>518.70510000000002</v>
      </c>
      <c r="M37" s="16">
        <v>580.19759999999997</v>
      </c>
      <c r="N37" s="18">
        <f t="shared" si="3"/>
        <v>0.89401455642008865</v>
      </c>
      <c r="O37" s="19">
        <f>N37-F37</f>
        <v>-1.008358522697983E-3</v>
      </c>
    </row>
    <row r="38" spans="1:16" s="16" customFormat="1" x14ac:dyDescent="0.25">
      <c r="A38" s="14" t="s">
        <v>3</v>
      </c>
      <c r="B38" s="15">
        <v>1707247800</v>
      </c>
      <c r="C38" s="15">
        <v>256230900</v>
      </c>
      <c r="D38" s="16">
        <f t="shared" si="0"/>
        <v>1707.2478000000001</v>
      </c>
      <c r="E38" s="17">
        <f t="shared" si="1"/>
        <v>1963.4786999999999</v>
      </c>
      <c r="F38" s="18">
        <f t="shared" si="2"/>
        <v>0.86950156372972109</v>
      </c>
      <c r="G38" s="16" t="s">
        <v>502</v>
      </c>
      <c r="H38" s="16" t="s">
        <v>3</v>
      </c>
      <c r="I38" t="str">
        <f>VLOOKUP(H38,Sheet2!$A$2:$B$459, 2, FALSE)</f>
        <v>LC</v>
      </c>
      <c r="J38" s="16">
        <v>1707255000</v>
      </c>
      <c r="K38" s="16">
        <v>256227300</v>
      </c>
      <c r="L38" s="16">
        <v>1707.2550000000001</v>
      </c>
      <c r="M38" s="16">
        <v>1963.4822999999999</v>
      </c>
      <c r="N38" s="18">
        <f t="shared" si="3"/>
        <v>0.8695036364728117</v>
      </c>
      <c r="O38" s="19">
        <f>N38-F38</f>
        <v>2.0727430906086752E-6</v>
      </c>
    </row>
    <row r="39" spans="1:16" s="16" customFormat="1" x14ac:dyDescent="0.25">
      <c r="A39" s="14" t="s">
        <v>223</v>
      </c>
      <c r="B39" s="15">
        <v>30384000</v>
      </c>
      <c r="C39" s="15">
        <v>13223700</v>
      </c>
      <c r="D39" s="16">
        <f t="shared" si="0"/>
        <v>30.384</v>
      </c>
      <c r="E39" s="17">
        <f t="shared" si="1"/>
        <v>43.607700000000001</v>
      </c>
      <c r="F39" s="18">
        <f t="shared" si="2"/>
        <v>0.69675768270282545</v>
      </c>
      <c r="G39" s="16" t="s">
        <v>503</v>
      </c>
      <c r="H39" s="16" t="s">
        <v>223</v>
      </c>
      <c r="I39" t="str">
        <f>VLOOKUP(H39,Sheet2!$A$2:$B$459, 2, FALSE)</f>
        <v>LC</v>
      </c>
      <c r="J39" s="16">
        <v>30383100</v>
      </c>
      <c r="K39" s="16">
        <v>13223700</v>
      </c>
      <c r="L39" s="16">
        <v>30.383099999999999</v>
      </c>
      <c r="M39" s="16">
        <v>43.6068</v>
      </c>
      <c r="N39" s="18">
        <f t="shared" si="3"/>
        <v>0.69675142408982083</v>
      </c>
      <c r="O39" s="19">
        <f>N39-F39</f>
        <v>-6.2586130046282662E-6</v>
      </c>
    </row>
    <row r="40" spans="1:16" s="16" customFormat="1" x14ac:dyDescent="0.25">
      <c r="A40" s="14" t="s">
        <v>229</v>
      </c>
      <c r="B40" s="15">
        <v>16866000</v>
      </c>
      <c r="C40" s="15">
        <v>10226700</v>
      </c>
      <c r="D40" s="16">
        <f t="shared" si="0"/>
        <v>16.866</v>
      </c>
      <c r="E40" s="17">
        <f t="shared" si="1"/>
        <v>27.092700000000001</v>
      </c>
      <c r="F40" s="18">
        <f t="shared" si="2"/>
        <v>0.62252931601501516</v>
      </c>
      <c r="G40" s="16" t="s">
        <v>504</v>
      </c>
      <c r="H40" s="16" t="s">
        <v>229</v>
      </c>
      <c r="I40" t="str">
        <f>VLOOKUP(H40,Sheet2!$A$2:$B$459, 2, FALSE)</f>
        <v>CR</v>
      </c>
      <c r="J40" s="16">
        <v>16864200</v>
      </c>
      <c r="K40" s="16">
        <v>10226700</v>
      </c>
      <c r="L40" s="16">
        <v>16.8642</v>
      </c>
      <c r="M40" s="16">
        <v>27.090900000000001</v>
      </c>
      <c r="N40" s="18">
        <f t="shared" si="3"/>
        <v>0.62250423573967639</v>
      </c>
      <c r="O40" s="19">
        <f>N40-F40</f>
        <v>-2.5080275338762448E-5</v>
      </c>
    </row>
    <row r="41" spans="1:16" s="16" customFormat="1" x14ac:dyDescent="0.25">
      <c r="A41" s="14" t="s">
        <v>12</v>
      </c>
      <c r="B41" s="15">
        <v>184980600</v>
      </c>
      <c r="C41" s="15">
        <v>2754900</v>
      </c>
      <c r="D41" s="16">
        <f t="shared" si="0"/>
        <v>184.98060000000001</v>
      </c>
      <c r="E41" s="17">
        <f t="shared" si="1"/>
        <v>187.7355</v>
      </c>
      <c r="F41" s="18">
        <f t="shared" si="2"/>
        <v>0.98532563100745463</v>
      </c>
      <c r="G41" s="16" t="s">
        <v>505</v>
      </c>
      <c r="H41" s="16" t="s">
        <v>12</v>
      </c>
      <c r="I41" t="str">
        <f>VLOOKUP(H41,Sheet2!$A$2:$B$459, 2, FALSE)</f>
        <v>LC</v>
      </c>
      <c r="J41" s="16">
        <v>184973400</v>
      </c>
      <c r="K41" s="16">
        <v>2754900</v>
      </c>
      <c r="L41" s="16">
        <v>184.9734</v>
      </c>
      <c r="M41" s="16">
        <v>187.72829999999999</v>
      </c>
      <c r="N41" s="18">
        <f t="shared" si="3"/>
        <v>0.98532506819696342</v>
      </c>
      <c r="O41" s="19">
        <f>N41-F41</f>
        <v>-5.6281049121142956E-7</v>
      </c>
    </row>
    <row r="42" spans="1:16" s="16" customFormat="1" x14ac:dyDescent="0.25">
      <c r="A42" s="14" t="s">
        <v>21</v>
      </c>
      <c r="B42" s="15">
        <v>743775300</v>
      </c>
      <c r="C42" s="15">
        <v>16578900</v>
      </c>
      <c r="D42" s="16">
        <f t="shared" si="0"/>
        <v>743.77530000000002</v>
      </c>
      <c r="E42" s="17">
        <f t="shared" si="1"/>
        <v>760.35419999999999</v>
      </c>
      <c r="F42" s="18">
        <f t="shared" si="2"/>
        <v>0.97819581979030301</v>
      </c>
      <c r="G42" s="16" t="s">
        <v>506</v>
      </c>
      <c r="H42" s="16" t="s">
        <v>21</v>
      </c>
      <c r="I42" t="str">
        <f>VLOOKUP(H42,Sheet2!$A$2:$B$459, 2, FALSE)</f>
        <v>LC</v>
      </c>
      <c r="J42" s="16">
        <v>743779800</v>
      </c>
      <c r="K42" s="16">
        <v>16578900</v>
      </c>
      <c r="L42" s="16">
        <v>743.77980000000002</v>
      </c>
      <c r="M42" s="16">
        <v>760.3587</v>
      </c>
      <c r="N42" s="18">
        <f t="shared" si="3"/>
        <v>0.9781959488330968</v>
      </c>
      <c r="O42" s="19">
        <f>N42-F42</f>
        <v>1.290427937838956E-7</v>
      </c>
    </row>
    <row r="43" spans="1:16" s="16" customFormat="1" x14ac:dyDescent="0.25">
      <c r="A43" s="14" t="s">
        <v>210</v>
      </c>
      <c r="B43" s="15">
        <v>471609000</v>
      </c>
      <c r="C43" s="15">
        <v>230055300</v>
      </c>
      <c r="D43" s="16">
        <f t="shared" si="0"/>
        <v>471.60899999999998</v>
      </c>
      <c r="E43" s="17">
        <f t="shared" si="1"/>
        <v>701.66430000000003</v>
      </c>
      <c r="F43" s="18">
        <f t="shared" si="2"/>
        <v>0.67212910789390312</v>
      </c>
      <c r="G43" s="16" t="s">
        <v>507</v>
      </c>
      <c r="H43" s="16" t="s">
        <v>210</v>
      </c>
      <c r="I43" t="str">
        <f>VLOOKUP(H43,Sheet2!$A$2:$B$459, 2, FALSE)</f>
        <v>LC</v>
      </c>
      <c r="J43" s="16">
        <v>471612600</v>
      </c>
      <c r="K43" s="16">
        <v>230056200</v>
      </c>
      <c r="L43" s="16">
        <v>471.61259999999999</v>
      </c>
      <c r="M43" s="16">
        <v>701.66880000000003</v>
      </c>
      <c r="N43" s="18">
        <f t="shared" si="3"/>
        <v>0.67212992796601467</v>
      </c>
      <c r="O43" s="19">
        <f>N43-F43</f>
        <v>8.2007211155143978E-7</v>
      </c>
    </row>
    <row r="44" spans="1:16" s="16" customFormat="1" x14ac:dyDescent="0.25">
      <c r="A44" s="14" t="s">
        <v>11</v>
      </c>
      <c r="B44" s="15">
        <v>107123400</v>
      </c>
      <c r="C44" s="15">
        <v>29941200</v>
      </c>
      <c r="D44" s="16">
        <f t="shared" si="0"/>
        <v>107.1234</v>
      </c>
      <c r="E44" s="17">
        <f t="shared" si="1"/>
        <v>137.06460000000001</v>
      </c>
      <c r="F44" s="18">
        <f t="shared" si="2"/>
        <v>0.78155409930791753</v>
      </c>
      <c r="G44" s="16" t="s">
        <v>508</v>
      </c>
      <c r="H44" s="16" t="s">
        <v>11</v>
      </c>
      <c r="I44" t="str">
        <f>VLOOKUP(H44,Sheet2!$A$2:$B$459, 2, FALSE)</f>
        <v>LC</v>
      </c>
      <c r="J44" s="16">
        <v>223272000</v>
      </c>
      <c r="K44" s="16">
        <v>41108400</v>
      </c>
      <c r="L44" s="16">
        <v>223.27199999999999</v>
      </c>
      <c r="M44" s="16">
        <v>264.38040000000001</v>
      </c>
      <c r="N44" s="18">
        <f t="shared" si="3"/>
        <v>0.84451041000013616</v>
      </c>
      <c r="O44" s="19">
        <f>N44-F44</f>
        <v>6.2956310692218631E-2</v>
      </c>
      <c r="P44" s="16" t="s">
        <v>943</v>
      </c>
    </row>
    <row r="45" spans="1:16" x14ac:dyDescent="0.25">
      <c r="A45" s="1" t="s">
        <v>22</v>
      </c>
      <c r="B45" s="2">
        <v>2226033900</v>
      </c>
      <c r="C45" s="2">
        <v>26276400</v>
      </c>
      <c r="D45">
        <f t="shared" si="0"/>
        <v>2226.0338999999999</v>
      </c>
      <c r="E45" s="11">
        <f t="shared" si="1"/>
        <v>2252.3103000000001</v>
      </c>
      <c r="F45" s="6">
        <f t="shared" si="2"/>
        <v>0.98833357908099961</v>
      </c>
      <c r="G45" t="s">
        <v>509</v>
      </c>
      <c r="H45" t="s">
        <v>22</v>
      </c>
      <c r="I45" t="str">
        <f>VLOOKUP(H45,Sheet2!$A$2:$B$459, 2, FALSE)</f>
        <v>LC</v>
      </c>
      <c r="J45">
        <v>2226033000</v>
      </c>
      <c r="K45">
        <v>26276400</v>
      </c>
      <c r="L45">
        <v>2226.0329999999999</v>
      </c>
      <c r="M45">
        <v>2252.3094000000001</v>
      </c>
      <c r="N45" s="6">
        <f t="shared" si="3"/>
        <v>0.98833357441921599</v>
      </c>
      <c r="O45" s="7">
        <f>N45-F45</f>
        <v>-4.6617836257922818E-9</v>
      </c>
    </row>
    <row r="46" spans="1:16" x14ac:dyDescent="0.25">
      <c r="A46" s="1" t="s">
        <v>32</v>
      </c>
      <c r="B46" s="2">
        <v>18212400</v>
      </c>
      <c r="C46" s="2">
        <v>460800</v>
      </c>
      <c r="D46">
        <f t="shared" si="0"/>
        <v>18.212399999999999</v>
      </c>
      <c r="E46" s="11">
        <f t="shared" si="1"/>
        <v>18.673200000000001</v>
      </c>
      <c r="F46" s="6">
        <f t="shared" si="2"/>
        <v>0.9753229226913438</v>
      </c>
      <c r="G46" t="s">
        <v>510</v>
      </c>
      <c r="H46" t="s">
        <v>32</v>
      </c>
      <c r="I46" t="str">
        <f>VLOOKUP(H46,Sheet2!$A$2:$B$459, 2, FALSE)</f>
        <v>LC</v>
      </c>
      <c r="J46">
        <v>18214200</v>
      </c>
      <c r="K46">
        <v>460800</v>
      </c>
      <c r="L46">
        <v>18.214200000000002</v>
      </c>
      <c r="M46">
        <v>18.675000000000001</v>
      </c>
      <c r="N46" s="6">
        <f t="shared" si="3"/>
        <v>0.97532530120481931</v>
      </c>
      <c r="O46" s="7">
        <f>N46-F46</f>
        <v>2.3785134755094361E-6</v>
      </c>
    </row>
    <row r="47" spans="1:16" x14ac:dyDescent="0.25">
      <c r="A47" s="1" t="s">
        <v>30</v>
      </c>
      <c r="B47" s="2">
        <v>118694700</v>
      </c>
      <c r="C47" s="2">
        <v>232086600</v>
      </c>
      <c r="D47">
        <f t="shared" si="0"/>
        <v>118.6947</v>
      </c>
      <c r="E47" s="11">
        <f t="shared" si="1"/>
        <v>350.78129999999999</v>
      </c>
      <c r="F47" s="6">
        <f t="shared" si="2"/>
        <v>0.33837237047698948</v>
      </c>
      <c r="G47" t="s">
        <v>511</v>
      </c>
      <c r="H47" t="s">
        <v>30</v>
      </c>
      <c r="I47" t="str">
        <f>VLOOKUP(H47,Sheet2!$A$2:$B$459, 2, FALSE)</f>
        <v>EN</v>
      </c>
      <c r="J47">
        <v>118718100</v>
      </c>
      <c r="K47">
        <v>232169400</v>
      </c>
      <c r="L47">
        <v>118.71810000000001</v>
      </c>
      <c r="M47">
        <v>350.88749999999999</v>
      </c>
      <c r="N47" s="6">
        <f t="shared" si="3"/>
        <v>0.33833664636101318</v>
      </c>
      <c r="O47" s="7">
        <f>N47-F47</f>
        <v>-3.5724115976298876E-5</v>
      </c>
    </row>
    <row r="48" spans="1:16" x14ac:dyDescent="0.25">
      <c r="A48" s="1" t="s">
        <v>273</v>
      </c>
      <c r="B48" s="2">
        <v>546156000</v>
      </c>
      <c r="C48" s="2">
        <v>321687000</v>
      </c>
      <c r="D48">
        <f t="shared" si="0"/>
        <v>546.15599999999995</v>
      </c>
      <c r="E48" s="11">
        <f t="shared" si="1"/>
        <v>867.84299999999996</v>
      </c>
      <c r="F48" s="6">
        <f t="shared" si="2"/>
        <v>0.6293258112354424</v>
      </c>
      <c r="G48" t="s">
        <v>512</v>
      </c>
      <c r="H48" t="s">
        <v>273</v>
      </c>
      <c r="I48" t="str">
        <f>VLOOKUP(H48,Sheet2!$A$2:$B$459, 2, FALSE)</f>
        <v>LC</v>
      </c>
      <c r="J48">
        <v>546154200</v>
      </c>
      <c r="K48">
        <v>321687000</v>
      </c>
      <c r="L48">
        <v>546.15419999999995</v>
      </c>
      <c r="M48">
        <v>867.84119999999996</v>
      </c>
      <c r="N48" s="6">
        <f t="shared" si="3"/>
        <v>0.62932504241559395</v>
      </c>
      <c r="O48" s="7">
        <f>N48-F48</f>
        <v>-7.6881984845122986E-7</v>
      </c>
    </row>
    <row r="49" spans="1:15" x14ac:dyDescent="0.25">
      <c r="A49" s="1" t="s">
        <v>233</v>
      </c>
      <c r="B49" s="2">
        <v>1257365700</v>
      </c>
      <c r="C49" s="2">
        <v>529861500</v>
      </c>
      <c r="D49">
        <f t="shared" si="0"/>
        <v>1257.3657000000001</v>
      </c>
      <c r="E49" s="11">
        <f t="shared" si="1"/>
        <v>1787.2272</v>
      </c>
      <c r="F49" s="6">
        <f t="shared" si="2"/>
        <v>0.70352873993860432</v>
      </c>
      <c r="G49" t="s">
        <v>513</v>
      </c>
      <c r="H49" t="s">
        <v>233</v>
      </c>
      <c r="I49" t="str">
        <f>VLOOKUP(H49,Sheet2!$A$2:$B$459, 2, FALSE)</f>
        <v>LC</v>
      </c>
      <c r="J49">
        <v>1257367500</v>
      </c>
      <c r="K49">
        <v>529861500</v>
      </c>
      <c r="L49">
        <v>1257.3675000000001</v>
      </c>
      <c r="M49">
        <v>1787.229</v>
      </c>
      <c r="N49" s="6">
        <f t="shared" si="3"/>
        <v>0.70352903852835869</v>
      </c>
      <c r="O49" s="7">
        <f>N49-F49</f>
        <v>2.9858975436614088E-7</v>
      </c>
    </row>
    <row r="50" spans="1:15" x14ac:dyDescent="0.25">
      <c r="A50" s="1" t="s">
        <v>342</v>
      </c>
      <c r="B50" s="2">
        <v>2156498100</v>
      </c>
      <c r="C50" s="2">
        <v>1078650000</v>
      </c>
      <c r="D50">
        <f t="shared" si="0"/>
        <v>2156.4980999999998</v>
      </c>
      <c r="E50" s="11">
        <f t="shared" si="1"/>
        <v>3235.1480999999999</v>
      </c>
      <c r="F50" s="6">
        <f t="shared" si="2"/>
        <v>0.6665840429376324</v>
      </c>
      <c r="G50" t="s">
        <v>514</v>
      </c>
      <c r="H50" t="s">
        <v>342</v>
      </c>
      <c r="I50" t="str">
        <f>VLOOKUP(H50,Sheet2!$A$2:$B$459, 2, FALSE)</f>
        <v>LC</v>
      </c>
      <c r="J50">
        <v>3092091300</v>
      </c>
      <c r="K50">
        <v>1578780000</v>
      </c>
      <c r="L50">
        <v>3092.0913</v>
      </c>
      <c r="M50">
        <v>4670.8712999999998</v>
      </c>
      <c r="N50" s="6">
        <f t="shared" si="3"/>
        <v>0.66199454050468065</v>
      </c>
      <c r="O50" s="7">
        <f>N50-F50</f>
        <v>-4.5895024329517531E-3</v>
      </c>
    </row>
    <row r="51" spans="1:15" x14ac:dyDescent="0.25">
      <c r="A51" s="1" t="s">
        <v>27</v>
      </c>
      <c r="B51" s="2">
        <v>292005000</v>
      </c>
      <c r="C51" s="2">
        <v>361361700</v>
      </c>
      <c r="D51">
        <f t="shared" si="0"/>
        <v>292.005</v>
      </c>
      <c r="E51" s="11">
        <f t="shared" si="1"/>
        <v>653.36670000000004</v>
      </c>
      <c r="F51" s="6">
        <f t="shared" si="2"/>
        <v>0.44692360354453325</v>
      </c>
      <c r="G51" t="s">
        <v>515</v>
      </c>
      <c r="H51" t="s">
        <v>27</v>
      </c>
      <c r="I51" t="str">
        <f>VLOOKUP(H51,Sheet2!$A$2:$B$459, 2, FALSE)</f>
        <v>EN</v>
      </c>
      <c r="J51">
        <v>292378500</v>
      </c>
      <c r="K51">
        <v>361490400</v>
      </c>
      <c r="L51">
        <v>292.37849999999997</v>
      </c>
      <c r="M51">
        <v>653.86890000000005</v>
      </c>
      <c r="N51" s="6">
        <f t="shared" si="3"/>
        <v>0.44715156203330658</v>
      </c>
      <c r="O51" s="7">
        <f>N51-F51</f>
        <v>2.2795848877332769E-4</v>
      </c>
    </row>
    <row r="52" spans="1:15" x14ac:dyDescent="0.25">
      <c r="A52" s="1" t="s">
        <v>230</v>
      </c>
      <c r="B52" s="2">
        <v>871328700</v>
      </c>
      <c r="C52" s="2">
        <v>403035300</v>
      </c>
      <c r="D52">
        <f t="shared" si="0"/>
        <v>871.32870000000003</v>
      </c>
      <c r="E52" s="11">
        <f t="shared" si="1"/>
        <v>1274.364</v>
      </c>
      <c r="F52" s="6">
        <f t="shared" si="2"/>
        <v>0.68373612248933591</v>
      </c>
      <c r="G52" t="s">
        <v>516</v>
      </c>
      <c r="H52" t="s">
        <v>230</v>
      </c>
      <c r="I52" t="str">
        <f>VLOOKUP(H52,Sheet2!$A$2:$B$459, 2, FALSE)</f>
        <v>LC</v>
      </c>
      <c r="J52">
        <v>861066000</v>
      </c>
      <c r="K52">
        <v>398363400</v>
      </c>
      <c r="L52">
        <v>861.06600000000003</v>
      </c>
      <c r="M52">
        <v>1259.4294</v>
      </c>
      <c r="N52" s="6">
        <f t="shared" si="3"/>
        <v>0.68369533059971443</v>
      </c>
      <c r="O52" s="7">
        <f>N52-F52</f>
        <v>-4.0791889621472066E-5</v>
      </c>
    </row>
    <row r="53" spans="1:15" x14ac:dyDescent="0.25">
      <c r="A53" s="1" t="s">
        <v>272</v>
      </c>
      <c r="B53" s="2">
        <v>347400</v>
      </c>
      <c r="C53" s="2">
        <v>6087600</v>
      </c>
      <c r="D53">
        <f t="shared" si="0"/>
        <v>0.34739999999999999</v>
      </c>
      <c r="E53" s="11">
        <f t="shared" si="1"/>
        <v>6.4349999999999996</v>
      </c>
      <c r="F53" s="6">
        <f t="shared" si="2"/>
        <v>5.3986013986013985E-2</v>
      </c>
      <c r="G53" t="s">
        <v>517</v>
      </c>
      <c r="H53" t="s">
        <v>272</v>
      </c>
      <c r="I53" t="str">
        <f>VLOOKUP(H53,Sheet2!$A$2:$B$459, 2, FALSE)</f>
        <v>CR</v>
      </c>
      <c r="J53">
        <v>347400</v>
      </c>
      <c r="K53">
        <v>6090300</v>
      </c>
      <c r="L53">
        <v>0.34739999999999999</v>
      </c>
      <c r="M53">
        <v>6.4377000000000004</v>
      </c>
      <c r="N53" s="6">
        <f t="shared" si="3"/>
        <v>5.3963372011743317E-2</v>
      </c>
      <c r="O53" s="7">
        <f>N53-F53</f>
        <v>-2.2641974270667942E-5</v>
      </c>
    </row>
    <row r="54" spans="1:15" x14ac:dyDescent="0.25">
      <c r="A54" s="1" t="s">
        <v>28</v>
      </c>
      <c r="B54" s="2">
        <v>9694800</v>
      </c>
      <c r="C54" s="2">
        <v>3514500</v>
      </c>
      <c r="D54">
        <f t="shared" si="0"/>
        <v>9.6948000000000008</v>
      </c>
      <c r="E54" s="11">
        <f t="shared" si="1"/>
        <v>13.209300000000001</v>
      </c>
      <c r="F54" s="6">
        <f t="shared" si="2"/>
        <v>0.7339374531580023</v>
      </c>
      <c r="G54" t="s">
        <v>518</v>
      </c>
      <c r="H54" t="s">
        <v>28</v>
      </c>
      <c r="I54" t="str">
        <f>VLOOKUP(H54,Sheet2!$A$2:$B$459, 2, FALSE)</f>
        <v>CR</v>
      </c>
      <c r="J54">
        <v>9697500</v>
      </c>
      <c r="K54">
        <v>3514500</v>
      </c>
      <c r="L54">
        <v>9.6974999999999998</v>
      </c>
      <c r="M54">
        <v>13.212</v>
      </c>
      <c r="N54" s="6">
        <f t="shared" si="3"/>
        <v>0.73399182561307896</v>
      </c>
      <c r="O54" s="7">
        <f>N54-F54</f>
        <v>5.4372455076667769E-5</v>
      </c>
    </row>
    <row r="55" spans="1:15" x14ac:dyDescent="0.25">
      <c r="A55" s="1" t="s">
        <v>29</v>
      </c>
      <c r="B55" s="2">
        <v>215489700</v>
      </c>
      <c r="C55" s="2">
        <v>4599900</v>
      </c>
      <c r="D55">
        <f t="shared" si="0"/>
        <v>215.4897</v>
      </c>
      <c r="E55" s="11">
        <f t="shared" si="1"/>
        <v>220.08959999999999</v>
      </c>
      <c r="F55" s="6">
        <f t="shared" si="2"/>
        <v>0.97909987568699297</v>
      </c>
      <c r="G55" t="s">
        <v>519</v>
      </c>
      <c r="H55" t="s">
        <v>29</v>
      </c>
      <c r="I55" t="str">
        <f>VLOOKUP(H55,Sheet2!$A$2:$B$459, 2, FALSE)</f>
        <v>LC</v>
      </c>
      <c r="J55">
        <v>215500500</v>
      </c>
      <c r="K55">
        <v>4583700</v>
      </c>
      <c r="L55">
        <v>215.50049999999999</v>
      </c>
      <c r="M55">
        <v>220.08420000000001</v>
      </c>
      <c r="N55" s="6">
        <f t="shared" si="3"/>
        <v>0.97917297107198054</v>
      </c>
      <c r="O55" s="7">
        <f>N55-F55</f>
        <v>7.3095384987564849E-5</v>
      </c>
    </row>
    <row r="56" spans="1:15" x14ac:dyDescent="0.25">
      <c r="A56" s="1" t="s">
        <v>231</v>
      </c>
      <c r="B56" s="2">
        <v>26169300</v>
      </c>
      <c r="C56" s="2">
        <v>1809000</v>
      </c>
      <c r="D56">
        <f t="shared" si="0"/>
        <v>26.1693</v>
      </c>
      <c r="E56" s="11">
        <f t="shared" si="1"/>
        <v>27.978300000000001</v>
      </c>
      <c r="F56" s="6">
        <f t="shared" si="2"/>
        <v>0.93534274777238069</v>
      </c>
      <c r="G56" t="s">
        <v>520</v>
      </c>
      <c r="H56" t="s">
        <v>231</v>
      </c>
      <c r="I56" t="str">
        <f>VLOOKUP(H56,Sheet2!$A$2:$B$459, 2, FALSE)</f>
        <v>LC</v>
      </c>
      <c r="J56">
        <v>26163900</v>
      </c>
      <c r="K56">
        <v>1809000</v>
      </c>
      <c r="L56">
        <v>26.163900000000002</v>
      </c>
      <c r="M56">
        <v>27.972899999999999</v>
      </c>
      <c r="N56" s="6">
        <f t="shared" si="3"/>
        <v>0.93533026607895509</v>
      </c>
      <c r="O56" s="7">
        <f>N56-F56</f>
        <v>-1.2481693425603346E-5</v>
      </c>
    </row>
    <row r="57" spans="1:15" x14ac:dyDescent="0.25">
      <c r="A57" s="1" t="s">
        <v>31</v>
      </c>
      <c r="B57" s="2">
        <v>1206964800</v>
      </c>
      <c r="C57" s="2">
        <v>156988800</v>
      </c>
      <c r="D57">
        <f t="shared" si="0"/>
        <v>1206.9648</v>
      </c>
      <c r="E57" s="11">
        <f t="shared" si="1"/>
        <v>1363.9536000000001</v>
      </c>
      <c r="F57" s="6">
        <f t="shared" si="2"/>
        <v>0.88490165647863683</v>
      </c>
      <c r="G57" t="s">
        <v>521</v>
      </c>
      <c r="H57" t="s">
        <v>31</v>
      </c>
      <c r="I57" t="str">
        <f>VLOOKUP(H57,Sheet2!$A$2:$B$459, 2, FALSE)</f>
        <v>LC</v>
      </c>
      <c r="J57">
        <v>1206956700</v>
      </c>
      <c r="K57">
        <v>156988800</v>
      </c>
      <c r="L57">
        <v>1206.9567</v>
      </c>
      <c r="M57">
        <v>1363.9455</v>
      </c>
      <c r="N57" s="6">
        <f t="shared" si="3"/>
        <v>0.88490097294943226</v>
      </c>
      <c r="O57" s="7">
        <f>N57-F57</f>
        <v>-6.8352920457037669E-7</v>
      </c>
    </row>
    <row r="58" spans="1:15" x14ac:dyDescent="0.25">
      <c r="A58" s="1" t="s">
        <v>274</v>
      </c>
      <c r="B58" s="2">
        <v>1913973300</v>
      </c>
      <c r="C58" s="2">
        <v>5218200</v>
      </c>
      <c r="D58">
        <f t="shared" si="0"/>
        <v>1913.9733000000001</v>
      </c>
      <c r="E58" s="11">
        <f t="shared" si="1"/>
        <v>1919.1914999999999</v>
      </c>
      <c r="F58" s="6">
        <f t="shared" si="2"/>
        <v>0.99728104256401717</v>
      </c>
      <c r="G58" t="s">
        <v>522</v>
      </c>
      <c r="H58" t="s">
        <v>274</v>
      </c>
      <c r="I58" t="str">
        <f>VLOOKUP(H58,Sheet2!$A$2:$B$459, 2, FALSE)</f>
        <v>LC</v>
      </c>
      <c r="J58">
        <v>2133190800</v>
      </c>
      <c r="K58">
        <v>24618600</v>
      </c>
      <c r="L58">
        <v>2133.1907999999999</v>
      </c>
      <c r="M58">
        <v>2157.8094000000001</v>
      </c>
      <c r="N58" s="6">
        <f t="shared" si="3"/>
        <v>0.98859092930079917</v>
      </c>
      <c r="O58" s="7">
        <f>N58-F58</f>
        <v>-8.6901132632180023E-3</v>
      </c>
    </row>
    <row r="59" spans="1:15" x14ac:dyDescent="0.25">
      <c r="A59" s="1" t="s">
        <v>33</v>
      </c>
      <c r="B59" s="2">
        <v>4837793400</v>
      </c>
      <c r="C59" s="2">
        <v>339274800</v>
      </c>
      <c r="D59">
        <f t="shared" si="0"/>
        <v>4837.7933999999996</v>
      </c>
      <c r="E59" s="11">
        <f t="shared" si="1"/>
        <v>5177.0681999999997</v>
      </c>
      <c r="F59" s="6">
        <f t="shared" si="2"/>
        <v>0.93446584304220681</v>
      </c>
      <c r="G59" t="s">
        <v>523</v>
      </c>
      <c r="H59" t="s">
        <v>33</v>
      </c>
      <c r="I59" t="str">
        <f>VLOOKUP(H59,Sheet2!$A$2:$B$459, 2, FALSE)</f>
        <v>LC</v>
      </c>
      <c r="J59">
        <v>4837779000</v>
      </c>
      <c r="K59">
        <v>339274800</v>
      </c>
      <c r="L59">
        <v>4837.7790000000005</v>
      </c>
      <c r="M59">
        <v>5177.0537999999997</v>
      </c>
      <c r="N59" s="6">
        <f t="shared" si="3"/>
        <v>0.93446566075863469</v>
      </c>
      <c r="O59" s="7">
        <f>N59-F59</f>
        <v>-1.8228357212546342E-7</v>
      </c>
    </row>
    <row r="60" spans="1:15" x14ac:dyDescent="0.25">
      <c r="A60" s="1" t="s">
        <v>34</v>
      </c>
      <c r="B60" s="2">
        <v>4571886600</v>
      </c>
      <c r="C60" s="2">
        <v>731160000</v>
      </c>
      <c r="D60">
        <f t="shared" si="0"/>
        <v>4571.8865999999998</v>
      </c>
      <c r="E60" s="11">
        <f t="shared" si="1"/>
        <v>5303.0465999999997</v>
      </c>
      <c r="F60" s="6">
        <f t="shared" si="2"/>
        <v>0.86212453799670552</v>
      </c>
      <c r="G60" t="s">
        <v>524</v>
      </c>
      <c r="H60" t="s">
        <v>34</v>
      </c>
      <c r="I60" t="str">
        <f>VLOOKUP(H60,Sheet2!$A$2:$B$459, 2, FALSE)</f>
        <v>LC</v>
      </c>
      <c r="J60">
        <v>4571698500</v>
      </c>
      <c r="K60">
        <v>731093400</v>
      </c>
      <c r="L60">
        <v>4571.6985000000004</v>
      </c>
      <c r="M60">
        <v>5302.7919000000002</v>
      </c>
      <c r="N60" s="6">
        <f t="shared" si="3"/>
        <v>0.8621304750804949</v>
      </c>
      <c r="O60" s="7">
        <f>N60-F60</f>
        <v>5.9370837893757411E-6</v>
      </c>
    </row>
    <row r="61" spans="1:15" x14ac:dyDescent="0.25">
      <c r="A61" s="1" t="s">
        <v>35</v>
      </c>
      <c r="B61" s="2">
        <v>1989432000</v>
      </c>
      <c r="C61" s="2">
        <v>140634900</v>
      </c>
      <c r="D61">
        <f t="shared" si="0"/>
        <v>1989.432</v>
      </c>
      <c r="E61" s="11">
        <f t="shared" si="1"/>
        <v>2130.0668999999998</v>
      </c>
      <c r="F61" s="6">
        <f t="shared" si="2"/>
        <v>0.93397629905426915</v>
      </c>
      <c r="G61" t="s">
        <v>525</v>
      </c>
      <c r="H61" t="s">
        <v>35</v>
      </c>
      <c r="I61" t="str">
        <f>VLOOKUP(H61,Sheet2!$A$2:$B$459, 2, FALSE)</f>
        <v>LC</v>
      </c>
      <c r="J61">
        <v>1989432000</v>
      </c>
      <c r="K61">
        <v>140634900</v>
      </c>
      <c r="L61">
        <v>1989.432</v>
      </c>
      <c r="M61">
        <v>2130.0668999999998</v>
      </c>
      <c r="N61" s="6">
        <f t="shared" si="3"/>
        <v>0.93397629905426927</v>
      </c>
      <c r="O61" s="7">
        <f>N61-F61</f>
        <v>0</v>
      </c>
    </row>
    <row r="62" spans="1:15" x14ac:dyDescent="0.25">
      <c r="A62" s="1" t="s">
        <v>36</v>
      </c>
      <c r="B62" s="2">
        <v>149175000</v>
      </c>
      <c r="C62" s="2">
        <v>258083100</v>
      </c>
      <c r="D62">
        <f t="shared" si="0"/>
        <v>149.17500000000001</v>
      </c>
      <c r="E62" s="11">
        <f t="shared" si="1"/>
        <v>407.25810000000001</v>
      </c>
      <c r="F62" s="6">
        <f t="shared" si="2"/>
        <v>0.36629105719444255</v>
      </c>
      <c r="G62" t="s">
        <v>526</v>
      </c>
      <c r="H62" t="s">
        <v>36</v>
      </c>
      <c r="I62" t="str">
        <f>VLOOKUP(H62,Sheet2!$A$2:$B$459, 2, FALSE)</f>
        <v>EN</v>
      </c>
      <c r="J62">
        <v>149174100</v>
      </c>
      <c r="K62">
        <v>258084000</v>
      </c>
      <c r="L62">
        <v>149.17410000000001</v>
      </c>
      <c r="M62">
        <v>407.25810000000001</v>
      </c>
      <c r="N62" s="6">
        <f t="shared" si="3"/>
        <v>0.36628884729364503</v>
      </c>
      <c r="O62" s="7">
        <f>N62-F62</f>
        <v>-2.2099007975229235E-6</v>
      </c>
    </row>
    <row r="63" spans="1:15" x14ac:dyDescent="0.25">
      <c r="A63" s="1" t="s">
        <v>232</v>
      </c>
      <c r="B63" s="2">
        <v>11979000</v>
      </c>
      <c r="C63" s="2">
        <v>1004400</v>
      </c>
      <c r="D63">
        <f t="shared" si="0"/>
        <v>11.978999999999999</v>
      </c>
      <c r="E63" s="11">
        <f t="shared" si="1"/>
        <v>12.9834</v>
      </c>
      <c r="F63" s="6">
        <f t="shared" si="2"/>
        <v>0.92263967835851934</v>
      </c>
      <c r="G63" t="s">
        <v>527</v>
      </c>
      <c r="H63" t="s">
        <v>232</v>
      </c>
      <c r="I63" t="str">
        <f>VLOOKUP(H63,Sheet2!$A$2:$B$459, 2, FALSE)</f>
        <v>LC</v>
      </c>
      <c r="J63">
        <v>11979000</v>
      </c>
      <c r="K63">
        <v>1005300</v>
      </c>
      <c r="L63">
        <v>11.978999999999999</v>
      </c>
      <c r="M63">
        <v>12.984299999999999</v>
      </c>
      <c r="N63" s="6">
        <f t="shared" si="3"/>
        <v>0.92257572606917582</v>
      </c>
      <c r="O63" s="7">
        <f>N63-F63</f>
        <v>-6.3952289343527369E-5</v>
      </c>
    </row>
    <row r="64" spans="1:15" x14ac:dyDescent="0.25">
      <c r="A64" s="1" t="s">
        <v>347</v>
      </c>
      <c r="B64" s="2">
        <v>863910000</v>
      </c>
      <c r="C64" s="2">
        <v>1491381900</v>
      </c>
      <c r="D64">
        <f t="shared" si="0"/>
        <v>863.91</v>
      </c>
      <c r="E64" s="11">
        <f t="shared" si="1"/>
        <v>2355.2919000000002</v>
      </c>
      <c r="F64" s="6">
        <f t="shared" si="2"/>
        <v>0.36679530040416647</v>
      </c>
      <c r="G64" t="s">
        <v>528</v>
      </c>
      <c r="H64" t="s">
        <v>347</v>
      </c>
      <c r="I64" t="str">
        <f>VLOOKUP(H64,Sheet2!$A$2:$B$459, 2, FALSE)</f>
        <v>EN</v>
      </c>
      <c r="J64">
        <v>863217000</v>
      </c>
      <c r="K64">
        <v>1491576300</v>
      </c>
      <c r="L64">
        <v>863.21699999999998</v>
      </c>
      <c r="M64">
        <v>2354.7932999999998</v>
      </c>
      <c r="N64" s="6">
        <f t="shared" si="3"/>
        <v>0.36657867168213876</v>
      </c>
      <c r="O64" s="7">
        <f>N64-F64</f>
        <v>-2.1662872202771188E-4</v>
      </c>
    </row>
    <row r="65" spans="1:15" x14ac:dyDescent="0.25">
      <c r="A65" s="1" t="s">
        <v>394</v>
      </c>
      <c r="B65" s="2">
        <v>412628400</v>
      </c>
      <c r="C65" s="2">
        <v>709508700</v>
      </c>
      <c r="D65">
        <f t="shared" si="0"/>
        <v>412.6284</v>
      </c>
      <c r="E65" s="11">
        <f t="shared" si="1"/>
        <v>1122.1370999999999</v>
      </c>
      <c r="F65" s="6">
        <f t="shared" si="2"/>
        <v>0.36771656511490441</v>
      </c>
      <c r="G65" t="s">
        <v>529</v>
      </c>
      <c r="H65" t="s">
        <v>394</v>
      </c>
      <c r="I65" t="str">
        <f>VLOOKUP(H65,Sheet2!$A$2:$B$459, 2, FALSE)</f>
        <v>EN</v>
      </c>
      <c r="J65">
        <v>412626600</v>
      </c>
      <c r="K65">
        <v>709506900</v>
      </c>
      <c r="L65">
        <v>412.6266</v>
      </c>
      <c r="M65">
        <v>1122.1334999999999</v>
      </c>
      <c r="N65" s="6">
        <f t="shared" si="3"/>
        <v>0.36771614072657133</v>
      </c>
      <c r="O65" s="7">
        <f>N65-F65</f>
        <v>-4.2438833308677815E-7</v>
      </c>
    </row>
    <row r="66" spans="1:15" x14ac:dyDescent="0.25">
      <c r="A66" s="1" t="s">
        <v>263</v>
      </c>
      <c r="B66" s="2">
        <v>696419100</v>
      </c>
      <c r="C66" s="2">
        <v>3445416000</v>
      </c>
      <c r="D66">
        <f t="shared" si="0"/>
        <v>696.41909999999996</v>
      </c>
      <c r="E66" s="11">
        <f t="shared" si="1"/>
        <v>4141.8351000000002</v>
      </c>
      <c r="F66" s="6">
        <f t="shared" si="2"/>
        <v>0.16814264285895883</v>
      </c>
      <c r="G66" t="s">
        <v>530</v>
      </c>
      <c r="H66" t="s">
        <v>263</v>
      </c>
      <c r="I66" t="str">
        <f>VLOOKUP(H66,Sheet2!$A$2:$B$459, 2, FALSE)</f>
        <v>EN</v>
      </c>
      <c r="J66">
        <v>695977200</v>
      </c>
      <c r="K66">
        <v>3445578900</v>
      </c>
      <c r="L66">
        <v>695.97720000000004</v>
      </c>
      <c r="M66">
        <v>4141.5560999999998</v>
      </c>
      <c r="N66" s="6">
        <f t="shared" si="3"/>
        <v>0.16804727092794905</v>
      </c>
      <c r="O66" s="7">
        <f>N66-F66</f>
        <v>-9.5371931009780031E-5</v>
      </c>
    </row>
    <row r="67" spans="1:15" x14ac:dyDescent="0.25">
      <c r="A67" s="1" t="s">
        <v>264</v>
      </c>
      <c r="B67" s="2">
        <v>647963100</v>
      </c>
      <c r="C67" s="2">
        <v>651932100</v>
      </c>
      <c r="D67">
        <f t="shared" ref="D67:D130" si="4">B67/1000000</f>
        <v>647.96310000000005</v>
      </c>
      <c r="E67" s="11">
        <f t="shared" ref="E67:E130" si="5">(B67+C67)/1000000</f>
        <v>1299.8951999999999</v>
      </c>
      <c r="F67" s="6">
        <f t="shared" ref="F67:F130" si="6">B67/(B67+C67)</f>
        <v>0.49847333846605479</v>
      </c>
      <c r="G67" t="s">
        <v>531</v>
      </c>
      <c r="H67" t="s">
        <v>264</v>
      </c>
      <c r="I67" t="str">
        <f>VLOOKUP(H67,Sheet2!$A$2:$B$459, 2, FALSE)</f>
        <v>VU</v>
      </c>
      <c r="J67">
        <v>647968500</v>
      </c>
      <c r="K67">
        <v>651933000</v>
      </c>
      <c r="L67">
        <v>647.96849999999995</v>
      </c>
      <c r="M67">
        <v>1299.9014999999999</v>
      </c>
      <c r="N67" s="6">
        <f t="shared" ref="N67:N130" si="7">L67/M67</f>
        <v>0.49847507676543185</v>
      </c>
      <c r="O67" s="7">
        <f>N67-F67</f>
        <v>1.738299377052055E-6</v>
      </c>
    </row>
    <row r="68" spans="1:15" x14ac:dyDescent="0.25">
      <c r="A68" s="1" t="s">
        <v>265</v>
      </c>
      <c r="B68" s="2">
        <v>907579800</v>
      </c>
      <c r="C68" s="2">
        <v>742670100</v>
      </c>
      <c r="D68">
        <f t="shared" si="4"/>
        <v>907.57979999999998</v>
      </c>
      <c r="E68" s="11">
        <f t="shared" si="5"/>
        <v>1650.2499</v>
      </c>
      <c r="F68" s="6">
        <f t="shared" si="6"/>
        <v>0.5499650689268335</v>
      </c>
      <c r="G68" t="s">
        <v>532</v>
      </c>
      <c r="H68" t="s">
        <v>265</v>
      </c>
      <c r="I68" t="str">
        <f>VLOOKUP(H68,Sheet2!$A$2:$B$459, 2, FALSE)</f>
        <v>EN</v>
      </c>
      <c r="J68">
        <v>908133300</v>
      </c>
      <c r="K68">
        <v>743911200</v>
      </c>
      <c r="L68">
        <v>908.13329999999996</v>
      </c>
      <c r="M68">
        <v>1652.0445</v>
      </c>
      <c r="N68" s="6">
        <f t="shared" si="7"/>
        <v>0.54970268658017385</v>
      </c>
      <c r="O68" s="7">
        <f>N68-F68</f>
        <v>-2.6238234665965088E-4</v>
      </c>
    </row>
    <row r="69" spans="1:15" x14ac:dyDescent="0.25">
      <c r="A69" s="1" t="s">
        <v>262</v>
      </c>
      <c r="B69" s="2">
        <v>416982600</v>
      </c>
      <c r="C69" s="2">
        <v>704151000</v>
      </c>
      <c r="D69">
        <f t="shared" si="4"/>
        <v>416.98259999999999</v>
      </c>
      <c r="E69" s="11">
        <f t="shared" si="5"/>
        <v>1121.1335999999999</v>
      </c>
      <c r="F69" s="6">
        <f t="shared" si="6"/>
        <v>0.37192944712387532</v>
      </c>
      <c r="G69" t="s">
        <v>533</v>
      </c>
      <c r="H69" t="s">
        <v>262</v>
      </c>
      <c r="I69" t="str">
        <f>VLOOKUP(H69,Sheet2!$A$2:$B$459, 2, FALSE)</f>
        <v>EN</v>
      </c>
      <c r="J69">
        <v>416981700</v>
      </c>
      <c r="K69">
        <v>704144700</v>
      </c>
      <c r="L69">
        <v>416.98169999999999</v>
      </c>
      <c r="M69">
        <v>1121.1264000000001</v>
      </c>
      <c r="N69" s="6">
        <f t="shared" si="7"/>
        <v>0.37193103293259344</v>
      </c>
      <c r="O69" s="7">
        <f>N69-F69</f>
        <v>1.585808718118642E-6</v>
      </c>
    </row>
    <row r="70" spans="1:15" x14ac:dyDescent="0.25">
      <c r="A70" s="1" t="s">
        <v>277</v>
      </c>
      <c r="B70" s="2">
        <v>333055800</v>
      </c>
      <c r="C70" s="2">
        <v>2894400</v>
      </c>
      <c r="D70">
        <f t="shared" si="4"/>
        <v>333.05579999999998</v>
      </c>
      <c r="E70" s="11">
        <f t="shared" si="5"/>
        <v>335.9502</v>
      </c>
      <c r="F70" s="6">
        <f t="shared" si="6"/>
        <v>0.99138443733624804</v>
      </c>
      <c r="G70" t="s">
        <v>534</v>
      </c>
      <c r="H70" t="s">
        <v>277</v>
      </c>
      <c r="I70" t="str">
        <f>VLOOKUP(H70,Sheet2!$A$2:$B$459, 2, FALSE)</f>
        <v>LC</v>
      </c>
      <c r="J70">
        <v>333056700</v>
      </c>
      <c r="K70">
        <v>2894400</v>
      </c>
      <c r="L70">
        <v>333.05669999999998</v>
      </c>
      <c r="M70">
        <v>335.9511</v>
      </c>
      <c r="N70" s="6">
        <f t="shared" si="7"/>
        <v>0.99138446041700701</v>
      </c>
      <c r="O70" s="7">
        <f>N70-F70</f>
        <v>2.3080758970728255E-8</v>
      </c>
    </row>
    <row r="71" spans="1:15" x14ac:dyDescent="0.25">
      <c r="A71" s="1" t="s">
        <v>278</v>
      </c>
      <c r="B71" s="2">
        <v>2085671700</v>
      </c>
      <c r="C71" s="2">
        <v>9028800</v>
      </c>
      <c r="D71">
        <f t="shared" si="4"/>
        <v>2085.6716999999999</v>
      </c>
      <c r="E71" s="11">
        <f t="shared" si="5"/>
        <v>2094.7004999999999</v>
      </c>
      <c r="F71" s="6">
        <f t="shared" si="6"/>
        <v>0.99568969406366203</v>
      </c>
      <c r="G71" t="s">
        <v>535</v>
      </c>
      <c r="H71" t="s">
        <v>278</v>
      </c>
      <c r="I71" t="str">
        <f>VLOOKUP(H71,Sheet2!$A$2:$B$459, 2, FALSE)</f>
        <v>LC</v>
      </c>
      <c r="J71">
        <v>2085672600</v>
      </c>
      <c r="K71">
        <v>9028800</v>
      </c>
      <c r="L71">
        <v>2085.6725999999999</v>
      </c>
      <c r="M71">
        <v>2094.7013999999999</v>
      </c>
      <c r="N71" s="6">
        <f t="shared" si="7"/>
        <v>0.99568969591560874</v>
      </c>
      <c r="O71" s="7">
        <f>N71-F71</f>
        <v>1.8519467070987616E-9</v>
      </c>
    </row>
    <row r="72" spans="1:15" x14ac:dyDescent="0.25">
      <c r="A72" s="1" t="s">
        <v>279</v>
      </c>
      <c r="B72" s="2">
        <v>361397700</v>
      </c>
      <c r="C72" s="2">
        <v>26100</v>
      </c>
      <c r="D72">
        <f t="shared" si="4"/>
        <v>361.39769999999999</v>
      </c>
      <c r="E72" s="11">
        <f t="shared" si="5"/>
        <v>361.42380000000003</v>
      </c>
      <c r="F72" s="6">
        <f t="shared" si="6"/>
        <v>0.99992778560792073</v>
      </c>
      <c r="G72" t="s">
        <v>536</v>
      </c>
      <c r="H72" t="s">
        <v>279</v>
      </c>
      <c r="I72" t="str">
        <f>VLOOKUP(H72,Sheet2!$A$2:$B$459, 2, FALSE)</f>
        <v>LC</v>
      </c>
      <c r="J72">
        <v>361397700</v>
      </c>
      <c r="K72">
        <v>26100</v>
      </c>
      <c r="L72">
        <v>361.39769999999999</v>
      </c>
      <c r="M72">
        <v>361.42380000000003</v>
      </c>
      <c r="N72" s="6">
        <f t="shared" si="7"/>
        <v>0.99992778560792051</v>
      </c>
      <c r="O72" s="7">
        <f>N72-F72</f>
        <v>0</v>
      </c>
    </row>
    <row r="73" spans="1:15" x14ac:dyDescent="0.25">
      <c r="A73" s="1" t="s">
        <v>280</v>
      </c>
      <c r="B73" s="2">
        <v>156477600</v>
      </c>
      <c r="C73" s="2">
        <v>3557700</v>
      </c>
      <c r="D73">
        <f t="shared" si="4"/>
        <v>156.4776</v>
      </c>
      <c r="E73" s="11">
        <f t="shared" si="5"/>
        <v>160.03530000000001</v>
      </c>
      <c r="F73" s="6">
        <f t="shared" si="6"/>
        <v>0.97776927965267668</v>
      </c>
      <c r="G73" t="s">
        <v>537</v>
      </c>
      <c r="H73" t="s">
        <v>280</v>
      </c>
      <c r="I73" t="str">
        <f>VLOOKUP(H73,Sheet2!$A$2:$B$459, 2, FALSE)</f>
        <v>LC</v>
      </c>
      <c r="J73">
        <v>156477600</v>
      </c>
      <c r="K73">
        <v>3557700</v>
      </c>
      <c r="L73">
        <v>156.4776</v>
      </c>
      <c r="M73">
        <v>160.03530000000001</v>
      </c>
      <c r="N73" s="6">
        <f t="shared" si="7"/>
        <v>0.97776927965267657</v>
      </c>
      <c r="O73" s="7">
        <f>N73-F73</f>
        <v>0</v>
      </c>
    </row>
    <row r="74" spans="1:15" x14ac:dyDescent="0.25">
      <c r="A74" s="1" t="s">
        <v>281</v>
      </c>
      <c r="B74" s="2">
        <v>107250300</v>
      </c>
      <c r="C74" s="2">
        <v>542700</v>
      </c>
      <c r="D74">
        <f t="shared" si="4"/>
        <v>107.2503</v>
      </c>
      <c r="E74" s="11">
        <f t="shared" si="5"/>
        <v>107.79300000000001</v>
      </c>
      <c r="F74" s="6">
        <f t="shared" si="6"/>
        <v>0.99496535025465471</v>
      </c>
      <c r="G74" t="s">
        <v>538</v>
      </c>
      <c r="H74" t="s">
        <v>281</v>
      </c>
      <c r="I74" t="str">
        <f>VLOOKUP(H74,Sheet2!$A$2:$B$459, 2, FALSE)</f>
        <v>LC</v>
      </c>
      <c r="J74">
        <v>107250300</v>
      </c>
      <c r="K74">
        <v>542700</v>
      </c>
      <c r="L74">
        <v>107.2503</v>
      </c>
      <c r="M74">
        <v>107.79300000000001</v>
      </c>
      <c r="N74" s="6">
        <f t="shared" si="7"/>
        <v>0.9949653502546546</v>
      </c>
      <c r="O74" s="7">
        <f>N74-F74</f>
        <v>0</v>
      </c>
    </row>
    <row r="75" spans="1:15" x14ac:dyDescent="0.25">
      <c r="A75" s="1" t="s">
        <v>282</v>
      </c>
      <c r="B75" s="2">
        <v>592195500</v>
      </c>
      <c r="C75" s="2">
        <v>61200</v>
      </c>
      <c r="D75">
        <f t="shared" si="4"/>
        <v>592.19550000000004</v>
      </c>
      <c r="E75" s="11">
        <f t="shared" si="5"/>
        <v>592.25670000000002</v>
      </c>
      <c r="F75" s="6">
        <f t="shared" si="6"/>
        <v>0.99989666642859421</v>
      </c>
      <c r="G75" t="s">
        <v>539</v>
      </c>
      <c r="H75" t="s">
        <v>282</v>
      </c>
      <c r="I75" t="str">
        <f>VLOOKUP(H75,Sheet2!$A$2:$B$459, 2, FALSE)</f>
        <v>LC</v>
      </c>
      <c r="J75">
        <v>592195500</v>
      </c>
      <c r="K75">
        <v>61200</v>
      </c>
      <c r="L75">
        <v>592.19550000000004</v>
      </c>
      <c r="M75">
        <v>592.25670000000002</v>
      </c>
      <c r="N75" s="6">
        <f t="shared" si="7"/>
        <v>0.99989666642859421</v>
      </c>
      <c r="O75" s="7">
        <f>N75-F75</f>
        <v>0</v>
      </c>
    </row>
    <row r="76" spans="1:15" x14ac:dyDescent="0.25">
      <c r="A76" s="1" t="s">
        <v>283</v>
      </c>
      <c r="B76" s="2">
        <v>8226000</v>
      </c>
      <c r="C76" s="2">
        <v>0</v>
      </c>
      <c r="D76">
        <f t="shared" si="4"/>
        <v>8.2260000000000009</v>
      </c>
      <c r="E76" s="11">
        <f t="shared" si="5"/>
        <v>8.2260000000000009</v>
      </c>
      <c r="F76" s="6">
        <f t="shared" si="6"/>
        <v>1</v>
      </c>
      <c r="G76" t="s">
        <v>540</v>
      </c>
      <c r="H76" t="s">
        <v>283</v>
      </c>
      <c r="I76" t="str">
        <f>VLOOKUP(H76,Sheet2!$A$2:$B$459, 2, FALSE)</f>
        <v>LC</v>
      </c>
      <c r="J76">
        <v>8226000</v>
      </c>
      <c r="K76">
        <v>0</v>
      </c>
      <c r="L76">
        <v>8.2260000000000009</v>
      </c>
      <c r="M76">
        <v>8.2260000000000009</v>
      </c>
      <c r="N76" s="6">
        <f t="shared" si="7"/>
        <v>1</v>
      </c>
      <c r="O76" s="7">
        <f>N76-F76</f>
        <v>0</v>
      </c>
    </row>
    <row r="77" spans="1:15" x14ac:dyDescent="0.25">
      <c r="A77" s="1" t="s">
        <v>284</v>
      </c>
      <c r="B77" s="2">
        <v>244534500</v>
      </c>
      <c r="C77" s="2">
        <v>2483100</v>
      </c>
      <c r="D77">
        <f t="shared" si="4"/>
        <v>244.53450000000001</v>
      </c>
      <c r="E77" s="11">
        <f t="shared" si="5"/>
        <v>247.01759999999999</v>
      </c>
      <c r="F77" s="6">
        <f t="shared" si="6"/>
        <v>0.98994767984143639</v>
      </c>
      <c r="G77" t="s">
        <v>541</v>
      </c>
      <c r="H77" t="s">
        <v>284</v>
      </c>
      <c r="I77" t="str">
        <f>VLOOKUP(H77,Sheet2!$A$2:$B$459, 2, FALSE)</f>
        <v>LC</v>
      </c>
      <c r="J77">
        <v>244534500</v>
      </c>
      <c r="K77">
        <v>2483100</v>
      </c>
      <c r="L77">
        <v>244.53450000000001</v>
      </c>
      <c r="M77">
        <v>247.01759999999999</v>
      </c>
      <c r="N77" s="6">
        <f t="shared" si="7"/>
        <v>0.9899476798414365</v>
      </c>
      <c r="O77" s="7">
        <f>N77-F77</f>
        <v>0</v>
      </c>
    </row>
    <row r="78" spans="1:15" x14ac:dyDescent="0.25">
      <c r="A78" s="1" t="s">
        <v>285</v>
      </c>
      <c r="B78" s="2">
        <v>343137600</v>
      </c>
      <c r="C78" s="2">
        <v>68400</v>
      </c>
      <c r="D78">
        <f t="shared" si="4"/>
        <v>343.13760000000002</v>
      </c>
      <c r="E78" s="11">
        <f t="shared" si="5"/>
        <v>343.20600000000002</v>
      </c>
      <c r="F78" s="6">
        <f t="shared" si="6"/>
        <v>0.9998007027849164</v>
      </c>
      <c r="G78" t="s">
        <v>542</v>
      </c>
      <c r="H78" t="s">
        <v>285</v>
      </c>
      <c r="I78" t="str">
        <f>VLOOKUP(H78,Sheet2!$A$2:$B$459, 2, FALSE)</f>
        <v>LC</v>
      </c>
      <c r="J78">
        <v>343137600</v>
      </c>
      <c r="K78">
        <v>68400</v>
      </c>
      <c r="L78">
        <v>343.13760000000002</v>
      </c>
      <c r="M78">
        <v>343.20600000000002</v>
      </c>
      <c r="N78" s="6">
        <f t="shared" si="7"/>
        <v>0.9998007027849164</v>
      </c>
      <c r="O78" s="7">
        <f>N78-F78</f>
        <v>0</v>
      </c>
    </row>
    <row r="79" spans="1:15" x14ac:dyDescent="0.25">
      <c r="A79" s="1" t="s">
        <v>286</v>
      </c>
      <c r="B79" s="2">
        <v>1201307400</v>
      </c>
      <c r="C79" s="2">
        <v>16670700</v>
      </c>
      <c r="D79">
        <f t="shared" si="4"/>
        <v>1201.3073999999999</v>
      </c>
      <c r="E79" s="11">
        <f t="shared" si="5"/>
        <v>1217.9781</v>
      </c>
      <c r="F79" s="6">
        <f t="shared" si="6"/>
        <v>0.98631280808743604</v>
      </c>
      <c r="G79" t="s">
        <v>543</v>
      </c>
      <c r="H79" t="s">
        <v>286</v>
      </c>
      <c r="I79" t="str">
        <f>VLOOKUP(H79,Sheet2!$A$2:$B$459, 2, FALSE)</f>
        <v>LC</v>
      </c>
      <c r="J79">
        <v>1201307400</v>
      </c>
      <c r="K79">
        <v>16670700</v>
      </c>
      <c r="L79">
        <v>1201.3073999999999</v>
      </c>
      <c r="M79">
        <v>1217.9781</v>
      </c>
      <c r="N79" s="6">
        <f t="shared" si="7"/>
        <v>0.98631280808743593</v>
      </c>
      <c r="O79" s="7">
        <f>N79-F79</f>
        <v>0</v>
      </c>
    </row>
    <row r="80" spans="1:15" x14ac:dyDescent="0.25">
      <c r="A80" s="1" t="s">
        <v>275</v>
      </c>
      <c r="B80" s="2">
        <v>1397700</v>
      </c>
      <c r="C80" s="2">
        <v>15679800</v>
      </c>
      <c r="D80">
        <f t="shared" si="4"/>
        <v>1.3976999999999999</v>
      </c>
      <c r="E80" s="11">
        <f t="shared" si="5"/>
        <v>17.077500000000001</v>
      </c>
      <c r="F80" s="6">
        <f t="shared" si="6"/>
        <v>8.1844532279314888E-2</v>
      </c>
      <c r="G80" t="s">
        <v>544</v>
      </c>
      <c r="H80" t="s">
        <v>275</v>
      </c>
      <c r="I80" t="str">
        <f>VLOOKUP(H80,Sheet2!$A$2:$B$459, 2, FALSE)</f>
        <v>CR</v>
      </c>
      <c r="J80">
        <v>1397700</v>
      </c>
      <c r="K80">
        <v>15679800</v>
      </c>
      <c r="L80">
        <v>1.3976999999999999</v>
      </c>
      <c r="M80">
        <v>17.077500000000001</v>
      </c>
      <c r="N80" s="6">
        <f t="shared" si="7"/>
        <v>8.1844532279314888E-2</v>
      </c>
      <c r="O80" s="7">
        <f>N80-F80</f>
        <v>0</v>
      </c>
    </row>
    <row r="81" spans="1:15" x14ac:dyDescent="0.25">
      <c r="A81" s="1" t="s">
        <v>289</v>
      </c>
      <c r="B81" s="2">
        <v>1008900</v>
      </c>
      <c r="C81" s="2">
        <v>523800</v>
      </c>
      <c r="D81">
        <f t="shared" si="4"/>
        <v>1.0088999999999999</v>
      </c>
      <c r="E81" s="11">
        <f t="shared" si="5"/>
        <v>1.5327</v>
      </c>
      <c r="F81" s="6">
        <f t="shared" si="6"/>
        <v>0.65825014679976512</v>
      </c>
      <c r="G81" t="s">
        <v>545</v>
      </c>
      <c r="H81" t="s">
        <v>289</v>
      </c>
      <c r="I81" t="str">
        <f>VLOOKUP(H81,Sheet2!$A$2:$B$459, 2, FALSE)</f>
        <v>CR</v>
      </c>
      <c r="J81">
        <v>1008900</v>
      </c>
      <c r="K81">
        <v>523800</v>
      </c>
      <c r="L81">
        <v>1.0088999999999999</v>
      </c>
      <c r="M81">
        <v>1.5327</v>
      </c>
      <c r="N81" s="6">
        <f t="shared" si="7"/>
        <v>0.65825014679976512</v>
      </c>
      <c r="O81" s="7">
        <f>N81-F81</f>
        <v>0</v>
      </c>
    </row>
    <row r="82" spans="1:15" x14ac:dyDescent="0.25">
      <c r="A82" s="1" t="s">
        <v>276</v>
      </c>
      <c r="B82" s="2">
        <v>123966900</v>
      </c>
      <c r="C82" s="2">
        <v>15964200</v>
      </c>
      <c r="D82">
        <f t="shared" si="4"/>
        <v>123.9669</v>
      </c>
      <c r="E82" s="11">
        <f t="shared" si="5"/>
        <v>139.93109999999999</v>
      </c>
      <c r="F82" s="6">
        <f t="shared" si="6"/>
        <v>0.88591385331781136</v>
      </c>
      <c r="G82" t="s">
        <v>546</v>
      </c>
      <c r="H82" t="s">
        <v>276</v>
      </c>
      <c r="I82" t="str">
        <f>VLOOKUP(H82,Sheet2!$A$2:$B$459, 2, FALSE)</f>
        <v>LC</v>
      </c>
      <c r="J82">
        <v>123966900</v>
      </c>
      <c r="K82">
        <v>15964200</v>
      </c>
      <c r="L82">
        <v>123.9669</v>
      </c>
      <c r="M82">
        <v>139.93109999999999</v>
      </c>
      <c r="N82" s="6">
        <f t="shared" si="7"/>
        <v>0.88591385331781147</v>
      </c>
      <c r="O82" s="7">
        <f>N82-F82</f>
        <v>0</v>
      </c>
    </row>
    <row r="83" spans="1:15" x14ac:dyDescent="0.25">
      <c r="A83" s="1" t="s">
        <v>287</v>
      </c>
      <c r="B83" s="2">
        <v>196300800</v>
      </c>
      <c r="C83" s="2">
        <v>20711700</v>
      </c>
      <c r="D83">
        <f t="shared" si="4"/>
        <v>196.30080000000001</v>
      </c>
      <c r="E83" s="11">
        <f t="shared" si="5"/>
        <v>217.01249999999999</v>
      </c>
      <c r="F83" s="6">
        <f t="shared" si="6"/>
        <v>0.90455987558320372</v>
      </c>
      <c r="G83" t="s">
        <v>547</v>
      </c>
      <c r="H83" t="s">
        <v>287</v>
      </c>
      <c r="I83" t="str">
        <f>VLOOKUP(H83,Sheet2!$A$2:$B$459, 2, FALSE)</f>
        <v>LC</v>
      </c>
      <c r="J83">
        <v>196300800</v>
      </c>
      <c r="K83">
        <v>20711700</v>
      </c>
      <c r="L83">
        <v>196.30080000000001</v>
      </c>
      <c r="M83">
        <v>217.01249999999999</v>
      </c>
      <c r="N83" s="6">
        <f t="shared" si="7"/>
        <v>0.90455987558320383</v>
      </c>
      <c r="O83" s="7">
        <f>N83-F83</f>
        <v>0</v>
      </c>
    </row>
    <row r="84" spans="1:15" x14ac:dyDescent="0.25">
      <c r="A84" s="1" t="s">
        <v>288</v>
      </c>
      <c r="B84" s="2">
        <v>385762500</v>
      </c>
      <c r="C84" s="2">
        <v>32508000</v>
      </c>
      <c r="D84">
        <f t="shared" si="4"/>
        <v>385.76249999999999</v>
      </c>
      <c r="E84" s="11">
        <f t="shared" si="5"/>
        <v>418.27050000000003</v>
      </c>
      <c r="F84" s="6">
        <f t="shared" si="6"/>
        <v>0.92227995997805245</v>
      </c>
      <c r="G84" t="s">
        <v>548</v>
      </c>
      <c r="H84" t="s">
        <v>288</v>
      </c>
      <c r="I84" t="str">
        <f>VLOOKUP(H84,Sheet2!$A$2:$B$459, 2, FALSE)</f>
        <v>LC</v>
      </c>
      <c r="J84">
        <v>385762500</v>
      </c>
      <c r="K84">
        <v>32508000</v>
      </c>
      <c r="L84">
        <v>385.76249999999999</v>
      </c>
      <c r="M84">
        <v>418.27050000000003</v>
      </c>
      <c r="N84" s="6">
        <f t="shared" si="7"/>
        <v>0.92227995997805234</v>
      </c>
      <c r="O84" s="7">
        <f>N84-F84</f>
        <v>0</v>
      </c>
    </row>
    <row r="85" spans="1:15" x14ac:dyDescent="0.25">
      <c r="A85" s="1" t="s">
        <v>94</v>
      </c>
      <c r="B85" s="2">
        <v>54491400</v>
      </c>
      <c r="C85" s="2">
        <v>125584200</v>
      </c>
      <c r="D85">
        <f t="shared" si="4"/>
        <v>54.491399999999999</v>
      </c>
      <c r="E85" s="11">
        <f t="shared" si="5"/>
        <v>180.07560000000001</v>
      </c>
      <c r="F85" s="6">
        <f t="shared" si="6"/>
        <v>0.30260290677915275</v>
      </c>
      <c r="G85" t="s">
        <v>549</v>
      </c>
      <c r="H85" t="s">
        <v>94</v>
      </c>
      <c r="I85" t="str">
        <f>VLOOKUP(H85,Sheet2!$A$2:$B$459, 2, FALSE)</f>
        <v>CR</v>
      </c>
      <c r="J85">
        <v>54493200</v>
      </c>
      <c r="K85">
        <v>125581500</v>
      </c>
      <c r="L85">
        <v>54.493200000000002</v>
      </c>
      <c r="M85">
        <v>180.07470000000001</v>
      </c>
      <c r="N85" s="6">
        <f t="shared" si="7"/>
        <v>0.30261441501776765</v>
      </c>
      <c r="O85" s="7">
        <f>N85-F85</f>
        <v>1.1508238614899025E-5</v>
      </c>
    </row>
    <row r="86" spans="1:15" x14ac:dyDescent="0.25">
      <c r="A86" s="1" t="s">
        <v>109</v>
      </c>
      <c r="B86" s="2">
        <v>173820600</v>
      </c>
      <c r="C86" s="2">
        <v>327845700</v>
      </c>
      <c r="D86">
        <f t="shared" si="4"/>
        <v>173.82060000000001</v>
      </c>
      <c r="E86" s="11">
        <f t="shared" si="5"/>
        <v>501.66629999999998</v>
      </c>
      <c r="F86" s="6">
        <f t="shared" si="6"/>
        <v>0.34648649909312224</v>
      </c>
      <c r="G86" t="s">
        <v>550</v>
      </c>
      <c r="H86" t="s">
        <v>109</v>
      </c>
      <c r="I86" t="str">
        <f>VLOOKUP(H86,Sheet2!$A$2:$B$459, 2, FALSE)</f>
        <v>EN</v>
      </c>
      <c r="J86">
        <v>173824200</v>
      </c>
      <c r="K86">
        <v>327847500</v>
      </c>
      <c r="L86">
        <v>173.82419999999999</v>
      </c>
      <c r="M86">
        <v>501.67169999999999</v>
      </c>
      <c r="N86" s="6">
        <f t="shared" si="7"/>
        <v>0.34648994551616125</v>
      </c>
      <c r="O86" s="7">
        <f>N86-F86</f>
        <v>3.4464230390107709E-6</v>
      </c>
    </row>
    <row r="87" spans="1:15" x14ac:dyDescent="0.25">
      <c r="A87" s="1" t="s">
        <v>110</v>
      </c>
      <c r="B87" s="2">
        <v>143291700</v>
      </c>
      <c r="C87" s="2">
        <v>333972000</v>
      </c>
      <c r="D87">
        <f t="shared" si="4"/>
        <v>143.29169999999999</v>
      </c>
      <c r="E87" s="11">
        <f t="shared" si="5"/>
        <v>477.26369999999997</v>
      </c>
      <c r="F87" s="6">
        <f t="shared" si="6"/>
        <v>0.30023590731916128</v>
      </c>
      <c r="G87" t="s">
        <v>551</v>
      </c>
      <c r="H87" t="s">
        <v>110</v>
      </c>
      <c r="I87" t="str">
        <f>VLOOKUP(H87,Sheet2!$A$2:$B$459, 2, FALSE)</f>
        <v>EN</v>
      </c>
      <c r="J87">
        <v>143292600</v>
      </c>
      <c r="K87">
        <v>333971100</v>
      </c>
      <c r="L87">
        <v>143.29259999999999</v>
      </c>
      <c r="M87">
        <v>477.26369999999997</v>
      </c>
      <c r="N87" s="6">
        <f t="shared" si="7"/>
        <v>0.30023779306911463</v>
      </c>
      <c r="O87" s="7">
        <f>N87-F87</f>
        <v>1.8857499533564415E-6</v>
      </c>
    </row>
    <row r="88" spans="1:15" x14ac:dyDescent="0.25">
      <c r="A88" s="1" t="s">
        <v>142</v>
      </c>
      <c r="B88" s="2">
        <v>5806800</v>
      </c>
      <c r="C88" s="2">
        <v>30043800</v>
      </c>
      <c r="D88">
        <f t="shared" si="4"/>
        <v>5.8068</v>
      </c>
      <c r="E88" s="11">
        <f t="shared" si="5"/>
        <v>35.8506</v>
      </c>
      <c r="F88" s="6">
        <f t="shared" si="6"/>
        <v>0.1619721845659487</v>
      </c>
      <c r="G88" t="s">
        <v>552</v>
      </c>
      <c r="H88" t="s">
        <v>142</v>
      </c>
      <c r="I88" t="str">
        <f>VLOOKUP(H88,Sheet2!$A$2:$B$459, 2, FALSE)</f>
        <v>CR</v>
      </c>
      <c r="J88">
        <v>5806800</v>
      </c>
      <c r="K88">
        <v>30043800</v>
      </c>
      <c r="L88">
        <v>5.8068</v>
      </c>
      <c r="M88">
        <v>35.8506</v>
      </c>
      <c r="N88" s="6">
        <f t="shared" si="7"/>
        <v>0.1619721845659487</v>
      </c>
      <c r="O88" s="7">
        <f>N88-F88</f>
        <v>0</v>
      </c>
    </row>
    <row r="89" spans="1:15" x14ac:dyDescent="0.25">
      <c r="A89" s="1" t="s">
        <v>95</v>
      </c>
      <c r="B89" s="2">
        <v>258949800</v>
      </c>
      <c r="C89" s="2">
        <v>20192400</v>
      </c>
      <c r="D89">
        <f t="shared" si="4"/>
        <v>258.94979999999998</v>
      </c>
      <c r="E89" s="11">
        <f t="shared" si="5"/>
        <v>279.1422</v>
      </c>
      <c r="F89" s="6">
        <f t="shared" si="6"/>
        <v>0.9276626751526641</v>
      </c>
      <c r="G89" t="s">
        <v>553</v>
      </c>
      <c r="H89" t="s">
        <v>95</v>
      </c>
      <c r="I89" t="str">
        <f>VLOOKUP(H89,Sheet2!$A$2:$B$459, 2, FALSE)</f>
        <v>LC</v>
      </c>
      <c r="J89">
        <v>258939900</v>
      </c>
      <c r="K89">
        <v>20192400</v>
      </c>
      <c r="L89">
        <v>258.93990000000002</v>
      </c>
      <c r="M89">
        <v>279.13229999999999</v>
      </c>
      <c r="N89" s="6">
        <f t="shared" si="7"/>
        <v>0.92766010956095024</v>
      </c>
      <c r="O89" s="7">
        <f>N89-F89</f>
        <v>-2.5655917138545092E-6</v>
      </c>
    </row>
    <row r="90" spans="1:15" x14ac:dyDescent="0.25">
      <c r="A90" s="1" t="s">
        <v>44</v>
      </c>
      <c r="B90" s="2">
        <v>128358900</v>
      </c>
      <c r="C90" s="2">
        <v>6075900</v>
      </c>
      <c r="D90">
        <f t="shared" si="4"/>
        <v>128.35890000000001</v>
      </c>
      <c r="E90" s="11">
        <f t="shared" si="5"/>
        <v>134.4348</v>
      </c>
      <c r="F90" s="6">
        <f t="shared" si="6"/>
        <v>0.95480411322068393</v>
      </c>
      <c r="G90" t="s">
        <v>554</v>
      </c>
      <c r="H90" t="s">
        <v>44</v>
      </c>
      <c r="I90" t="str">
        <f>VLOOKUP(H90,Sheet2!$A$2:$B$459, 2, FALSE)</f>
        <v>EN</v>
      </c>
      <c r="J90">
        <v>128356200</v>
      </c>
      <c r="K90">
        <v>6075900</v>
      </c>
      <c r="L90">
        <v>128.3562</v>
      </c>
      <c r="M90">
        <v>134.43209999999999</v>
      </c>
      <c r="N90" s="6">
        <f t="shared" si="7"/>
        <v>0.95480320548440445</v>
      </c>
      <c r="O90" s="7">
        <f>N90-F90</f>
        <v>-9.0773627947626778E-7</v>
      </c>
    </row>
    <row r="91" spans="1:15" x14ac:dyDescent="0.25">
      <c r="A91" s="1" t="s">
        <v>120</v>
      </c>
      <c r="B91" s="2">
        <v>97793100</v>
      </c>
      <c r="C91" s="2">
        <v>109800</v>
      </c>
      <c r="D91">
        <f t="shared" si="4"/>
        <v>97.793099999999995</v>
      </c>
      <c r="E91" s="11">
        <f t="shared" si="5"/>
        <v>97.902900000000002</v>
      </c>
      <c r="F91" s="6">
        <f t="shared" si="6"/>
        <v>0.99887848061701956</v>
      </c>
      <c r="G91" t="s">
        <v>555</v>
      </c>
      <c r="H91" t="s">
        <v>120</v>
      </c>
      <c r="I91" t="str">
        <f>VLOOKUP(H91,Sheet2!$A$2:$B$459, 2, FALSE)</f>
        <v>LC</v>
      </c>
      <c r="J91">
        <v>97791300</v>
      </c>
      <c r="K91">
        <v>109800</v>
      </c>
      <c r="L91">
        <v>97.791300000000007</v>
      </c>
      <c r="M91">
        <v>97.9011</v>
      </c>
      <c r="N91" s="6">
        <f t="shared" si="7"/>
        <v>0.99887845999687452</v>
      </c>
      <c r="O91" s="7">
        <f>N91-F91</f>
        <v>-2.0620145035898929E-8</v>
      </c>
    </row>
    <row r="92" spans="1:15" x14ac:dyDescent="0.25">
      <c r="A92" s="1" t="s">
        <v>42</v>
      </c>
      <c r="B92" s="2">
        <v>54157500</v>
      </c>
      <c r="C92" s="2">
        <v>7709400</v>
      </c>
      <c r="D92">
        <f t="shared" si="4"/>
        <v>54.157499999999999</v>
      </c>
      <c r="E92" s="11">
        <f t="shared" si="5"/>
        <v>61.866900000000001</v>
      </c>
      <c r="F92" s="6">
        <f t="shared" si="6"/>
        <v>0.875387323431431</v>
      </c>
      <c r="G92" t="s">
        <v>556</v>
      </c>
      <c r="H92" t="s">
        <v>42</v>
      </c>
      <c r="I92" t="str">
        <f>VLOOKUP(H92,Sheet2!$A$2:$B$459, 2, FALSE)</f>
        <v>LC</v>
      </c>
      <c r="J92">
        <v>55054800</v>
      </c>
      <c r="K92">
        <v>7713900</v>
      </c>
      <c r="L92">
        <v>55.0548</v>
      </c>
      <c r="M92">
        <v>62.768700000000003</v>
      </c>
      <c r="N92" s="6">
        <f t="shared" si="7"/>
        <v>0.87710594611645609</v>
      </c>
      <c r="O92" s="7">
        <f>N92-F92</f>
        <v>1.7186226850250952E-3</v>
      </c>
    </row>
    <row r="93" spans="1:15" x14ac:dyDescent="0.25">
      <c r="A93" s="1" t="s">
        <v>77</v>
      </c>
      <c r="B93" s="2">
        <v>96239700</v>
      </c>
      <c r="C93" s="2">
        <v>12174300</v>
      </c>
      <c r="D93">
        <f t="shared" si="4"/>
        <v>96.239699999999999</v>
      </c>
      <c r="E93" s="11">
        <f t="shared" si="5"/>
        <v>108.414</v>
      </c>
      <c r="F93" s="6">
        <f t="shared" si="6"/>
        <v>0.88770546239415571</v>
      </c>
      <c r="G93" t="s">
        <v>557</v>
      </c>
      <c r="H93" t="s">
        <v>77</v>
      </c>
      <c r="I93" t="str">
        <f>VLOOKUP(H93,Sheet2!$A$2:$B$459, 2, FALSE)</f>
        <v>LC</v>
      </c>
      <c r="J93">
        <v>96246900</v>
      </c>
      <c r="K93">
        <v>12172500</v>
      </c>
      <c r="L93">
        <v>96.246899999999997</v>
      </c>
      <c r="M93">
        <v>108.4194</v>
      </c>
      <c r="N93" s="6">
        <f t="shared" si="7"/>
        <v>0.88772765759633421</v>
      </c>
      <c r="O93" s="7">
        <f>N93-F93</f>
        <v>2.2195202178498796E-5</v>
      </c>
    </row>
    <row r="94" spans="1:15" x14ac:dyDescent="0.25">
      <c r="A94" s="1" t="s">
        <v>139</v>
      </c>
      <c r="B94" s="2">
        <v>29996100</v>
      </c>
      <c r="C94" s="2">
        <v>48025800</v>
      </c>
      <c r="D94">
        <f t="shared" si="4"/>
        <v>29.996099999999998</v>
      </c>
      <c r="E94" s="11">
        <f t="shared" si="5"/>
        <v>78.021900000000002</v>
      </c>
      <c r="F94" s="6">
        <f t="shared" si="6"/>
        <v>0.38445744079546895</v>
      </c>
      <c r="G94" t="s">
        <v>558</v>
      </c>
      <c r="H94" t="s">
        <v>139</v>
      </c>
      <c r="I94" t="str">
        <f>VLOOKUP(H94,Sheet2!$A$2:$B$459, 2, FALSE)</f>
        <v>EN</v>
      </c>
      <c r="J94">
        <v>30011400</v>
      </c>
      <c r="K94">
        <v>48027600</v>
      </c>
      <c r="L94">
        <v>30.011399999999998</v>
      </c>
      <c r="M94">
        <v>78.039000000000001</v>
      </c>
      <c r="N94" s="6">
        <f t="shared" si="7"/>
        <v>0.38456925383462109</v>
      </c>
      <c r="O94" s="7">
        <f>N94-F94</f>
        <v>1.1181303915214214E-4</v>
      </c>
    </row>
    <row r="95" spans="1:15" x14ac:dyDescent="0.25">
      <c r="A95" s="1" t="s">
        <v>106</v>
      </c>
      <c r="B95" s="2">
        <v>393782400</v>
      </c>
      <c r="C95" s="2">
        <v>475399800</v>
      </c>
      <c r="D95">
        <f t="shared" si="4"/>
        <v>393.7824</v>
      </c>
      <c r="E95" s="11">
        <f t="shared" si="5"/>
        <v>869.18219999999997</v>
      </c>
      <c r="F95" s="6">
        <f t="shared" si="6"/>
        <v>0.4530493146316158</v>
      </c>
      <c r="G95" t="s">
        <v>559</v>
      </c>
      <c r="H95" t="s">
        <v>106</v>
      </c>
      <c r="I95" t="str">
        <f>VLOOKUP(H95,Sheet2!$A$2:$B$459, 2, FALSE)</f>
        <v>EN</v>
      </c>
      <c r="J95">
        <v>393397200</v>
      </c>
      <c r="K95">
        <v>475151400</v>
      </c>
      <c r="L95">
        <v>393.3972</v>
      </c>
      <c r="M95">
        <v>868.54859999999996</v>
      </c>
      <c r="N95" s="6">
        <f t="shared" si="7"/>
        <v>0.45293631237215742</v>
      </c>
      <c r="O95" s="7">
        <f>N95-F95</f>
        <v>-1.1300225945837239E-4</v>
      </c>
    </row>
    <row r="96" spans="1:15" x14ac:dyDescent="0.25">
      <c r="A96" s="1" t="s">
        <v>48</v>
      </c>
      <c r="B96" s="2">
        <v>1109520000</v>
      </c>
      <c r="C96" s="2">
        <v>191482200</v>
      </c>
      <c r="D96">
        <f t="shared" si="4"/>
        <v>1109.52</v>
      </c>
      <c r="E96" s="11">
        <f t="shared" si="5"/>
        <v>1301.0021999999999</v>
      </c>
      <c r="F96" s="6">
        <f t="shared" si="6"/>
        <v>0.8528194648710048</v>
      </c>
      <c r="G96" t="s">
        <v>560</v>
      </c>
      <c r="H96" t="s">
        <v>48</v>
      </c>
      <c r="I96" t="str">
        <f>VLOOKUP(H96,Sheet2!$A$2:$B$459, 2, FALSE)</f>
        <v>LC</v>
      </c>
      <c r="J96">
        <v>1109523600</v>
      </c>
      <c r="K96">
        <v>191484000</v>
      </c>
      <c r="L96">
        <v>1109.5236</v>
      </c>
      <c r="M96">
        <v>1301.0075999999999</v>
      </c>
      <c r="N96" s="6">
        <f t="shared" si="7"/>
        <v>0.85281869221978412</v>
      </c>
      <c r="O96" s="7">
        <f>N96-F96</f>
        <v>-7.7265122067071701E-7</v>
      </c>
    </row>
    <row r="97" spans="1:15" x14ac:dyDescent="0.25">
      <c r="A97" s="1" t="s">
        <v>140</v>
      </c>
      <c r="B97" s="2">
        <v>31266900</v>
      </c>
      <c r="C97" s="2">
        <v>120460500</v>
      </c>
      <c r="D97">
        <f t="shared" si="4"/>
        <v>31.2669</v>
      </c>
      <c r="E97" s="11">
        <f t="shared" si="5"/>
        <v>151.72739999999999</v>
      </c>
      <c r="F97" s="6">
        <f t="shared" si="6"/>
        <v>0.20607286488795037</v>
      </c>
      <c r="G97" t="s">
        <v>561</v>
      </c>
      <c r="H97" t="s">
        <v>140</v>
      </c>
      <c r="I97" t="str">
        <f>VLOOKUP(H97,Sheet2!$A$2:$B$459, 2, FALSE)</f>
        <v>CR</v>
      </c>
      <c r="J97">
        <v>31658400</v>
      </c>
      <c r="K97">
        <v>120469500</v>
      </c>
      <c r="L97">
        <v>31.6584</v>
      </c>
      <c r="M97">
        <v>152.12790000000001</v>
      </c>
      <c r="N97" s="6">
        <f t="shared" si="7"/>
        <v>0.20810383894078599</v>
      </c>
      <c r="O97" s="7">
        <f>N97-F97</f>
        <v>2.0309740528356157E-3</v>
      </c>
    </row>
    <row r="98" spans="1:15" x14ac:dyDescent="0.25">
      <c r="A98" s="1" t="s">
        <v>9</v>
      </c>
      <c r="B98" s="2">
        <v>60330600</v>
      </c>
      <c r="C98" s="2">
        <v>16287300</v>
      </c>
      <c r="D98">
        <f t="shared" si="4"/>
        <v>60.330599999999997</v>
      </c>
      <c r="E98" s="11">
        <f t="shared" si="5"/>
        <v>76.617900000000006</v>
      </c>
      <c r="F98" s="6">
        <f t="shared" si="6"/>
        <v>0.78742173826220763</v>
      </c>
      <c r="G98" t="s">
        <v>562</v>
      </c>
      <c r="H98" t="s">
        <v>9</v>
      </c>
      <c r="I98" t="str">
        <f>VLOOKUP(H98,Sheet2!$A$2:$B$459, 2, FALSE)</f>
        <v>LC</v>
      </c>
      <c r="J98">
        <v>64955700</v>
      </c>
      <c r="K98">
        <v>16364700</v>
      </c>
      <c r="L98">
        <v>64.955699999999993</v>
      </c>
      <c r="M98">
        <v>81.320400000000006</v>
      </c>
      <c r="N98" s="6">
        <f t="shared" si="7"/>
        <v>0.79876267209703822</v>
      </c>
      <c r="O98" s="7">
        <f>N98-F98</f>
        <v>1.1340933834830591E-2</v>
      </c>
    </row>
    <row r="99" spans="1:15" x14ac:dyDescent="0.25">
      <c r="A99" s="1" t="s">
        <v>41</v>
      </c>
      <c r="B99" s="2">
        <v>775963800</v>
      </c>
      <c r="C99" s="2">
        <v>1279668600</v>
      </c>
      <c r="D99">
        <f t="shared" si="4"/>
        <v>775.96379999999999</v>
      </c>
      <c r="E99" s="11">
        <f t="shared" si="5"/>
        <v>2055.6324</v>
      </c>
      <c r="F99" s="6">
        <f t="shared" si="6"/>
        <v>0.37748179100504548</v>
      </c>
      <c r="G99" t="s">
        <v>563</v>
      </c>
      <c r="H99" t="s">
        <v>41</v>
      </c>
      <c r="I99" t="str">
        <f>VLOOKUP(H99,Sheet2!$A$2:$B$459, 2, FALSE)</f>
        <v>EN</v>
      </c>
      <c r="J99">
        <v>775971000</v>
      </c>
      <c r="K99">
        <v>1279665900</v>
      </c>
      <c r="L99">
        <v>775.971</v>
      </c>
      <c r="M99">
        <v>2055.6369</v>
      </c>
      <c r="N99" s="6">
        <f t="shared" si="7"/>
        <v>0.37748446722278628</v>
      </c>
      <c r="O99" s="7">
        <f>N99-F99</f>
        <v>2.6762177408046206E-6</v>
      </c>
    </row>
    <row r="100" spans="1:15" x14ac:dyDescent="0.25">
      <c r="A100" s="1" t="s">
        <v>143</v>
      </c>
      <c r="B100" s="2">
        <v>644634900</v>
      </c>
      <c r="C100" s="2">
        <v>364956300</v>
      </c>
      <c r="D100">
        <f t="shared" si="4"/>
        <v>644.63490000000002</v>
      </c>
      <c r="E100" s="11">
        <f t="shared" si="5"/>
        <v>1009.5912</v>
      </c>
      <c r="F100" s="6">
        <f t="shared" si="6"/>
        <v>0.6385108150704959</v>
      </c>
      <c r="G100" t="s">
        <v>564</v>
      </c>
      <c r="H100" t="s">
        <v>143</v>
      </c>
      <c r="I100" t="str">
        <f>VLOOKUP(H100,Sheet2!$A$2:$B$459, 2, FALSE)</f>
        <v>LC</v>
      </c>
      <c r="J100">
        <v>644634000</v>
      </c>
      <c r="K100">
        <v>364958100</v>
      </c>
      <c r="L100">
        <v>644.63400000000001</v>
      </c>
      <c r="M100">
        <v>1009.5921</v>
      </c>
      <c r="N100" s="6">
        <f t="shared" si="7"/>
        <v>0.63850935442145396</v>
      </c>
      <c r="O100" s="7">
        <f>N100-F100</f>
        <v>-1.4606490419399876E-6</v>
      </c>
    </row>
    <row r="101" spans="1:15" x14ac:dyDescent="0.25">
      <c r="A101" s="1" t="s">
        <v>144</v>
      </c>
      <c r="B101" s="2">
        <v>338568300</v>
      </c>
      <c r="C101" s="2">
        <v>350484300</v>
      </c>
      <c r="D101">
        <f t="shared" si="4"/>
        <v>338.56830000000002</v>
      </c>
      <c r="E101" s="11">
        <f t="shared" si="5"/>
        <v>689.05259999999998</v>
      </c>
      <c r="F101" s="6">
        <f t="shared" si="6"/>
        <v>0.49135334515826512</v>
      </c>
      <c r="G101" t="s">
        <v>565</v>
      </c>
      <c r="H101" t="s">
        <v>144</v>
      </c>
      <c r="I101" t="str">
        <f>VLOOKUP(H101,Sheet2!$A$2:$B$459, 2, FALSE)</f>
        <v>EN</v>
      </c>
      <c r="J101">
        <v>338565600</v>
      </c>
      <c r="K101">
        <v>350479800</v>
      </c>
      <c r="L101">
        <v>338.56560000000002</v>
      </c>
      <c r="M101">
        <v>689.04539999999997</v>
      </c>
      <c r="N101" s="6">
        <f t="shared" si="7"/>
        <v>0.49135456096216595</v>
      </c>
      <c r="O101" s="7">
        <f>N101-F101</f>
        <v>1.2158039008336452E-6</v>
      </c>
    </row>
    <row r="102" spans="1:15" x14ac:dyDescent="0.25">
      <c r="A102" s="1" t="s">
        <v>145</v>
      </c>
      <c r="B102" s="2">
        <v>102251700</v>
      </c>
      <c r="C102" s="2">
        <v>454715100</v>
      </c>
      <c r="D102">
        <f t="shared" si="4"/>
        <v>102.2517</v>
      </c>
      <c r="E102" s="11">
        <f t="shared" si="5"/>
        <v>556.96680000000003</v>
      </c>
      <c r="F102" s="6">
        <f t="shared" si="6"/>
        <v>0.18358670570669564</v>
      </c>
      <c r="G102" t="s">
        <v>566</v>
      </c>
      <c r="H102" t="s">
        <v>145</v>
      </c>
      <c r="I102" t="str">
        <f>VLOOKUP(H102,Sheet2!$A$2:$B$459, 2, FALSE)</f>
        <v>CR</v>
      </c>
      <c r="J102">
        <v>102251700</v>
      </c>
      <c r="K102">
        <v>454710600</v>
      </c>
      <c r="L102">
        <v>102.2517</v>
      </c>
      <c r="M102">
        <v>556.96230000000003</v>
      </c>
      <c r="N102" s="6">
        <f t="shared" si="7"/>
        <v>0.18358818900309767</v>
      </c>
      <c r="O102" s="7">
        <f>N102-F102</f>
        <v>1.4832964020383699E-6</v>
      </c>
    </row>
    <row r="103" spans="1:15" x14ac:dyDescent="0.25">
      <c r="A103" s="1" t="s">
        <v>54</v>
      </c>
      <c r="B103" s="2">
        <v>53083800</v>
      </c>
      <c r="C103" s="2">
        <v>35598600</v>
      </c>
      <c r="D103">
        <f t="shared" si="4"/>
        <v>53.083799999999997</v>
      </c>
      <c r="E103" s="11">
        <f t="shared" si="5"/>
        <v>88.682400000000001</v>
      </c>
      <c r="F103" s="6">
        <f t="shared" si="6"/>
        <v>0.59858325891044895</v>
      </c>
      <c r="G103" t="s">
        <v>567</v>
      </c>
      <c r="H103" t="s">
        <v>54</v>
      </c>
      <c r="I103" t="str">
        <f>VLOOKUP(H103,Sheet2!$A$2:$B$459, 2, FALSE)</f>
        <v>CR</v>
      </c>
      <c r="J103">
        <v>53083800</v>
      </c>
      <c r="K103">
        <v>35600400</v>
      </c>
      <c r="L103">
        <v>53.083799999999997</v>
      </c>
      <c r="M103">
        <v>88.684200000000004</v>
      </c>
      <c r="N103" s="6">
        <f t="shared" si="7"/>
        <v>0.59857110962268356</v>
      </c>
      <c r="O103" s="7">
        <f>N103-F103</f>
        <v>-1.2149287765383932E-5</v>
      </c>
    </row>
    <row r="104" spans="1:15" x14ac:dyDescent="0.25">
      <c r="A104" s="1" t="s">
        <v>0</v>
      </c>
      <c r="B104" s="2">
        <v>121248000</v>
      </c>
      <c r="C104" s="2">
        <v>126153000</v>
      </c>
      <c r="D104">
        <f t="shared" si="4"/>
        <v>121.248</v>
      </c>
      <c r="E104" s="11">
        <f t="shared" si="5"/>
        <v>247.40100000000001</v>
      </c>
      <c r="F104" s="6">
        <f t="shared" si="6"/>
        <v>0.49008694386845647</v>
      </c>
      <c r="G104" t="s">
        <v>568</v>
      </c>
      <c r="H104" t="s">
        <v>0</v>
      </c>
      <c r="I104" t="str">
        <f>VLOOKUP(H104,Sheet2!$A$2:$B$459, 2, FALSE)</f>
        <v>CR</v>
      </c>
      <c r="J104">
        <v>120705300</v>
      </c>
      <c r="K104">
        <v>126123300</v>
      </c>
      <c r="L104">
        <v>120.70529999999999</v>
      </c>
      <c r="M104">
        <v>246.82859999999999</v>
      </c>
      <c r="N104" s="6">
        <f t="shared" si="7"/>
        <v>0.48902477265600502</v>
      </c>
      <c r="O104" s="7">
        <f>N104-F104</f>
        <v>-1.062171212451446E-3</v>
      </c>
    </row>
    <row r="105" spans="1:15" x14ac:dyDescent="0.25">
      <c r="A105" s="1" t="s">
        <v>111</v>
      </c>
      <c r="B105" s="2">
        <v>43990200</v>
      </c>
      <c r="C105" s="2">
        <v>53707500</v>
      </c>
      <c r="D105">
        <f t="shared" si="4"/>
        <v>43.990200000000002</v>
      </c>
      <c r="E105" s="11">
        <f t="shared" si="5"/>
        <v>97.697699999999998</v>
      </c>
      <c r="F105" s="6">
        <f t="shared" si="6"/>
        <v>0.45026853242195058</v>
      </c>
      <c r="G105" t="s">
        <v>569</v>
      </c>
      <c r="H105" t="s">
        <v>111</v>
      </c>
      <c r="I105" t="str">
        <f>VLOOKUP(H105,Sheet2!$A$2:$B$459, 2, FALSE)</f>
        <v>CR</v>
      </c>
      <c r="J105">
        <v>43990200</v>
      </c>
      <c r="K105">
        <v>53707500</v>
      </c>
      <c r="L105">
        <v>43.990200000000002</v>
      </c>
      <c r="M105">
        <v>97.697699999999998</v>
      </c>
      <c r="N105" s="6">
        <f t="shared" si="7"/>
        <v>0.45026853242195058</v>
      </c>
      <c r="O105" s="7">
        <f>N105-F105</f>
        <v>0</v>
      </c>
    </row>
    <row r="106" spans="1:15" x14ac:dyDescent="0.25">
      <c r="A106" s="1" t="s">
        <v>8</v>
      </c>
      <c r="B106" s="2">
        <v>266386500</v>
      </c>
      <c r="C106" s="2">
        <v>250799400</v>
      </c>
      <c r="D106">
        <f t="shared" si="4"/>
        <v>266.38650000000001</v>
      </c>
      <c r="E106" s="11">
        <f t="shared" si="5"/>
        <v>517.18589999999995</v>
      </c>
      <c r="F106" s="6">
        <f t="shared" si="6"/>
        <v>0.51506914631663392</v>
      </c>
      <c r="G106" t="s">
        <v>570</v>
      </c>
      <c r="H106" t="s">
        <v>8</v>
      </c>
      <c r="I106" t="str">
        <f>VLOOKUP(H106,Sheet2!$A$2:$B$459, 2, FALSE)</f>
        <v>EN</v>
      </c>
      <c r="J106">
        <v>266753700</v>
      </c>
      <c r="K106">
        <v>250844400</v>
      </c>
      <c r="L106">
        <v>266.75369999999998</v>
      </c>
      <c r="M106">
        <v>517.59810000000004</v>
      </c>
      <c r="N106" s="6">
        <f t="shared" si="7"/>
        <v>0.51536839103543841</v>
      </c>
      <c r="O106" s="7">
        <f>N106-F106</f>
        <v>2.9924471880449222E-4</v>
      </c>
    </row>
    <row r="107" spans="1:15" x14ac:dyDescent="0.25">
      <c r="A107" s="1" t="s">
        <v>55</v>
      </c>
      <c r="B107" s="2">
        <v>239103900</v>
      </c>
      <c r="C107" s="2">
        <v>454853700</v>
      </c>
      <c r="D107">
        <f t="shared" si="4"/>
        <v>239.10390000000001</v>
      </c>
      <c r="E107" s="11">
        <f t="shared" si="5"/>
        <v>693.95759999999996</v>
      </c>
      <c r="F107" s="6">
        <f t="shared" si="6"/>
        <v>0.34455116566199434</v>
      </c>
      <c r="G107" t="s">
        <v>571</v>
      </c>
      <c r="H107" t="s">
        <v>55</v>
      </c>
      <c r="I107" t="str">
        <f>VLOOKUP(H107,Sheet2!$A$2:$B$459, 2, FALSE)</f>
        <v>EN</v>
      </c>
      <c r="J107">
        <v>239050800</v>
      </c>
      <c r="K107">
        <v>454831200</v>
      </c>
      <c r="L107">
        <v>239.05080000000001</v>
      </c>
      <c r="M107">
        <v>693.88199999999995</v>
      </c>
      <c r="N107" s="6">
        <f t="shared" si="7"/>
        <v>0.34451217930426214</v>
      </c>
      <c r="O107" s="7">
        <f>N107-F107</f>
        <v>-3.8986357732195831E-5</v>
      </c>
    </row>
    <row r="108" spans="1:15" x14ac:dyDescent="0.25">
      <c r="A108" s="1" t="s">
        <v>146</v>
      </c>
      <c r="B108" s="2">
        <v>19541700</v>
      </c>
      <c r="C108" s="2">
        <v>21030300</v>
      </c>
      <c r="D108">
        <f t="shared" si="4"/>
        <v>19.541699999999999</v>
      </c>
      <c r="E108" s="11">
        <f t="shared" si="5"/>
        <v>40.572000000000003</v>
      </c>
      <c r="F108" s="6">
        <f t="shared" si="6"/>
        <v>0.48165483584738245</v>
      </c>
      <c r="G108" t="s">
        <v>572</v>
      </c>
      <c r="H108" t="s">
        <v>146</v>
      </c>
      <c r="I108" t="str">
        <f>VLOOKUP(H108,Sheet2!$A$2:$B$459, 2, FALSE)</f>
        <v>CR</v>
      </c>
      <c r="J108">
        <v>19541700</v>
      </c>
      <c r="K108">
        <v>21030300</v>
      </c>
      <c r="L108">
        <v>19.541699999999999</v>
      </c>
      <c r="M108">
        <v>40.572000000000003</v>
      </c>
      <c r="N108" s="6">
        <f t="shared" si="7"/>
        <v>0.48165483584738239</v>
      </c>
      <c r="O108" s="7">
        <f>N108-F108</f>
        <v>0</v>
      </c>
    </row>
    <row r="109" spans="1:15" x14ac:dyDescent="0.25">
      <c r="A109" s="1" t="s">
        <v>92</v>
      </c>
      <c r="B109" s="2">
        <v>64050300</v>
      </c>
      <c r="C109" s="2">
        <v>765900</v>
      </c>
      <c r="D109">
        <f t="shared" si="4"/>
        <v>64.050299999999993</v>
      </c>
      <c r="E109" s="11">
        <f t="shared" si="5"/>
        <v>64.816199999999995</v>
      </c>
      <c r="F109" s="6">
        <f t="shared" si="6"/>
        <v>0.98818350967813606</v>
      </c>
      <c r="G109" t="s">
        <v>573</v>
      </c>
      <c r="H109" t="s">
        <v>92</v>
      </c>
      <c r="I109" t="str">
        <f>VLOOKUP(H109,Sheet2!$A$2:$B$459, 2, FALSE)</f>
        <v>LC</v>
      </c>
      <c r="J109">
        <v>64050300</v>
      </c>
      <c r="K109">
        <v>765900</v>
      </c>
      <c r="L109">
        <v>64.050299999999993</v>
      </c>
      <c r="M109">
        <v>64.816199999999995</v>
      </c>
      <c r="N109" s="6">
        <f t="shared" si="7"/>
        <v>0.98818350967813595</v>
      </c>
      <c r="O109" s="7">
        <f>N109-F109</f>
        <v>0</v>
      </c>
    </row>
    <row r="110" spans="1:15" x14ac:dyDescent="0.25">
      <c r="A110" s="1" t="s">
        <v>45</v>
      </c>
      <c r="B110" s="2">
        <v>283886100</v>
      </c>
      <c r="C110" s="2">
        <v>240082200</v>
      </c>
      <c r="D110">
        <f t="shared" si="4"/>
        <v>283.8861</v>
      </c>
      <c r="E110" s="11">
        <f t="shared" si="5"/>
        <v>523.9683</v>
      </c>
      <c r="F110" s="6">
        <f t="shared" si="6"/>
        <v>0.54180014325294101</v>
      </c>
      <c r="G110" t="s">
        <v>574</v>
      </c>
      <c r="H110" t="s">
        <v>45</v>
      </c>
      <c r="I110" t="str">
        <f>VLOOKUP(H110,Sheet2!$A$2:$B$459, 2, FALSE)</f>
        <v>EN</v>
      </c>
      <c r="J110">
        <v>283883400</v>
      </c>
      <c r="K110">
        <v>240080400</v>
      </c>
      <c r="L110">
        <v>283.88339999999999</v>
      </c>
      <c r="M110">
        <v>523.96379999999999</v>
      </c>
      <c r="N110" s="6">
        <f t="shared" si="7"/>
        <v>0.54179964341047993</v>
      </c>
      <c r="O110" s="7">
        <f>N110-F110</f>
        <v>-4.9984246108802921E-7</v>
      </c>
    </row>
    <row r="111" spans="1:15" x14ac:dyDescent="0.25">
      <c r="A111" s="1" t="s">
        <v>56</v>
      </c>
      <c r="B111" s="2">
        <v>31883400</v>
      </c>
      <c r="C111" s="2">
        <v>59947200</v>
      </c>
      <c r="D111">
        <f t="shared" si="4"/>
        <v>31.883400000000002</v>
      </c>
      <c r="E111" s="11">
        <f t="shared" si="5"/>
        <v>91.830600000000004</v>
      </c>
      <c r="F111" s="6">
        <f t="shared" si="6"/>
        <v>0.34719799282592079</v>
      </c>
      <c r="G111" t="s">
        <v>575</v>
      </c>
      <c r="H111" t="s">
        <v>56</v>
      </c>
      <c r="I111" t="str">
        <f>VLOOKUP(H111,Sheet2!$A$2:$B$459, 2, FALSE)</f>
        <v>CR</v>
      </c>
      <c r="J111">
        <v>31878900</v>
      </c>
      <c r="K111">
        <v>59949900</v>
      </c>
      <c r="L111">
        <v>31.878900000000002</v>
      </c>
      <c r="M111">
        <v>91.828800000000001</v>
      </c>
      <c r="N111" s="6">
        <f t="shared" si="7"/>
        <v>0.34715579426062415</v>
      </c>
      <c r="O111" s="7">
        <f>N111-F111</f>
        <v>-4.2198565296636126E-5</v>
      </c>
    </row>
    <row r="112" spans="1:15" x14ac:dyDescent="0.25">
      <c r="A112" s="1" t="s">
        <v>112</v>
      </c>
      <c r="B112" s="2">
        <v>14148000</v>
      </c>
      <c r="C112" s="2">
        <v>2776500</v>
      </c>
      <c r="D112">
        <f t="shared" si="4"/>
        <v>14.148</v>
      </c>
      <c r="E112" s="11">
        <f t="shared" si="5"/>
        <v>16.924499999999998</v>
      </c>
      <c r="F112" s="6">
        <f t="shared" si="6"/>
        <v>0.83594788620047855</v>
      </c>
      <c r="G112" t="s">
        <v>576</v>
      </c>
      <c r="H112" t="s">
        <v>112</v>
      </c>
      <c r="I112" t="str">
        <f>VLOOKUP(H112,Sheet2!$A$2:$B$459, 2, FALSE)</f>
        <v>LC</v>
      </c>
      <c r="J112">
        <v>14217300</v>
      </c>
      <c r="K112">
        <v>2776500</v>
      </c>
      <c r="L112">
        <v>14.2173</v>
      </c>
      <c r="M112">
        <v>16.9938</v>
      </c>
      <c r="N112" s="6">
        <f t="shared" si="7"/>
        <v>0.83661688380468169</v>
      </c>
      <c r="O112" s="7">
        <f>N112-F112</f>
        <v>6.6899760420313648E-4</v>
      </c>
    </row>
    <row r="113" spans="1:15" x14ac:dyDescent="0.25">
      <c r="A113" s="1" t="s">
        <v>47</v>
      </c>
      <c r="B113" s="2">
        <v>182916000</v>
      </c>
      <c r="C113" s="2">
        <v>315254700</v>
      </c>
      <c r="D113">
        <f t="shared" si="4"/>
        <v>182.916</v>
      </c>
      <c r="E113" s="11">
        <f t="shared" si="5"/>
        <v>498.17070000000001</v>
      </c>
      <c r="F113" s="6">
        <f t="shared" si="6"/>
        <v>0.36717534772719473</v>
      </c>
      <c r="G113" t="s">
        <v>577</v>
      </c>
      <c r="H113" t="s">
        <v>47</v>
      </c>
      <c r="I113" t="str">
        <f>VLOOKUP(H113,Sheet2!$A$2:$B$459, 2, FALSE)</f>
        <v>CR</v>
      </c>
      <c r="J113">
        <v>182976300</v>
      </c>
      <c r="K113">
        <v>315368100</v>
      </c>
      <c r="L113">
        <v>182.97630000000001</v>
      </c>
      <c r="M113">
        <v>498.34440000000001</v>
      </c>
      <c r="N113" s="6">
        <f t="shared" si="7"/>
        <v>0.36716836789978979</v>
      </c>
      <c r="O113" s="7">
        <f>N113-F113</f>
        <v>-6.9798274049404085E-6</v>
      </c>
    </row>
    <row r="114" spans="1:15" x14ac:dyDescent="0.25">
      <c r="A114" s="1" t="s">
        <v>96</v>
      </c>
      <c r="B114" s="2">
        <v>201724200</v>
      </c>
      <c r="C114" s="2">
        <v>226298700</v>
      </c>
      <c r="D114">
        <f t="shared" si="4"/>
        <v>201.7242</v>
      </c>
      <c r="E114" s="11">
        <f t="shared" si="5"/>
        <v>428.02289999999999</v>
      </c>
      <c r="F114" s="6">
        <f t="shared" si="6"/>
        <v>0.47129300792083789</v>
      </c>
      <c r="G114" t="s">
        <v>578</v>
      </c>
      <c r="H114" t="s">
        <v>96</v>
      </c>
      <c r="I114" t="str">
        <f>VLOOKUP(H114,Sheet2!$A$2:$B$459, 2, FALSE)</f>
        <v>CR</v>
      </c>
      <c r="J114">
        <v>201724200</v>
      </c>
      <c r="K114">
        <v>226300500</v>
      </c>
      <c r="L114">
        <v>201.7242</v>
      </c>
      <c r="M114">
        <v>428.0247</v>
      </c>
      <c r="N114" s="6">
        <f t="shared" si="7"/>
        <v>0.47129102596181949</v>
      </c>
      <c r="O114" s="7">
        <f>N114-F114</f>
        <v>-1.9819590184044777E-6</v>
      </c>
    </row>
    <row r="115" spans="1:15" x14ac:dyDescent="0.25">
      <c r="A115" s="1" t="s">
        <v>78</v>
      </c>
      <c r="B115" s="2">
        <v>278259300</v>
      </c>
      <c r="C115" s="2">
        <v>5015700</v>
      </c>
      <c r="D115">
        <f t="shared" si="4"/>
        <v>278.2593</v>
      </c>
      <c r="E115" s="11">
        <f t="shared" si="5"/>
        <v>283.27499999999998</v>
      </c>
      <c r="F115" s="6">
        <f t="shared" si="6"/>
        <v>0.98229388403494833</v>
      </c>
      <c r="G115" t="s">
        <v>579</v>
      </c>
      <c r="H115" t="s">
        <v>78</v>
      </c>
      <c r="I115" t="str">
        <f>VLOOKUP(H115,Sheet2!$A$2:$B$459, 2, FALSE)</f>
        <v>LC</v>
      </c>
      <c r="J115">
        <v>278293500</v>
      </c>
      <c r="K115">
        <v>5015700</v>
      </c>
      <c r="L115">
        <v>278.29349999999999</v>
      </c>
      <c r="M115">
        <v>283.30919999999998</v>
      </c>
      <c r="N115" s="6">
        <f t="shared" si="7"/>
        <v>0.98229602144935646</v>
      </c>
      <c r="O115" s="7">
        <f>N115-F115</f>
        <v>2.1374144081320878E-6</v>
      </c>
    </row>
    <row r="116" spans="1:15" x14ac:dyDescent="0.25">
      <c r="A116" s="1" t="s">
        <v>147</v>
      </c>
      <c r="B116" s="2">
        <v>5591700</v>
      </c>
      <c r="C116" s="2">
        <v>7034400</v>
      </c>
      <c r="D116">
        <f t="shared" si="4"/>
        <v>5.5917000000000003</v>
      </c>
      <c r="E116" s="11">
        <f t="shared" si="5"/>
        <v>12.626099999999999</v>
      </c>
      <c r="F116" s="6">
        <f t="shared" si="6"/>
        <v>0.44286834414427256</v>
      </c>
      <c r="G116" t="s">
        <v>580</v>
      </c>
      <c r="H116" t="s">
        <v>147</v>
      </c>
      <c r="I116" t="str">
        <f>VLOOKUP(H116,Sheet2!$A$2:$B$459, 2, FALSE)</f>
        <v>VU</v>
      </c>
      <c r="J116">
        <v>5591700</v>
      </c>
      <c r="K116">
        <v>7034400</v>
      </c>
      <c r="L116">
        <v>5.5917000000000003</v>
      </c>
      <c r="M116">
        <v>12.626099999999999</v>
      </c>
      <c r="N116" s="6">
        <f t="shared" si="7"/>
        <v>0.44286834414427262</v>
      </c>
      <c r="O116" s="7">
        <f>N116-F116</f>
        <v>0</v>
      </c>
    </row>
    <row r="117" spans="1:15" x14ac:dyDescent="0.25">
      <c r="A117" s="1" t="s">
        <v>121</v>
      </c>
      <c r="B117" s="2">
        <v>101369700</v>
      </c>
      <c r="C117" s="2">
        <v>5156100</v>
      </c>
      <c r="D117">
        <f t="shared" si="4"/>
        <v>101.36969999999999</v>
      </c>
      <c r="E117" s="11">
        <f t="shared" si="5"/>
        <v>106.5258</v>
      </c>
      <c r="F117" s="6">
        <f t="shared" si="6"/>
        <v>0.9515976411348237</v>
      </c>
      <c r="G117" t="s">
        <v>581</v>
      </c>
      <c r="H117" t="s">
        <v>121</v>
      </c>
      <c r="I117" t="str">
        <f>VLOOKUP(H117,Sheet2!$A$2:$B$459, 2, FALSE)</f>
        <v>LC</v>
      </c>
      <c r="J117">
        <v>101370600</v>
      </c>
      <c r="K117">
        <v>5156100</v>
      </c>
      <c r="L117">
        <v>101.3706</v>
      </c>
      <c r="M117">
        <v>106.52670000000001</v>
      </c>
      <c r="N117" s="6">
        <f t="shared" si="7"/>
        <v>0.95159805006632137</v>
      </c>
      <c r="O117" s="7">
        <f>N117-F117</f>
        <v>4.0893149766407788E-7</v>
      </c>
    </row>
    <row r="118" spans="1:15" x14ac:dyDescent="0.25">
      <c r="A118" s="1" t="s">
        <v>122</v>
      </c>
      <c r="B118" s="2">
        <v>63920700</v>
      </c>
      <c r="C118" s="2">
        <v>11211300</v>
      </c>
      <c r="D118">
        <f t="shared" si="4"/>
        <v>63.920699999999997</v>
      </c>
      <c r="E118" s="11">
        <f t="shared" si="5"/>
        <v>75.132000000000005</v>
      </c>
      <c r="F118" s="6">
        <f t="shared" si="6"/>
        <v>0.85077862961188311</v>
      </c>
      <c r="G118" t="s">
        <v>582</v>
      </c>
      <c r="H118" t="s">
        <v>122</v>
      </c>
      <c r="I118" t="str">
        <f>VLOOKUP(H118,Sheet2!$A$2:$B$459, 2, FALSE)</f>
        <v>LC</v>
      </c>
      <c r="J118">
        <v>63920700</v>
      </c>
      <c r="K118">
        <v>11211300</v>
      </c>
      <c r="L118">
        <v>63.920699999999997</v>
      </c>
      <c r="M118">
        <v>75.132000000000005</v>
      </c>
      <c r="N118" s="6">
        <f t="shared" si="7"/>
        <v>0.850778629611883</v>
      </c>
      <c r="O118" s="7">
        <f>N118-F118</f>
        <v>0</v>
      </c>
    </row>
    <row r="119" spans="1:15" x14ac:dyDescent="0.25">
      <c r="A119" s="1" t="s">
        <v>113</v>
      </c>
      <c r="B119" s="2">
        <v>205085700</v>
      </c>
      <c r="C119" s="2">
        <v>111776400</v>
      </c>
      <c r="D119">
        <f t="shared" si="4"/>
        <v>205.0857</v>
      </c>
      <c r="E119" s="11">
        <f t="shared" si="5"/>
        <v>316.8621</v>
      </c>
      <c r="F119" s="6">
        <f t="shared" si="6"/>
        <v>0.64723960360043065</v>
      </c>
      <c r="G119" t="s">
        <v>583</v>
      </c>
      <c r="H119" t="s">
        <v>113</v>
      </c>
      <c r="I119" t="str">
        <f>VLOOKUP(H119,Sheet2!$A$2:$B$459, 2, FALSE)</f>
        <v>EN</v>
      </c>
      <c r="J119">
        <v>206364600</v>
      </c>
      <c r="K119">
        <v>111784500</v>
      </c>
      <c r="L119">
        <v>206.3646</v>
      </c>
      <c r="M119">
        <v>318.14909999999998</v>
      </c>
      <c r="N119" s="6">
        <f t="shared" si="7"/>
        <v>0.64864115598629701</v>
      </c>
      <c r="O119" s="7">
        <f>N119-F119</f>
        <v>1.401552385866367E-3</v>
      </c>
    </row>
    <row r="120" spans="1:15" x14ac:dyDescent="0.25">
      <c r="A120" s="1" t="s">
        <v>148</v>
      </c>
      <c r="B120" s="2">
        <v>36639000</v>
      </c>
      <c r="C120" s="2">
        <v>47352600</v>
      </c>
      <c r="D120">
        <f t="shared" si="4"/>
        <v>36.639000000000003</v>
      </c>
      <c r="E120" s="11">
        <f t="shared" si="5"/>
        <v>83.991600000000005</v>
      </c>
      <c r="F120" s="6">
        <f t="shared" si="6"/>
        <v>0.43622219364793624</v>
      </c>
      <c r="G120" t="s">
        <v>584</v>
      </c>
      <c r="H120" t="s">
        <v>148</v>
      </c>
      <c r="I120" t="str">
        <f>VLOOKUP(H120,Sheet2!$A$2:$B$459, 2, FALSE)</f>
        <v>CR</v>
      </c>
      <c r="J120">
        <v>36639000</v>
      </c>
      <c r="K120">
        <v>47353500</v>
      </c>
      <c r="L120">
        <v>36.639000000000003</v>
      </c>
      <c r="M120">
        <v>83.992500000000007</v>
      </c>
      <c r="N120" s="6">
        <f t="shared" si="7"/>
        <v>0.43621751942137693</v>
      </c>
      <c r="O120" s="7">
        <f>N120-F120</f>
        <v>-4.6742265593091581E-6</v>
      </c>
    </row>
    <row r="121" spans="1:15" x14ac:dyDescent="0.25">
      <c r="A121" s="1" t="s">
        <v>70</v>
      </c>
      <c r="B121" s="2">
        <v>70511400</v>
      </c>
      <c r="C121" s="2">
        <v>208953000</v>
      </c>
      <c r="D121">
        <f t="shared" si="4"/>
        <v>70.511399999999995</v>
      </c>
      <c r="E121" s="11">
        <f t="shared" si="5"/>
        <v>279.46440000000001</v>
      </c>
      <c r="F121" s="6">
        <f t="shared" si="6"/>
        <v>0.25230905975859536</v>
      </c>
      <c r="G121" t="s">
        <v>585</v>
      </c>
      <c r="H121" t="s">
        <v>70</v>
      </c>
      <c r="I121" t="str">
        <f>VLOOKUP(H121,Sheet2!$A$2:$B$459, 2, FALSE)</f>
        <v>CR</v>
      </c>
      <c r="J121">
        <v>70511400</v>
      </c>
      <c r="K121">
        <v>208950300</v>
      </c>
      <c r="L121">
        <v>70.511399999999995</v>
      </c>
      <c r="M121">
        <v>279.46170000000001</v>
      </c>
      <c r="N121" s="6">
        <f t="shared" si="7"/>
        <v>0.25231149742522857</v>
      </c>
      <c r="O121" s="7">
        <f>N121-F121</f>
        <v>2.4376666332148744E-6</v>
      </c>
    </row>
    <row r="122" spans="1:15" x14ac:dyDescent="0.25">
      <c r="A122" s="1" t="s">
        <v>114</v>
      </c>
      <c r="B122" s="2">
        <v>149784300</v>
      </c>
      <c r="C122" s="2">
        <v>116847900</v>
      </c>
      <c r="D122">
        <f t="shared" si="4"/>
        <v>149.7843</v>
      </c>
      <c r="E122" s="11">
        <f t="shared" si="5"/>
        <v>266.63220000000001</v>
      </c>
      <c r="F122" s="6">
        <f t="shared" si="6"/>
        <v>0.56176373296248538</v>
      </c>
      <c r="G122" t="s">
        <v>586</v>
      </c>
      <c r="H122" t="s">
        <v>114</v>
      </c>
      <c r="I122" t="str">
        <f>VLOOKUP(H122,Sheet2!$A$2:$B$459, 2, FALSE)</f>
        <v>CR</v>
      </c>
      <c r="J122">
        <v>149785200</v>
      </c>
      <c r="K122">
        <v>116847900</v>
      </c>
      <c r="L122">
        <v>149.7852</v>
      </c>
      <c r="M122">
        <v>266.63310000000001</v>
      </c>
      <c r="N122" s="6">
        <f t="shared" si="7"/>
        <v>0.56176521219608522</v>
      </c>
      <c r="O122" s="7">
        <f>N122-F122</f>
        <v>1.4792335998325967E-6</v>
      </c>
    </row>
    <row r="123" spans="1:15" x14ac:dyDescent="0.25">
      <c r="A123" s="1" t="s">
        <v>107</v>
      </c>
      <c r="B123" s="2">
        <v>145063800</v>
      </c>
      <c r="C123" s="2">
        <v>41710500</v>
      </c>
      <c r="D123">
        <f t="shared" si="4"/>
        <v>145.06379999999999</v>
      </c>
      <c r="E123" s="11">
        <f t="shared" si="5"/>
        <v>186.77430000000001</v>
      </c>
      <c r="F123" s="6">
        <f t="shared" si="6"/>
        <v>0.77667966095977869</v>
      </c>
      <c r="G123" t="s">
        <v>587</v>
      </c>
      <c r="H123" t="s">
        <v>107</v>
      </c>
      <c r="I123" t="str">
        <f>VLOOKUP(H123,Sheet2!$A$2:$B$459, 2, FALSE)</f>
        <v>LC</v>
      </c>
      <c r="J123">
        <v>145063800</v>
      </c>
      <c r="K123">
        <v>41710500</v>
      </c>
      <c r="L123">
        <v>145.06379999999999</v>
      </c>
      <c r="M123">
        <v>186.77430000000001</v>
      </c>
      <c r="N123" s="6">
        <f t="shared" si="7"/>
        <v>0.77667966095977858</v>
      </c>
      <c r="O123" s="7">
        <f>N123-F123</f>
        <v>0</v>
      </c>
    </row>
    <row r="124" spans="1:15" x14ac:dyDescent="0.25">
      <c r="A124" s="1" t="s">
        <v>141</v>
      </c>
      <c r="B124" s="2">
        <v>249174900</v>
      </c>
      <c r="C124" s="2">
        <v>314480700</v>
      </c>
      <c r="D124">
        <f t="shared" si="4"/>
        <v>249.17490000000001</v>
      </c>
      <c r="E124" s="11">
        <f t="shared" si="5"/>
        <v>563.65560000000005</v>
      </c>
      <c r="F124" s="6">
        <f t="shared" si="6"/>
        <v>0.44206941259875709</v>
      </c>
      <c r="G124" t="s">
        <v>588</v>
      </c>
      <c r="H124" t="s">
        <v>141</v>
      </c>
      <c r="I124" t="str">
        <f>VLOOKUP(H124,Sheet2!$A$2:$B$459, 2, FALSE)</f>
        <v>EN</v>
      </c>
      <c r="J124">
        <v>250163100</v>
      </c>
      <c r="K124">
        <v>314575200</v>
      </c>
      <c r="L124">
        <v>250.16309999999999</v>
      </c>
      <c r="M124">
        <v>564.73829999999998</v>
      </c>
      <c r="N124" s="6">
        <f t="shared" si="7"/>
        <v>0.44297172690430237</v>
      </c>
      <c r="O124" s="7">
        <f>N124-F124</f>
        <v>9.0231430554527092E-4</v>
      </c>
    </row>
    <row r="125" spans="1:15" x14ac:dyDescent="0.25">
      <c r="A125" s="1" t="s">
        <v>49</v>
      </c>
      <c r="B125" s="2">
        <v>258739200</v>
      </c>
      <c r="C125" s="2">
        <v>28231200</v>
      </c>
      <c r="D125">
        <f t="shared" si="4"/>
        <v>258.73919999999998</v>
      </c>
      <c r="E125" s="11">
        <f t="shared" si="5"/>
        <v>286.97039999999998</v>
      </c>
      <c r="F125" s="6">
        <f t="shared" si="6"/>
        <v>0.90162330330933083</v>
      </c>
      <c r="G125" t="s">
        <v>589</v>
      </c>
      <c r="H125" t="s">
        <v>49</v>
      </c>
      <c r="I125" t="str">
        <f>VLOOKUP(H125,Sheet2!$A$2:$B$459, 2, FALSE)</f>
        <v>CR</v>
      </c>
      <c r="J125">
        <v>265512600</v>
      </c>
      <c r="K125">
        <v>28497600</v>
      </c>
      <c r="L125">
        <v>265.51260000000002</v>
      </c>
      <c r="M125">
        <v>294.0102</v>
      </c>
      <c r="N125" s="6">
        <f t="shared" si="7"/>
        <v>0.90307275053722635</v>
      </c>
      <c r="O125" s="7">
        <f>N125-F125</f>
        <v>1.4494472278955284E-3</v>
      </c>
    </row>
    <row r="126" spans="1:15" x14ac:dyDescent="0.25">
      <c r="A126" s="1" t="s">
        <v>51</v>
      </c>
      <c r="B126" s="2">
        <v>665037900</v>
      </c>
      <c r="C126" s="2">
        <v>29245500</v>
      </c>
      <c r="D126">
        <f t="shared" si="4"/>
        <v>665.03790000000004</v>
      </c>
      <c r="E126" s="11">
        <f t="shared" si="5"/>
        <v>694.28340000000003</v>
      </c>
      <c r="F126" s="6">
        <f t="shared" si="6"/>
        <v>0.95787671144089004</v>
      </c>
      <c r="G126" t="s">
        <v>590</v>
      </c>
      <c r="H126" t="s">
        <v>51</v>
      </c>
      <c r="I126" t="str">
        <f>VLOOKUP(H126,Sheet2!$A$2:$B$459, 2, FALSE)</f>
        <v>LC</v>
      </c>
      <c r="J126">
        <v>660994200</v>
      </c>
      <c r="K126">
        <v>29272500</v>
      </c>
      <c r="L126">
        <v>660.99419999999998</v>
      </c>
      <c r="M126">
        <v>690.26670000000001</v>
      </c>
      <c r="N126" s="6">
        <f t="shared" si="7"/>
        <v>0.9575924783855283</v>
      </c>
      <c r="O126" s="7">
        <f>N126-F126</f>
        <v>-2.8423305536173782E-4</v>
      </c>
    </row>
    <row r="127" spans="1:15" x14ac:dyDescent="0.25">
      <c r="A127" s="1" t="s">
        <v>7</v>
      </c>
      <c r="B127" s="2">
        <v>624447900</v>
      </c>
      <c r="C127" s="2">
        <v>167298300</v>
      </c>
      <c r="D127">
        <f t="shared" si="4"/>
        <v>624.4479</v>
      </c>
      <c r="E127" s="11">
        <f t="shared" si="5"/>
        <v>791.74620000000004</v>
      </c>
      <c r="F127" s="6">
        <f t="shared" si="6"/>
        <v>0.78869705973959836</v>
      </c>
      <c r="G127" t="s">
        <v>591</v>
      </c>
      <c r="H127" t="s">
        <v>7</v>
      </c>
      <c r="I127" t="str">
        <f>VLOOKUP(H127,Sheet2!$A$2:$B$459, 2, FALSE)</f>
        <v>LC</v>
      </c>
      <c r="J127">
        <v>613953000</v>
      </c>
      <c r="K127">
        <v>167375700</v>
      </c>
      <c r="L127">
        <v>613.95299999999997</v>
      </c>
      <c r="M127">
        <v>781.32870000000003</v>
      </c>
      <c r="N127" s="6">
        <f t="shared" si="7"/>
        <v>0.78578068359705711</v>
      </c>
      <c r="O127" s="7">
        <f>N127-F127</f>
        <v>-2.9163761425412549E-3</v>
      </c>
    </row>
    <row r="128" spans="1:15" x14ac:dyDescent="0.25">
      <c r="A128" s="1" t="s">
        <v>290</v>
      </c>
      <c r="B128" s="2">
        <v>49006800</v>
      </c>
      <c r="C128" s="2">
        <v>0</v>
      </c>
      <c r="D128">
        <f t="shared" si="4"/>
        <v>49.006799999999998</v>
      </c>
      <c r="E128" s="11">
        <f t="shared" si="5"/>
        <v>49.006799999999998</v>
      </c>
      <c r="F128" s="6">
        <f t="shared" si="6"/>
        <v>1</v>
      </c>
      <c r="G128" t="s">
        <v>592</v>
      </c>
      <c r="H128" t="s">
        <v>290</v>
      </c>
      <c r="I128" t="str">
        <f>VLOOKUP(H128,Sheet2!$A$2:$B$459, 2, FALSE)</f>
        <v>LC</v>
      </c>
      <c r="J128">
        <v>49007700</v>
      </c>
      <c r="K128">
        <v>0</v>
      </c>
      <c r="L128">
        <v>49.0077</v>
      </c>
      <c r="M128">
        <v>49.0077</v>
      </c>
      <c r="N128" s="6">
        <f t="shared" si="7"/>
        <v>1</v>
      </c>
      <c r="O128" s="7">
        <f>N128-F128</f>
        <v>0</v>
      </c>
    </row>
    <row r="129" spans="1:15" x14ac:dyDescent="0.25">
      <c r="A129" s="1" t="s">
        <v>97</v>
      </c>
      <c r="B129" s="2">
        <v>1618548300</v>
      </c>
      <c r="C129" s="2">
        <v>27593100</v>
      </c>
      <c r="D129">
        <f t="shared" si="4"/>
        <v>1618.5482999999999</v>
      </c>
      <c r="E129" s="11">
        <f t="shared" si="5"/>
        <v>1646.1414</v>
      </c>
      <c r="F129" s="6">
        <f t="shared" si="6"/>
        <v>0.98323770971315105</v>
      </c>
      <c r="G129" t="s">
        <v>593</v>
      </c>
      <c r="H129" t="s">
        <v>97</v>
      </c>
      <c r="I129" t="str">
        <f>VLOOKUP(H129,Sheet2!$A$2:$B$459, 2, FALSE)</f>
        <v>LC</v>
      </c>
      <c r="J129">
        <v>1618551000</v>
      </c>
      <c r="K129">
        <v>27593100</v>
      </c>
      <c r="L129">
        <v>1618.5509999999999</v>
      </c>
      <c r="M129">
        <v>1646.1441</v>
      </c>
      <c r="N129" s="6">
        <f t="shared" si="7"/>
        <v>0.98323773720660301</v>
      </c>
      <c r="O129" s="7">
        <f>N129-F129</f>
        <v>2.7493451959514914E-8</v>
      </c>
    </row>
    <row r="130" spans="1:15" x14ac:dyDescent="0.25">
      <c r="A130" s="1" t="s">
        <v>123</v>
      </c>
      <c r="B130" s="2">
        <v>1250472600</v>
      </c>
      <c r="C130" s="2">
        <v>17757000</v>
      </c>
      <c r="D130">
        <f t="shared" si="4"/>
        <v>1250.4726000000001</v>
      </c>
      <c r="E130" s="11">
        <f t="shared" si="5"/>
        <v>1268.2295999999999</v>
      </c>
      <c r="F130" s="6">
        <f t="shared" si="6"/>
        <v>0.98599859205304785</v>
      </c>
      <c r="G130" t="s">
        <v>594</v>
      </c>
      <c r="H130" t="s">
        <v>123</v>
      </c>
      <c r="I130" t="str">
        <f>VLOOKUP(H130,Sheet2!$A$2:$B$459, 2, FALSE)</f>
        <v>LC</v>
      </c>
      <c r="J130">
        <v>1250476200</v>
      </c>
      <c r="K130">
        <v>17757900</v>
      </c>
      <c r="L130">
        <v>1250.4762000000001</v>
      </c>
      <c r="M130">
        <v>1268.2340999999999</v>
      </c>
      <c r="N130" s="6">
        <f t="shared" si="7"/>
        <v>0.98599793208525155</v>
      </c>
      <c r="O130" s="7">
        <f>N130-F130</f>
        <v>-6.5996779630150826E-7</v>
      </c>
    </row>
    <row r="131" spans="1:15" x14ac:dyDescent="0.25">
      <c r="A131" s="1" t="s">
        <v>115</v>
      </c>
      <c r="B131" s="2">
        <v>91650600</v>
      </c>
      <c r="C131" s="2">
        <v>6198300</v>
      </c>
      <c r="D131">
        <f t="shared" ref="D131:D194" si="8">B131/1000000</f>
        <v>91.650599999999997</v>
      </c>
      <c r="E131" s="11">
        <f t="shared" ref="E131:E194" si="9">(B131+C131)/1000000</f>
        <v>97.8489</v>
      </c>
      <c r="F131" s="6">
        <f t="shared" ref="F131:F194" si="10">B131/(B131+C131)</f>
        <v>0.93665437220040282</v>
      </c>
      <c r="G131" t="s">
        <v>595</v>
      </c>
      <c r="H131" t="s">
        <v>115</v>
      </c>
      <c r="I131" t="str">
        <f>VLOOKUP(H131,Sheet2!$A$2:$B$459, 2, FALSE)</f>
        <v>LC</v>
      </c>
      <c r="J131">
        <v>91650600</v>
      </c>
      <c r="K131">
        <v>6198300</v>
      </c>
      <c r="L131">
        <v>91.650599999999997</v>
      </c>
      <c r="M131">
        <v>97.8489</v>
      </c>
      <c r="N131" s="6">
        <f t="shared" ref="N131:N194" si="11">L131/M131</f>
        <v>0.93665437220040282</v>
      </c>
      <c r="O131" s="7">
        <f>N131-F131</f>
        <v>0</v>
      </c>
    </row>
    <row r="132" spans="1:15" x14ac:dyDescent="0.25">
      <c r="A132" s="1" t="s">
        <v>79</v>
      </c>
      <c r="B132" s="2">
        <v>388463400</v>
      </c>
      <c r="C132" s="2">
        <v>413100</v>
      </c>
      <c r="D132">
        <f t="shared" si="8"/>
        <v>388.46339999999998</v>
      </c>
      <c r="E132" s="11">
        <f t="shared" si="9"/>
        <v>388.87650000000002</v>
      </c>
      <c r="F132" s="6">
        <f t="shared" si="10"/>
        <v>0.99893770901558721</v>
      </c>
      <c r="G132" t="s">
        <v>596</v>
      </c>
      <c r="H132" t="s">
        <v>79</v>
      </c>
      <c r="I132" t="str">
        <f>VLOOKUP(H132,Sheet2!$A$2:$B$459, 2, FALSE)</f>
        <v>LC</v>
      </c>
      <c r="J132">
        <v>388460700</v>
      </c>
      <c r="K132">
        <v>413100</v>
      </c>
      <c r="L132">
        <v>388.46069999999997</v>
      </c>
      <c r="M132">
        <v>388.87380000000002</v>
      </c>
      <c r="N132" s="6">
        <f t="shared" si="11"/>
        <v>0.99893770163996642</v>
      </c>
      <c r="O132" s="7">
        <f>N132-F132</f>
        <v>-7.3756207807917917E-9</v>
      </c>
    </row>
    <row r="133" spans="1:15" x14ac:dyDescent="0.25">
      <c r="A133" s="1" t="s">
        <v>80</v>
      </c>
      <c r="B133" s="2">
        <v>670293900</v>
      </c>
      <c r="C133" s="2">
        <v>13131000</v>
      </c>
      <c r="D133">
        <f t="shared" si="8"/>
        <v>670.29390000000001</v>
      </c>
      <c r="E133" s="11">
        <f t="shared" si="9"/>
        <v>683.42489999999998</v>
      </c>
      <c r="F133" s="6">
        <f t="shared" si="10"/>
        <v>0.98078647705109956</v>
      </c>
      <c r="G133" t="s">
        <v>597</v>
      </c>
      <c r="H133" t="s">
        <v>80</v>
      </c>
      <c r="I133" t="str">
        <f>VLOOKUP(H133,Sheet2!$A$2:$B$459, 2, FALSE)</f>
        <v>LC</v>
      </c>
      <c r="J133">
        <v>670263300</v>
      </c>
      <c r="K133">
        <v>13131000</v>
      </c>
      <c r="L133">
        <v>670.26329999999996</v>
      </c>
      <c r="M133">
        <v>683.39430000000004</v>
      </c>
      <c r="N133" s="6">
        <f t="shared" si="11"/>
        <v>0.9807856167369261</v>
      </c>
      <c r="O133" s="7">
        <f>N133-F133</f>
        <v>-8.6031417345644456E-7</v>
      </c>
    </row>
    <row r="134" spans="1:15" x14ac:dyDescent="0.25">
      <c r="A134" s="1" t="s">
        <v>98</v>
      </c>
      <c r="B134" s="2">
        <v>803538000</v>
      </c>
      <c r="C134" s="2">
        <v>210636900</v>
      </c>
      <c r="D134">
        <f t="shared" si="8"/>
        <v>803.53800000000001</v>
      </c>
      <c r="E134" s="11">
        <f t="shared" si="9"/>
        <v>1014.1749</v>
      </c>
      <c r="F134" s="6">
        <f t="shared" si="10"/>
        <v>0.79230712572358086</v>
      </c>
      <c r="G134" t="s">
        <v>598</v>
      </c>
      <c r="H134" t="s">
        <v>98</v>
      </c>
      <c r="I134" t="str">
        <f>VLOOKUP(H134,Sheet2!$A$2:$B$459, 2, FALSE)</f>
        <v>LC</v>
      </c>
      <c r="J134">
        <v>803528100</v>
      </c>
      <c r="K134">
        <v>210638700</v>
      </c>
      <c r="L134">
        <v>803.52809999999999</v>
      </c>
      <c r="M134">
        <v>1014.1668</v>
      </c>
      <c r="N134" s="6">
        <f t="shared" si="11"/>
        <v>0.79230369205538975</v>
      </c>
      <c r="O134" s="7">
        <f>N134-F134</f>
        <v>-3.4336681911106837E-6</v>
      </c>
    </row>
    <row r="135" spans="1:15" x14ac:dyDescent="0.25">
      <c r="A135" s="1" t="s">
        <v>116</v>
      </c>
      <c r="B135" s="2">
        <v>1010299500</v>
      </c>
      <c r="C135" s="2">
        <v>40336200</v>
      </c>
      <c r="D135">
        <f t="shared" si="8"/>
        <v>1010.2995</v>
      </c>
      <c r="E135" s="11">
        <f t="shared" si="9"/>
        <v>1050.6357</v>
      </c>
      <c r="F135" s="6">
        <f t="shared" si="10"/>
        <v>0.96160781515419669</v>
      </c>
      <c r="G135" t="s">
        <v>599</v>
      </c>
      <c r="H135" t="s">
        <v>116</v>
      </c>
      <c r="I135" t="str">
        <f>VLOOKUP(H135,Sheet2!$A$2:$B$459, 2, FALSE)</f>
        <v>LC</v>
      </c>
      <c r="J135">
        <v>1010297700</v>
      </c>
      <c r="K135">
        <v>40334400</v>
      </c>
      <c r="L135">
        <v>1010.2977</v>
      </c>
      <c r="M135">
        <v>1050.6321</v>
      </c>
      <c r="N135" s="6">
        <f t="shared" si="11"/>
        <v>0.96160939685737745</v>
      </c>
      <c r="O135" s="7">
        <f>N135-F135</f>
        <v>1.5817031807641158E-6</v>
      </c>
    </row>
    <row r="136" spans="1:15" x14ac:dyDescent="0.25">
      <c r="A136" s="1" t="s">
        <v>149</v>
      </c>
      <c r="B136" s="2">
        <v>766159200</v>
      </c>
      <c r="C136" s="2">
        <v>148069800</v>
      </c>
      <c r="D136">
        <f t="shared" si="8"/>
        <v>766.15920000000006</v>
      </c>
      <c r="E136" s="11">
        <f t="shared" si="9"/>
        <v>914.22900000000004</v>
      </c>
      <c r="F136" s="6">
        <f t="shared" si="10"/>
        <v>0.83803860958250065</v>
      </c>
      <c r="G136" t="s">
        <v>600</v>
      </c>
      <c r="H136" t="s">
        <v>149</v>
      </c>
      <c r="I136" t="str">
        <f>VLOOKUP(H136,Sheet2!$A$2:$B$459, 2, FALSE)</f>
        <v>CR</v>
      </c>
      <c r="J136">
        <v>766165500</v>
      </c>
      <c r="K136">
        <v>148072500</v>
      </c>
      <c r="L136">
        <v>766.16549999999995</v>
      </c>
      <c r="M136">
        <v>914.23800000000006</v>
      </c>
      <c r="N136" s="6">
        <f t="shared" si="11"/>
        <v>0.83803725069402046</v>
      </c>
      <c r="O136" s="7">
        <f>N136-F136</f>
        <v>-1.3588884801851719E-6</v>
      </c>
    </row>
    <row r="137" spans="1:15" x14ac:dyDescent="0.25">
      <c r="A137" s="1" t="s">
        <v>150</v>
      </c>
      <c r="B137" s="2">
        <v>1054083600</v>
      </c>
      <c r="C137" s="2">
        <v>125486100</v>
      </c>
      <c r="D137">
        <f t="shared" si="8"/>
        <v>1054.0835999999999</v>
      </c>
      <c r="E137" s="11">
        <f t="shared" si="9"/>
        <v>1179.5697</v>
      </c>
      <c r="F137" s="6">
        <f t="shared" si="10"/>
        <v>0.89361705374425948</v>
      </c>
      <c r="G137" t="s">
        <v>601</v>
      </c>
      <c r="H137" t="s">
        <v>150</v>
      </c>
      <c r="I137" t="str">
        <f>VLOOKUP(H137,Sheet2!$A$2:$B$459, 2, FALSE)</f>
        <v>EN</v>
      </c>
      <c r="J137">
        <v>1054170000</v>
      </c>
      <c r="K137">
        <v>125509500</v>
      </c>
      <c r="L137">
        <v>1054.17</v>
      </c>
      <c r="M137">
        <v>1179.6795</v>
      </c>
      <c r="N137" s="6">
        <f t="shared" si="11"/>
        <v>0.89360711956086392</v>
      </c>
      <c r="O137" s="7">
        <f>N137-F137</f>
        <v>-9.9341833955657322E-6</v>
      </c>
    </row>
    <row r="138" spans="1:15" x14ac:dyDescent="0.25">
      <c r="A138" s="1" t="s">
        <v>117</v>
      </c>
      <c r="B138" s="2">
        <v>521226000</v>
      </c>
      <c r="C138" s="2">
        <v>10300500</v>
      </c>
      <c r="D138">
        <f t="shared" si="8"/>
        <v>521.226</v>
      </c>
      <c r="E138" s="11">
        <f t="shared" si="9"/>
        <v>531.52650000000006</v>
      </c>
      <c r="F138" s="6">
        <f t="shared" si="10"/>
        <v>0.98062090977590022</v>
      </c>
      <c r="G138" t="s">
        <v>602</v>
      </c>
      <c r="H138" t="s">
        <v>117</v>
      </c>
      <c r="I138" t="str">
        <f>VLOOKUP(H138,Sheet2!$A$2:$B$459, 2, FALSE)</f>
        <v>LC</v>
      </c>
      <c r="J138">
        <v>521226000</v>
      </c>
      <c r="K138">
        <v>10300500</v>
      </c>
      <c r="L138">
        <v>521.226</v>
      </c>
      <c r="M138">
        <v>531.52650000000006</v>
      </c>
      <c r="N138" s="6">
        <f t="shared" si="11"/>
        <v>0.98062090977590011</v>
      </c>
      <c r="O138" s="7">
        <f>N138-F138</f>
        <v>0</v>
      </c>
    </row>
    <row r="139" spans="1:15" x14ac:dyDescent="0.25">
      <c r="A139" s="1" t="s">
        <v>118</v>
      </c>
      <c r="B139" s="2">
        <v>333763200</v>
      </c>
      <c r="C139" s="2">
        <v>25153200</v>
      </c>
      <c r="D139">
        <f t="shared" si="8"/>
        <v>333.76319999999998</v>
      </c>
      <c r="E139" s="11">
        <f t="shared" si="9"/>
        <v>358.91640000000001</v>
      </c>
      <c r="F139" s="6">
        <f t="shared" si="10"/>
        <v>0.92991905635964256</v>
      </c>
      <c r="G139" t="s">
        <v>603</v>
      </c>
      <c r="H139" t="s">
        <v>118</v>
      </c>
      <c r="I139" t="str">
        <f>VLOOKUP(H139,Sheet2!$A$2:$B$459, 2, FALSE)</f>
        <v>CR</v>
      </c>
      <c r="J139">
        <v>333764100</v>
      </c>
      <c r="K139">
        <v>25153200</v>
      </c>
      <c r="L139">
        <v>333.76409999999998</v>
      </c>
      <c r="M139">
        <v>358.91730000000001</v>
      </c>
      <c r="N139" s="6">
        <f t="shared" si="11"/>
        <v>0.92991923209051219</v>
      </c>
      <c r="O139" s="7">
        <f>N139-F139</f>
        <v>1.7573086963373896E-7</v>
      </c>
    </row>
    <row r="140" spans="1:15" x14ac:dyDescent="0.25">
      <c r="A140" s="1" t="s">
        <v>43</v>
      </c>
      <c r="B140" s="2">
        <v>908145900</v>
      </c>
      <c r="C140" s="2">
        <v>85391100</v>
      </c>
      <c r="D140">
        <f t="shared" si="8"/>
        <v>908.14589999999998</v>
      </c>
      <c r="E140" s="11">
        <f t="shared" si="9"/>
        <v>993.53700000000003</v>
      </c>
      <c r="F140" s="6">
        <f t="shared" si="10"/>
        <v>0.91405342730064409</v>
      </c>
      <c r="G140" t="s">
        <v>604</v>
      </c>
      <c r="H140" t="s">
        <v>43</v>
      </c>
      <c r="I140" t="str">
        <f>VLOOKUP(H140,Sheet2!$A$2:$B$459, 2, FALSE)</f>
        <v>LC</v>
      </c>
      <c r="J140">
        <v>909390600</v>
      </c>
      <c r="K140">
        <v>85388400</v>
      </c>
      <c r="L140">
        <v>909.39059999999995</v>
      </c>
      <c r="M140">
        <v>994.779</v>
      </c>
      <c r="N140" s="6">
        <f t="shared" si="11"/>
        <v>0.91416344735865951</v>
      </c>
      <c r="O140" s="7">
        <f>N140-F140</f>
        <v>1.1002005801541426E-4</v>
      </c>
    </row>
    <row r="141" spans="1:15" x14ac:dyDescent="0.25">
      <c r="A141" s="1" t="s">
        <v>108</v>
      </c>
      <c r="B141" s="2">
        <v>1174449600</v>
      </c>
      <c r="C141" s="2">
        <v>40981500</v>
      </c>
      <c r="D141">
        <f t="shared" si="8"/>
        <v>1174.4495999999999</v>
      </c>
      <c r="E141" s="11">
        <f t="shared" si="9"/>
        <v>1215.4311</v>
      </c>
      <c r="F141" s="6">
        <f t="shared" si="10"/>
        <v>0.96628233389782436</v>
      </c>
      <c r="G141" t="s">
        <v>605</v>
      </c>
      <c r="H141" t="s">
        <v>108</v>
      </c>
      <c r="I141" t="str">
        <f>VLOOKUP(H141,Sheet2!$A$2:$B$459, 2, FALSE)</f>
        <v>LC</v>
      </c>
      <c r="J141">
        <v>1183311900</v>
      </c>
      <c r="K141">
        <v>40473000</v>
      </c>
      <c r="L141">
        <v>1183.3118999999999</v>
      </c>
      <c r="M141">
        <v>1223.7849000000001</v>
      </c>
      <c r="N141" s="6">
        <f t="shared" si="11"/>
        <v>0.96692801161380548</v>
      </c>
      <c r="O141" s="7">
        <f>N141-F141</f>
        <v>6.4567771598111889E-4</v>
      </c>
    </row>
    <row r="142" spans="1:15" x14ac:dyDescent="0.25">
      <c r="A142" s="1" t="s">
        <v>52</v>
      </c>
      <c r="B142" s="2">
        <v>100804500</v>
      </c>
      <c r="C142" s="2">
        <v>6677100</v>
      </c>
      <c r="D142">
        <f t="shared" si="8"/>
        <v>100.8045</v>
      </c>
      <c r="E142" s="11">
        <f t="shared" si="9"/>
        <v>107.4816</v>
      </c>
      <c r="F142" s="6">
        <f t="shared" si="10"/>
        <v>0.937876808681672</v>
      </c>
      <c r="G142" t="s">
        <v>606</v>
      </c>
      <c r="H142" t="s">
        <v>52</v>
      </c>
      <c r="I142" t="str">
        <f>VLOOKUP(H142,Sheet2!$A$2:$B$459, 2, FALSE)</f>
        <v>LC</v>
      </c>
      <c r="J142">
        <v>100804500</v>
      </c>
      <c r="K142">
        <v>6682500</v>
      </c>
      <c r="L142">
        <v>100.8045</v>
      </c>
      <c r="M142">
        <v>107.48699999999999</v>
      </c>
      <c r="N142" s="6">
        <f t="shared" si="11"/>
        <v>0.93782969103240399</v>
      </c>
      <c r="O142" s="7">
        <f>N142-F142</f>
        <v>-4.711764926801365E-5</v>
      </c>
    </row>
    <row r="143" spans="1:15" x14ac:dyDescent="0.25">
      <c r="A143" s="1" t="s">
        <v>81</v>
      </c>
      <c r="B143" s="2">
        <v>734518800</v>
      </c>
      <c r="C143" s="2">
        <v>144304200</v>
      </c>
      <c r="D143">
        <f t="shared" si="8"/>
        <v>734.51880000000006</v>
      </c>
      <c r="E143" s="11">
        <f t="shared" si="9"/>
        <v>878.82299999999998</v>
      </c>
      <c r="F143" s="6">
        <f t="shared" si="10"/>
        <v>0.83579833481827404</v>
      </c>
      <c r="G143" t="s">
        <v>607</v>
      </c>
      <c r="H143" t="s">
        <v>81</v>
      </c>
      <c r="I143" t="str">
        <f>VLOOKUP(H143,Sheet2!$A$2:$B$459, 2, FALSE)</f>
        <v>LC</v>
      </c>
      <c r="J143">
        <v>734517900</v>
      </c>
      <c r="K143">
        <v>144309600</v>
      </c>
      <c r="L143">
        <v>734.51790000000005</v>
      </c>
      <c r="M143">
        <v>878.82749999999999</v>
      </c>
      <c r="N143" s="6">
        <f t="shared" si="11"/>
        <v>0.83579303105558267</v>
      </c>
      <c r="O143" s="7">
        <f>N143-F143</f>
        <v>-5.3037626913665648E-6</v>
      </c>
    </row>
    <row r="144" spans="1:15" x14ac:dyDescent="0.25">
      <c r="A144" s="1" t="s">
        <v>39</v>
      </c>
      <c r="B144" s="2">
        <v>1054055700</v>
      </c>
      <c r="C144" s="2">
        <v>517173300</v>
      </c>
      <c r="D144">
        <f t="shared" si="8"/>
        <v>1054.0556999999999</v>
      </c>
      <c r="E144" s="11">
        <f t="shared" si="9"/>
        <v>1571.229</v>
      </c>
      <c r="F144" s="6">
        <f t="shared" si="10"/>
        <v>0.67084791586713333</v>
      </c>
      <c r="G144" t="s">
        <v>608</v>
      </c>
      <c r="H144" t="s">
        <v>39</v>
      </c>
      <c r="I144" t="str">
        <f>VLOOKUP(H144,Sheet2!$A$2:$B$459, 2, FALSE)</f>
        <v>LC</v>
      </c>
      <c r="J144">
        <v>1054051200</v>
      </c>
      <c r="K144">
        <v>517173300</v>
      </c>
      <c r="L144">
        <v>1054.0512000000001</v>
      </c>
      <c r="M144">
        <v>1571.2245</v>
      </c>
      <c r="N144" s="6">
        <f t="shared" si="11"/>
        <v>0.67084697317283437</v>
      </c>
      <c r="O144" s="7">
        <f>N144-F144</f>
        <v>-9.4269429895543766E-7</v>
      </c>
    </row>
    <row r="145" spans="1:15" x14ac:dyDescent="0.25">
      <c r="A145" s="1" t="s">
        <v>69</v>
      </c>
      <c r="B145" s="2">
        <v>950333400</v>
      </c>
      <c r="C145" s="2">
        <v>392783400</v>
      </c>
      <c r="D145">
        <f t="shared" si="8"/>
        <v>950.33339999999998</v>
      </c>
      <c r="E145" s="11">
        <f t="shared" si="9"/>
        <v>1343.1168</v>
      </c>
      <c r="F145" s="6">
        <f t="shared" si="10"/>
        <v>0.70755827043485719</v>
      </c>
      <c r="G145" t="s">
        <v>609</v>
      </c>
      <c r="H145" t="s">
        <v>69</v>
      </c>
      <c r="I145" t="str">
        <f>VLOOKUP(H145,Sheet2!$A$2:$B$459, 2, FALSE)</f>
        <v>LC</v>
      </c>
      <c r="J145">
        <v>950328900</v>
      </c>
      <c r="K145">
        <v>392787000</v>
      </c>
      <c r="L145">
        <v>950.32889999999998</v>
      </c>
      <c r="M145">
        <v>1343.1159</v>
      </c>
      <c r="N145" s="6">
        <f t="shared" si="11"/>
        <v>0.70755539413985047</v>
      </c>
      <c r="O145" s="7">
        <f>N145-F145</f>
        <v>-2.8762950067262594E-6</v>
      </c>
    </row>
    <row r="146" spans="1:15" x14ac:dyDescent="0.25">
      <c r="A146" s="1" t="s">
        <v>10</v>
      </c>
      <c r="B146" s="2">
        <v>1578761100</v>
      </c>
      <c r="C146" s="2">
        <v>719661600</v>
      </c>
      <c r="D146">
        <f t="shared" si="8"/>
        <v>1578.7610999999999</v>
      </c>
      <c r="E146" s="11">
        <f t="shared" si="9"/>
        <v>2298.4227000000001</v>
      </c>
      <c r="F146" s="6">
        <f t="shared" si="10"/>
        <v>0.68688892604480456</v>
      </c>
      <c r="G146" t="s">
        <v>610</v>
      </c>
      <c r="H146" t="s">
        <v>10</v>
      </c>
      <c r="I146" t="str">
        <f>VLOOKUP(H146,Sheet2!$A$2:$B$459, 2, FALSE)</f>
        <v>LC</v>
      </c>
      <c r="J146">
        <v>1577494800</v>
      </c>
      <c r="K146">
        <v>719034300</v>
      </c>
      <c r="L146">
        <v>1577.4947999999999</v>
      </c>
      <c r="M146">
        <v>2296.5291000000002</v>
      </c>
      <c r="N146" s="6">
        <f t="shared" si="11"/>
        <v>0.68690390206681895</v>
      </c>
      <c r="O146" s="7">
        <f>N146-F146</f>
        <v>1.4976022014390189E-5</v>
      </c>
    </row>
    <row r="147" spans="1:15" x14ac:dyDescent="0.25">
      <c r="A147" s="1" t="s">
        <v>124</v>
      </c>
      <c r="B147" s="2">
        <v>318025800</v>
      </c>
      <c r="C147" s="2">
        <v>227700</v>
      </c>
      <c r="D147">
        <f t="shared" si="8"/>
        <v>318.0258</v>
      </c>
      <c r="E147" s="11">
        <f t="shared" si="9"/>
        <v>318.25349999999997</v>
      </c>
      <c r="F147" s="6">
        <f t="shared" si="10"/>
        <v>0.99928453261315275</v>
      </c>
      <c r="G147" t="s">
        <v>611</v>
      </c>
      <c r="H147" t="s">
        <v>124</v>
      </c>
      <c r="I147" t="str">
        <f>VLOOKUP(H147,Sheet2!$A$2:$B$459, 2, FALSE)</f>
        <v>LC</v>
      </c>
      <c r="J147">
        <v>318024900</v>
      </c>
      <c r="K147">
        <v>227700</v>
      </c>
      <c r="L147">
        <v>318.0249</v>
      </c>
      <c r="M147">
        <v>318.25259999999997</v>
      </c>
      <c r="N147" s="6">
        <f t="shared" si="11"/>
        <v>0.99928453058985234</v>
      </c>
      <c r="O147" s="7">
        <f>N147-F147</f>
        <v>-2.0233004160985502E-9</v>
      </c>
    </row>
    <row r="148" spans="1:15" x14ac:dyDescent="0.25">
      <c r="A148" s="1" t="s">
        <v>125</v>
      </c>
      <c r="B148" s="2">
        <v>385485300</v>
      </c>
      <c r="C148" s="2">
        <v>2833200</v>
      </c>
      <c r="D148">
        <f t="shared" si="8"/>
        <v>385.4853</v>
      </c>
      <c r="E148" s="11">
        <f t="shared" si="9"/>
        <v>388.31849999999997</v>
      </c>
      <c r="F148" s="6">
        <f t="shared" si="10"/>
        <v>0.99270392731739543</v>
      </c>
      <c r="G148" t="s">
        <v>612</v>
      </c>
      <c r="H148" t="s">
        <v>125</v>
      </c>
      <c r="I148" t="str">
        <f>VLOOKUP(H148,Sheet2!$A$2:$B$459, 2, FALSE)</f>
        <v>LC</v>
      </c>
      <c r="J148">
        <v>385488000</v>
      </c>
      <c r="K148">
        <v>2833200</v>
      </c>
      <c r="L148">
        <v>385.488</v>
      </c>
      <c r="M148">
        <v>388.32119999999998</v>
      </c>
      <c r="N148" s="6">
        <f t="shared" si="11"/>
        <v>0.99270397804703947</v>
      </c>
      <c r="O148" s="7">
        <f>N148-F148</f>
        <v>5.0729644041069832E-8</v>
      </c>
    </row>
    <row r="149" spans="1:15" x14ac:dyDescent="0.25">
      <c r="A149" s="1" t="s">
        <v>126</v>
      </c>
      <c r="B149" s="2">
        <v>846592200</v>
      </c>
      <c r="C149" s="2">
        <v>5631300</v>
      </c>
      <c r="D149">
        <f t="shared" si="8"/>
        <v>846.59220000000005</v>
      </c>
      <c r="E149" s="11">
        <f t="shared" si="9"/>
        <v>852.22349999999994</v>
      </c>
      <c r="F149" s="6">
        <f t="shared" si="10"/>
        <v>0.99339222633499313</v>
      </c>
      <c r="G149" t="s">
        <v>613</v>
      </c>
      <c r="H149" t="s">
        <v>126</v>
      </c>
      <c r="I149" t="str">
        <f>VLOOKUP(H149,Sheet2!$A$2:$B$459, 2, FALSE)</f>
        <v>LC</v>
      </c>
      <c r="J149">
        <v>846589500</v>
      </c>
      <c r="K149">
        <v>5631300</v>
      </c>
      <c r="L149">
        <v>846.58950000000004</v>
      </c>
      <c r="M149">
        <v>852.22080000000005</v>
      </c>
      <c r="N149" s="6">
        <f t="shared" si="11"/>
        <v>0.99339220540029061</v>
      </c>
      <c r="O149" s="7">
        <f>N149-F149</f>
        <v>-2.093470252706453E-8</v>
      </c>
    </row>
    <row r="150" spans="1:15" x14ac:dyDescent="0.25">
      <c r="A150" s="1" t="s">
        <v>127</v>
      </c>
      <c r="B150" s="2">
        <v>1082940300</v>
      </c>
      <c r="C150" s="2">
        <v>1825200</v>
      </c>
      <c r="D150">
        <f t="shared" si="8"/>
        <v>1082.9403</v>
      </c>
      <c r="E150" s="11">
        <f t="shared" si="9"/>
        <v>1084.7655</v>
      </c>
      <c r="F150" s="6">
        <f t="shared" si="10"/>
        <v>0.99831742436498949</v>
      </c>
      <c r="G150" t="s">
        <v>614</v>
      </c>
      <c r="H150" t="s">
        <v>127</v>
      </c>
      <c r="I150" t="str">
        <f>VLOOKUP(H150,Sheet2!$A$2:$B$459, 2, FALSE)</f>
        <v>LC</v>
      </c>
      <c r="J150">
        <v>1082940300</v>
      </c>
      <c r="K150">
        <v>1825200</v>
      </c>
      <c r="L150">
        <v>1082.9403</v>
      </c>
      <c r="M150">
        <v>1084.7655</v>
      </c>
      <c r="N150" s="6">
        <f t="shared" si="11"/>
        <v>0.99831742436498949</v>
      </c>
      <c r="O150" s="7">
        <f>N150-F150</f>
        <v>0</v>
      </c>
    </row>
    <row r="151" spans="1:15" x14ac:dyDescent="0.25">
      <c r="A151" s="1" t="s">
        <v>128</v>
      </c>
      <c r="B151" s="2">
        <v>331026300</v>
      </c>
      <c r="C151" s="2">
        <v>1582200</v>
      </c>
      <c r="D151">
        <f t="shared" si="8"/>
        <v>331.02629999999999</v>
      </c>
      <c r="E151" s="11">
        <f t="shared" si="9"/>
        <v>332.60849999999999</v>
      </c>
      <c r="F151" s="6">
        <f t="shared" si="10"/>
        <v>0.99524305602532703</v>
      </c>
      <c r="G151" t="s">
        <v>615</v>
      </c>
      <c r="H151" t="s">
        <v>128</v>
      </c>
      <c r="I151" t="str">
        <f>VLOOKUP(H151,Sheet2!$A$2:$B$459, 2, FALSE)</f>
        <v>LC</v>
      </c>
      <c r="J151">
        <v>331027200</v>
      </c>
      <c r="K151">
        <v>1582200</v>
      </c>
      <c r="L151">
        <v>331.02719999999999</v>
      </c>
      <c r="M151">
        <v>332.60939999999999</v>
      </c>
      <c r="N151" s="6">
        <f t="shared" si="11"/>
        <v>0.99524306889703062</v>
      </c>
      <c r="O151" s="7">
        <f>N151-F151</f>
        <v>1.2871703591876837E-8</v>
      </c>
    </row>
    <row r="152" spans="1:15" x14ac:dyDescent="0.25">
      <c r="A152" s="1" t="s">
        <v>129</v>
      </c>
      <c r="B152" s="2">
        <v>287455500</v>
      </c>
      <c r="C152" s="2">
        <v>16721100</v>
      </c>
      <c r="D152">
        <f t="shared" si="8"/>
        <v>287.45549999999997</v>
      </c>
      <c r="E152" s="11">
        <f t="shared" si="9"/>
        <v>304.17660000000001</v>
      </c>
      <c r="F152" s="6">
        <f t="shared" si="10"/>
        <v>0.94502831578760493</v>
      </c>
      <c r="G152" t="s">
        <v>616</v>
      </c>
      <c r="H152" t="s">
        <v>129</v>
      </c>
      <c r="I152" t="str">
        <f>VLOOKUP(H152,Sheet2!$A$2:$B$459, 2, FALSE)</f>
        <v>LC</v>
      </c>
      <c r="J152">
        <v>287455500</v>
      </c>
      <c r="K152">
        <v>16721100</v>
      </c>
      <c r="L152">
        <v>287.45549999999997</v>
      </c>
      <c r="M152">
        <v>304.17660000000001</v>
      </c>
      <c r="N152" s="6">
        <f t="shared" si="11"/>
        <v>0.94502831578760482</v>
      </c>
      <c r="O152" s="7">
        <f>N152-F152</f>
        <v>0</v>
      </c>
    </row>
    <row r="153" spans="1:15" x14ac:dyDescent="0.25">
      <c r="A153" s="1" t="s">
        <v>67</v>
      </c>
      <c r="B153" s="2">
        <v>2165437800</v>
      </c>
      <c r="C153" s="2">
        <v>237481200</v>
      </c>
      <c r="D153">
        <f t="shared" si="8"/>
        <v>2165.4378000000002</v>
      </c>
      <c r="E153" s="11">
        <f t="shared" si="9"/>
        <v>2402.9189999999999</v>
      </c>
      <c r="F153" s="6">
        <f t="shared" si="10"/>
        <v>0.90116970234951743</v>
      </c>
      <c r="G153" t="s">
        <v>617</v>
      </c>
      <c r="H153" t="s">
        <v>67</v>
      </c>
      <c r="I153" t="str">
        <f>VLOOKUP(H153,Sheet2!$A$2:$B$459, 2, FALSE)</f>
        <v>LC</v>
      </c>
      <c r="J153">
        <v>2165436000</v>
      </c>
      <c r="K153">
        <v>237478500</v>
      </c>
      <c r="L153">
        <v>2165.4360000000001</v>
      </c>
      <c r="M153">
        <v>2402.9144999999999</v>
      </c>
      <c r="N153" s="6">
        <f t="shared" si="11"/>
        <v>0.90117064090295362</v>
      </c>
      <c r="O153" s="7">
        <f>N153-F153</f>
        <v>9.3855343619164699E-7</v>
      </c>
    </row>
    <row r="154" spans="1:15" x14ac:dyDescent="0.25">
      <c r="A154" s="1" t="s">
        <v>68</v>
      </c>
      <c r="B154" s="2">
        <v>3707976600</v>
      </c>
      <c r="C154" s="2">
        <v>344151900</v>
      </c>
      <c r="D154">
        <f t="shared" si="8"/>
        <v>3707.9766</v>
      </c>
      <c r="E154" s="11">
        <f t="shared" si="9"/>
        <v>4052.1284999999998</v>
      </c>
      <c r="F154" s="6">
        <f t="shared" si="10"/>
        <v>0.91506885825560569</v>
      </c>
      <c r="G154" t="s">
        <v>618</v>
      </c>
      <c r="H154" t="s">
        <v>68</v>
      </c>
      <c r="I154" t="str">
        <f>VLOOKUP(H154,Sheet2!$A$2:$B$459, 2, FALSE)</f>
        <v>LC</v>
      </c>
      <c r="J154">
        <v>3707979300</v>
      </c>
      <c r="K154">
        <v>344148300</v>
      </c>
      <c r="L154">
        <v>3707.9793</v>
      </c>
      <c r="M154">
        <v>4052.1275999999998</v>
      </c>
      <c r="N154" s="6">
        <f t="shared" si="11"/>
        <v>0.91506972781409945</v>
      </c>
      <c r="O154" s="7">
        <f>N154-F154</f>
        <v>8.695584937656875E-7</v>
      </c>
    </row>
    <row r="155" spans="1:15" x14ac:dyDescent="0.25">
      <c r="A155" s="1" t="s">
        <v>240</v>
      </c>
      <c r="B155" s="2">
        <v>135842400</v>
      </c>
      <c r="C155" s="2">
        <v>198346500</v>
      </c>
      <c r="D155">
        <f t="shared" si="8"/>
        <v>135.8424</v>
      </c>
      <c r="E155" s="11">
        <f t="shared" si="9"/>
        <v>334.18889999999999</v>
      </c>
      <c r="F155" s="6">
        <f t="shared" si="10"/>
        <v>0.40648387783077178</v>
      </c>
      <c r="G155" t="s">
        <v>619</v>
      </c>
      <c r="H155" t="s">
        <v>240</v>
      </c>
      <c r="I155" t="str">
        <f>VLOOKUP(H155,Sheet2!$A$2:$B$459, 2, FALSE)</f>
        <v>CR</v>
      </c>
      <c r="J155">
        <v>139926600</v>
      </c>
      <c r="K155">
        <v>205692300</v>
      </c>
      <c r="L155">
        <v>139.92660000000001</v>
      </c>
      <c r="M155">
        <v>345.6189</v>
      </c>
      <c r="N155" s="6">
        <f t="shared" si="11"/>
        <v>0.40485806765775834</v>
      </c>
      <c r="O155" s="7">
        <f>N155-F155</f>
        <v>-1.6258101730134422E-3</v>
      </c>
    </row>
    <row r="156" spans="1:15" x14ac:dyDescent="0.25">
      <c r="A156" s="1" t="s">
        <v>99</v>
      </c>
      <c r="B156" s="2">
        <v>470592000</v>
      </c>
      <c r="C156" s="2">
        <v>27681300</v>
      </c>
      <c r="D156">
        <f t="shared" si="8"/>
        <v>470.59199999999998</v>
      </c>
      <c r="E156" s="11">
        <f t="shared" si="9"/>
        <v>498.27330000000001</v>
      </c>
      <c r="F156" s="6">
        <f t="shared" si="10"/>
        <v>0.94444554825634852</v>
      </c>
      <c r="G156" t="s">
        <v>620</v>
      </c>
      <c r="H156" t="s">
        <v>99</v>
      </c>
      <c r="I156" t="str">
        <f>VLOOKUP(H156,Sheet2!$A$2:$B$459, 2, FALSE)</f>
        <v>LC</v>
      </c>
      <c r="J156">
        <v>470589300</v>
      </c>
      <c r="K156">
        <v>27682200</v>
      </c>
      <c r="L156">
        <v>470.58929999999998</v>
      </c>
      <c r="M156">
        <v>498.2715</v>
      </c>
      <c r="N156" s="6">
        <f t="shared" si="11"/>
        <v>0.94444354132235131</v>
      </c>
      <c r="O156" s="7">
        <f>N156-F156</f>
        <v>-2.0069339972117461E-6</v>
      </c>
    </row>
    <row r="157" spans="1:15" x14ac:dyDescent="0.25">
      <c r="A157" s="1" t="s">
        <v>100</v>
      </c>
      <c r="B157" s="2">
        <v>37485000</v>
      </c>
      <c r="C157" s="2">
        <v>38700</v>
      </c>
      <c r="D157">
        <f t="shared" si="8"/>
        <v>37.484999999999999</v>
      </c>
      <c r="E157" s="11">
        <f t="shared" si="9"/>
        <v>37.523699999999998</v>
      </c>
      <c r="F157" s="6">
        <f t="shared" si="10"/>
        <v>0.99896865181205474</v>
      </c>
      <c r="G157" t="s">
        <v>621</v>
      </c>
      <c r="H157" t="s">
        <v>100</v>
      </c>
      <c r="I157" t="str">
        <f>VLOOKUP(H157,Sheet2!$A$2:$B$459, 2, FALSE)</f>
        <v>LC</v>
      </c>
      <c r="J157">
        <v>37485000</v>
      </c>
      <c r="K157">
        <v>38700</v>
      </c>
      <c r="L157">
        <v>37.484999999999999</v>
      </c>
      <c r="M157">
        <v>37.523699999999998</v>
      </c>
      <c r="N157" s="6">
        <f t="shared" si="11"/>
        <v>0.99896865181205485</v>
      </c>
      <c r="O157" s="7">
        <f>N157-F157</f>
        <v>0</v>
      </c>
    </row>
    <row r="158" spans="1:15" x14ac:dyDescent="0.25">
      <c r="A158" s="1" t="s">
        <v>130</v>
      </c>
      <c r="B158" s="2">
        <v>50769000</v>
      </c>
      <c r="C158" s="2">
        <v>46800</v>
      </c>
      <c r="D158">
        <f t="shared" si="8"/>
        <v>50.768999999999998</v>
      </c>
      <c r="E158" s="11">
        <f t="shared" si="9"/>
        <v>50.815800000000003</v>
      </c>
      <c r="F158" s="6">
        <f t="shared" si="10"/>
        <v>0.99907902660196235</v>
      </c>
      <c r="G158" t="s">
        <v>622</v>
      </c>
      <c r="H158" t="s">
        <v>130</v>
      </c>
      <c r="I158" t="str">
        <f>VLOOKUP(H158,Sheet2!$A$2:$B$459, 2, FALSE)</f>
        <v>LC</v>
      </c>
      <c r="J158">
        <v>50767200</v>
      </c>
      <c r="K158">
        <v>46800</v>
      </c>
      <c r="L158">
        <v>50.767200000000003</v>
      </c>
      <c r="M158">
        <v>50.814</v>
      </c>
      <c r="N158" s="6">
        <f t="shared" si="11"/>
        <v>0.99907899397803757</v>
      </c>
      <c r="O158" s="7">
        <f>N158-F158</f>
        <v>-3.2623924783869995E-8</v>
      </c>
    </row>
    <row r="159" spans="1:15" x14ac:dyDescent="0.25">
      <c r="A159" s="1" t="s">
        <v>131</v>
      </c>
      <c r="B159" s="2">
        <v>361443600</v>
      </c>
      <c r="C159" s="2">
        <v>186527700</v>
      </c>
      <c r="D159">
        <f t="shared" si="8"/>
        <v>361.4436</v>
      </c>
      <c r="E159" s="11">
        <f t="shared" si="9"/>
        <v>547.97130000000004</v>
      </c>
      <c r="F159" s="6">
        <f t="shared" si="10"/>
        <v>0.65960315804860581</v>
      </c>
      <c r="G159" t="s">
        <v>623</v>
      </c>
      <c r="H159" t="s">
        <v>131</v>
      </c>
      <c r="I159" t="str">
        <f>VLOOKUP(H159,Sheet2!$A$2:$B$459, 2, FALSE)</f>
        <v>CR</v>
      </c>
      <c r="J159">
        <v>361443600</v>
      </c>
      <c r="K159">
        <v>186525900</v>
      </c>
      <c r="L159">
        <v>361.4436</v>
      </c>
      <c r="M159">
        <v>547.96950000000004</v>
      </c>
      <c r="N159" s="6">
        <f t="shared" si="11"/>
        <v>0.65960532474891387</v>
      </c>
      <c r="O159" s="7">
        <f>N159-F159</f>
        <v>2.1667003080594327E-6</v>
      </c>
    </row>
    <row r="160" spans="1:15" x14ac:dyDescent="0.25">
      <c r="A160" s="1" t="s">
        <v>101</v>
      </c>
      <c r="B160" s="2">
        <v>2241974700</v>
      </c>
      <c r="C160" s="2">
        <v>281654100</v>
      </c>
      <c r="D160">
        <f t="shared" si="8"/>
        <v>2241.9747000000002</v>
      </c>
      <c r="E160" s="11">
        <f t="shared" si="9"/>
        <v>2523.6288</v>
      </c>
      <c r="F160" s="6">
        <f t="shared" si="10"/>
        <v>0.88839321377216807</v>
      </c>
      <c r="G160" t="s">
        <v>624</v>
      </c>
      <c r="H160" t="s">
        <v>101</v>
      </c>
      <c r="I160" t="str">
        <f>VLOOKUP(H160,Sheet2!$A$2:$B$459, 2, FALSE)</f>
        <v>LC</v>
      </c>
      <c r="J160">
        <v>2241978300</v>
      </c>
      <c r="K160">
        <v>281655000</v>
      </c>
      <c r="L160">
        <v>2241.9783000000002</v>
      </c>
      <c r="M160">
        <v>2523.6333</v>
      </c>
      <c r="N160" s="6">
        <f t="shared" si="11"/>
        <v>0.88839305615439468</v>
      </c>
      <c r="O160" s="7">
        <f>N160-F160</f>
        <v>-1.576177733886297E-7</v>
      </c>
    </row>
    <row r="161" spans="1:15" x14ac:dyDescent="0.25">
      <c r="A161" s="1" t="s">
        <v>102</v>
      </c>
      <c r="B161" s="2">
        <v>1052739900</v>
      </c>
      <c r="C161" s="2">
        <v>83218500</v>
      </c>
      <c r="D161">
        <f t="shared" si="8"/>
        <v>1052.7399</v>
      </c>
      <c r="E161" s="11">
        <f t="shared" si="9"/>
        <v>1135.9584</v>
      </c>
      <c r="F161" s="6">
        <f t="shared" si="10"/>
        <v>0.92674159546687629</v>
      </c>
      <c r="G161" t="s">
        <v>625</v>
      </c>
      <c r="H161" t="s">
        <v>102</v>
      </c>
      <c r="I161" t="str">
        <f>VLOOKUP(H161,Sheet2!$A$2:$B$459, 2, FALSE)</f>
        <v>LC</v>
      </c>
      <c r="J161">
        <v>1052739000</v>
      </c>
      <c r="K161">
        <v>83217600</v>
      </c>
      <c r="L161">
        <v>1052.739</v>
      </c>
      <c r="M161">
        <v>1135.9566</v>
      </c>
      <c r="N161" s="6">
        <f t="shared" si="11"/>
        <v>0.92674227166777323</v>
      </c>
      <c r="O161" s="7">
        <f>N161-F161</f>
        <v>6.7620089694298002E-7</v>
      </c>
    </row>
    <row r="162" spans="1:15" x14ac:dyDescent="0.25">
      <c r="A162" s="1" t="s">
        <v>103</v>
      </c>
      <c r="B162" s="2">
        <v>372096000</v>
      </c>
      <c r="C162" s="2">
        <v>50787900</v>
      </c>
      <c r="D162">
        <f t="shared" si="8"/>
        <v>372.096</v>
      </c>
      <c r="E162" s="11">
        <f t="shared" si="9"/>
        <v>422.88389999999998</v>
      </c>
      <c r="F162" s="6">
        <f t="shared" si="10"/>
        <v>0.87990107923238503</v>
      </c>
      <c r="G162" t="s">
        <v>626</v>
      </c>
      <c r="H162" t="s">
        <v>103</v>
      </c>
      <c r="I162" t="str">
        <f>VLOOKUP(H162,Sheet2!$A$2:$B$459, 2, FALSE)</f>
        <v>LC</v>
      </c>
      <c r="J162">
        <v>372096900</v>
      </c>
      <c r="K162">
        <v>50789700</v>
      </c>
      <c r="L162">
        <v>372.09690000000001</v>
      </c>
      <c r="M162">
        <v>422.88659999999999</v>
      </c>
      <c r="N162" s="6">
        <f t="shared" si="11"/>
        <v>0.87989758956656472</v>
      </c>
      <c r="O162" s="7">
        <f>N162-F162</f>
        <v>-3.489665820310961E-6</v>
      </c>
    </row>
    <row r="163" spans="1:15" x14ac:dyDescent="0.25">
      <c r="A163" s="1" t="s">
        <v>104</v>
      </c>
      <c r="B163" s="2">
        <v>371542500</v>
      </c>
      <c r="C163" s="2">
        <v>22511700</v>
      </c>
      <c r="D163">
        <f t="shared" si="8"/>
        <v>371.54250000000002</v>
      </c>
      <c r="E163" s="11">
        <f t="shared" si="9"/>
        <v>394.05419999999998</v>
      </c>
      <c r="F163" s="6">
        <f t="shared" si="10"/>
        <v>0.94287156436855646</v>
      </c>
      <c r="G163" t="s">
        <v>627</v>
      </c>
      <c r="H163" t="s">
        <v>104</v>
      </c>
      <c r="I163" t="str">
        <f>VLOOKUP(H163,Sheet2!$A$2:$B$459, 2, FALSE)</f>
        <v>LC</v>
      </c>
      <c r="J163">
        <v>371543400</v>
      </c>
      <c r="K163">
        <v>22511700</v>
      </c>
      <c r="L163">
        <v>371.54340000000002</v>
      </c>
      <c r="M163">
        <v>394.05509999999998</v>
      </c>
      <c r="N163" s="6">
        <f t="shared" si="11"/>
        <v>0.94287169484673594</v>
      </c>
      <c r="O163" s="7">
        <f>N163-F163</f>
        <v>1.3047817948308449E-7</v>
      </c>
    </row>
    <row r="164" spans="1:15" x14ac:dyDescent="0.25">
      <c r="A164" s="1" t="s">
        <v>105</v>
      </c>
      <c r="B164" s="2">
        <v>316038600</v>
      </c>
      <c r="C164" s="2">
        <v>3698100</v>
      </c>
      <c r="D164">
        <f t="shared" si="8"/>
        <v>316.03859999999997</v>
      </c>
      <c r="E164" s="11">
        <f t="shared" si="9"/>
        <v>319.73669999999998</v>
      </c>
      <c r="F164" s="6">
        <f t="shared" si="10"/>
        <v>0.98843392078544623</v>
      </c>
      <c r="G164" t="s">
        <v>628</v>
      </c>
      <c r="H164" t="s">
        <v>105</v>
      </c>
      <c r="I164" t="str">
        <f>VLOOKUP(H164,Sheet2!$A$2:$B$459, 2, FALSE)</f>
        <v>LC</v>
      </c>
      <c r="J164">
        <v>316040400</v>
      </c>
      <c r="K164">
        <v>3698100</v>
      </c>
      <c r="L164">
        <v>316.04039999999998</v>
      </c>
      <c r="M164">
        <v>319.73849999999999</v>
      </c>
      <c r="N164" s="6">
        <f t="shared" si="11"/>
        <v>0.98843398589785092</v>
      </c>
      <c r="O164" s="7">
        <f>N164-F164</f>
        <v>6.5112404690204073E-8</v>
      </c>
    </row>
    <row r="165" spans="1:15" x14ac:dyDescent="0.25">
      <c r="A165" s="1" t="s">
        <v>151</v>
      </c>
      <c r="B165" s="2">
        <v>203977800</v>
      </c>
      <c r="C165" s="2">
        <v>15476400</v>
      </c>
      <c r="D165">
        <f t="shared" si="8"/>
        <v>203.9778</v>
      </c>
      <c r="E165" s="11">
        <f t="shared" si="9"/>
        <v>219.45419999999999</v>
      </c>
      <c r="F165" s="6">
        <f t="shared" si="10"/>
        <v>0.92947776802631255</v>
      </c>
      <c r="G165" t="s">
        <v>629</v>
      </c>
      <c r="H165" t="s">
        <v>151</v>
      </c>
      <c r="I165" t="str">
        <f>VLOOKUP(H165,Sheet2!$A$2:$B$459, 2, FALSE)</f>
        <v>CR</v>
      </c>
      <c r="J165">
        <v>203978700</v>
      </c>
      <c r="K165">
        <v>15477300</v>
      </c>
      <c r="L165">
        <v>203.9787</v>
      </c>
      <c r="M165">
        <v>219.45599999999999</v>
      </c>
      <c r="N165" s="6">
        <f t="shared" si="11"/>
        <v>0.92947424540682422</v>
      </c>
      <c r="O165" s="7">
        <f>N165-F165</f>
        <v>-3.5226194883275497E-6</v>
      </c>
    </row>
    <row r="166" spans="1:15" x14ac:dyDescent="0.25">
      <c r="A166" s="1" t="s">
        <v>132</v>
      </c>
      <c r="B166" s="2">
        <v>396005400</v>
      </c>
      <c r="C166" s="2">
        <v>8925300</v>
      </c>
      <c r="D166">
        <f t="shared" si="8"/>
        <v>396.00540000000001</v>
      </c>
      <c r="E166" s="11">
        <f t="shared" si="9"/>
        <v>404.9307</v>
      </c>
      <c r="F166" s="6">
        <f t="shared" si="10"/>
        <v>0.9779584506682254</v>
      </c>
      <c r="G166" t="s">
        <v>630</v>
      </c>
      <c r="H166" t="s">
        <v>132</v>
      </c>
      <c r="I166" t="str">
        <f>VLOOKUP(H166,Sheet2!$A$2:$B$459, 2, FALSE)</f>
        <v>LC</v>
      </c>
      <c r="J166">
        <v>395994600</v>
      </c>
      <c r="K166">
        <v>8926200</v>
      </c>
      <c r="L166">
        <v>395.99459999999999</v>
      </c>
      <c r="M166">
        <v>404.92079999999999</v>
      </c>
      <c r="N166" s="6">
        <f t="shared" si="11"/>
        <v>0.97795568911253761</v>
      </c>
      <c r="O166" s="7">
        <f>N166-F166</f>
        <v>-2.7615556877913505E-6</v>
      </c>
    </row>
    <row r="167" spans="1:15" x14ac:dyDescent="0.25">
      <c r="A167" s="1" t="s">
        <v>40</v>
      </c>
      <c r="B167" s="2">
        <v>182826000</v>
      </c>
      <c r="C167" s="2">
        <v>28363500</v>
      </c>
      <c r="D167">
        <f t="shared" si="8"/>
        <v>182.82599999999999</v>
      </c>
      <c r="E167" s="11">
        <f t="shared" si="9"/>
        <v>211.18950000000001</v>
      </c>
      <c r="F167" s="6">
        <f t="shared" si="10"/>
        <v>0.865696447976817</v>
      </c>
      <c r="G167" t="s">
        <v>631</v>
      </c>
      <c r="H167" t="s">
        <v>40</v>
      </c>
      <c r="I167" t="str">
        <f>VLOOKUP(H167,Sheet2!$A$2:$B$459, 2, FALSE)</f>
        <v>LC</v>
      </c>
      <c r="J167">
        <v>182826000</v>
      </c>
      <c r="K167">
        <v>28362600</v>
      </c>
      <c r="L167">
        <v>182.82599999999999</v>
      </c>
      <c r="M167">
        <v>211.18860000000001</v>
      </c>
      <c r="N167" s="6">
        <f t="shared" si="11"/>
        <v>0.86570013722331596</v>
      </c>
      <c r="O167" s="7">
        <f>N167-F167</f>
        <v>3.6892464989612961E-6</v>
      </c>
    </row>
    <row r="168" spans="1:15" x14ac:dyDescent="0.25">
      <c r="A168" s="1" t="s">
        <v>343</v>
      </c>
      <c r="B168" s="2">
        <v>133976700</v>
      </c>
      <c r="C168" s="2">
        <v>42583500</v>
      </c>
      <c r="D168">
        <f t="shared" si="8"/>
        <v>133.97669999999999</v>
      </c>
      <c r="E168" s="11">
        <f t="shared" si="9"/>
        <v>176.56020000000001</v>
      </c>
      <c r="F168" s="6">
        <f t="shared" si="10"/>
        <v>0.75881597324878425</v>
      </c>
      <c r="G168" t="s">
        <v>632</v>
      </c>
      <c r="H168" t="s">
        <v>343</v>
      </c>
      <c r="I168" t="str">
        <f>VLOOKUP(H168,Sheet2!$A$2:$B$459, 2, FALSE)</f>
        <v>VU</v>
      </c>
      <c r="J168">
        <v>133974900</v>
      </c>
      <c r="K168">
        <v>42591600</v>
      </c>
      <c r="L168">
        <v>133.97489999999999</v>
      </c>
      <c r="M168">
        <v>176.56649999999999</v>
      </c>
      <c r="N168" s="6">
        <f t="shared" si="11"/>
        <v>0.75877870377449852</v>
      </c>
      <c r="O168" s="7">
        <f>N168-F168</f>
        <v>-3.7269474285728244E-5</v>
      </c>
    </row>
    <row r="169" spans="1:15" x14ac:dyDescent="0.25">
      <c r="A169" s="1" t="s">
        <v>235</v>
      </c>
      <c r="B169" s="2">
        <v>73037700</v>
      </c>
      <c r="C169" s="2">
        <v>27386100</v>
      </c>
      <c r="D169">
        <f t="shared" si="8"/>
        <v>73.037700000000001</v>
      </c>
      <c r="E169" s="11">
        <f t="shared" si="9"/>
        <v>100.4238</v>
      </c>
      <c r="F169" s="6">
        <f t="shared" si="10"/>
        <v>0.72729472495563796</v>
      </c>
      <c r="G169" t="s">
        <v>633</v>
      </c>
      <c r="H169" t="s">
        <v>235</v>
      </c>
      <c r="I169" t="str">
        <f>VLOOKUP(H169,Sheet2!$A$2:$B$459, 2, FALSE)</f>
        <v>LC</v>
      </c>
      <c r="J169">
        <v>72962100</v>
      </c>
      <c r="K169">
        <v>27273600</v>
      </c>
      <c r="L169">
        <v>72.962100000000007</v>
      </c>
      <c r="M169">
        <v>100.23569999999999</v>
      </c>
      <c r="N169" s="6">
        <f t="shared" si="11"/>
        <v>0.72790532714392187</v>
      </c>
      <c r="O169" s="7">
        <f>N169-F169</f>
        <v>6.1060218828390411E-4</v>
      </c>
    </row>
    <row r="170" spans="1:15" x14ac:dyDescent="0.25">
      <c r="A170" s="1" t="s">
        <v>271</v>
      </c>
      <c r="B170" s="2">
        <v>20788200</v>
      </c>
      <c r="C170" s="2">
        <v>3059100</v>
      </c>
      <c r="D170">
        <f t="shared" si="8"/>
        <v>20.7882</v>
      </c>
      <c r="E170" s="11">
        <f t="shared" si="9"/>
        <v>23.847300000000001</v>
      </c>
      <c r="F170" s="6">
        <f t="shared" si="10"/>
        <v>0.87172132694267279</v>
      </c>
      <c r="G170" t="s">
        <v>634</v>
      </c>
      <c r="H170" t="s">
        <v>271</v>
      </c>
      <c r="I170" t="str">
        <f>VLOOKUP(H170,Sheet2!$A$2:$B$459, 2, FALSE)</f>
        <v>LC</v>
      </c>
      <c r="J170">
        <v>36954000</v>
      </c>
      <c r="K170">
        <v>6069600</v>
      </c>
      <c r="L170">
        <v>36.954000000000001</v>
      </c>
      <c r="M170">
        <v>43.023600000000002</v>
      </c>
      <c r="N170" s="6">
        <f t="shared" si="11"/>
        <v>0.85892393941929546</v>
      </c>
      <c r="O170" s="7">
        <f>N170-F170</f>
        <v>-1.2797387523377335E-2</v>
      </c>
    </row>
    <row r="171" spans="1:15" x14ac:dyDescent="0.25">
      <c r="A171" s="1" t="s">
        <v>38</v>
      </c>
      <c r="B171" s="2">
        <v>633102300</v>
      </c>
      <c r="C171" s="2">
        <v>154836000</v>
      </c>
      <c r="D171">
        <f t="shared" si="8"/>
        <v>633.10230000000001</v>
      </c>
      <c r="E171" s="11">
        <f t="shared" si="9"/>
        <v>787.93830000000003</v>
      </c>
      <c r="F171" s="6">
        <f t="shared" si="10"/>
        <v>0.80349222775438123</v>
      </c>
      <c r="G171" t="s">
        <v>635</v>
      </c>
      <c r="H171" t="s">
        <v>38</v>
      </c>
      <c r="I171" t="str">
        <f>VLOOKUP(H171,Sheet2!$A$2:$B$459, 2, FALSE)</f>
        <v>LC</v>
      </c>
      <c r="J171">
        <v>619893000</v>
      </c>
      <c r="K171">
        <v>155433600</v>
      </c>
      <c r="L171">
        <v>619.89300000000003</v>
      </c>
      <c r="M171">
        <v>775.32659999999998</v>
      </c>
      <c r="N171" s="6">
        <f t="shared" si="11"/>
        <v>0.7995250001741202</v>
      </c>
      <c r="O171" s="7">
        <f>N171-F171</f>
        <v>-3.9672275802610235E-3</v>
      </c>
    </row>
    <row r="172" spans="1:15" x14ac:dyDescent="0.25">
      <c r="A172" s="1" t="s">
        <v>238</v>
      </c>
      <c r="B172" s="2">
        <v>182588400</v>
      </c>
      <c r="C172" s="2">
        <v>31615200</v>
      </c>
      <c r="D172">
        <f t="shared" si="8"/>
        <v>182.58840000000001</v>
      </c>
      <c r="E172" s="11">
        <f t="shared" si="9"/>
        <v>214.20359999999999</v>
      </c>
      <c r="F172" s="6">
        <f t="shared" si="10"/>
        <v>0.85240584191862323</v>
      </c>
      <c r="G172" t="s">
        <v>636</v>
      </c>
      <c r="H172" t="s">
        <v>238</v>
      </c>
      <c r="I172" t="str">
        <f>VLOOKUP(H172,Sheet2!$A$2:$B$459, 2, FALSE)</f>
        <v>LC</v>
      </c>
      <c r="J172">
        <v>162822600</v>
      </c>
      <c r="K172">
        <v>31221900</v>
      </c>
      <c r="L172">
        <v>162.82259999999999</v>
      </c>
      <c r="M172">
        <v>194.0445</v>
      </c>
      <c r="N172" s="6">
        <f t="shared" si="11"/>
        <v>0.83909927877368329</v>
      </c>
      <c r="O172" s="7">
        <f>N172-F172</f>
        <v>-1.3306563144939942E-2</v>
      </c>
    </row>
    <row r="173" spans="1:15" x14ac:dyDescent="0.25">
      <c r="A173" s="1" t="s">
        <v>239</v>
      </c>
      <c r="B173" s="2">
        <v>885201300</v>
      </c>
      <c r="C173" s="2">
        <v>176941800</v>
      </c>
      <c r="D173">
        <f t="shared" si="8"/>
        <v>885.20129999999995</v>
      </c>
      <c r="E173" s="11">
        <f t="shared" si="9"/>
        <v>1062.1431</v>
      </c>
      <c r="F173" s="6">
        <f t="shared" si="10"/>
        <v>0.83341058281129921</v>
      </c>
      <c r="G173" t="s">
        <v>637</v>
      </c>
      <c r="H173" t="s">
        <v>239</v>
      </c>
      <c r="I173" t="str">
        <f>VLOOKUP(H173,Sheet2!$A$2:$B$459, 2, FALSE)</f>
        <v>LC</v>
      </c>
      <c r="J173">
        <v>885178800</v>
      </c>
      <c r="K173">
        <v>176928300</v>
      </c>
      <c r="L173">
        <v>885.17880000000002</v>
      </c>
      <c r="M173">
        <v>1062.1070999999999</v>
      </c>
      <c r="N173" s="6">
        <f t="shared" si="11"/>
        <v>0.83341764686442643</v>
      </c>
      <c r="O173" s="7">
        <f>N173-F173</f>
        <v>7.0640531272259111E-6</v>
      </c>
    </row>
    <row r="174" spans="1:15" x14ac:dyDescent="0.25">
      <c r="A174" s="1" t="s">
        <v>345</v>
      </c>
      <c r="B174" s="2">
        <v>289316700</v>
      </c>
      <c r="C174" s="2">
        <v>99973800</v>
      </c>
      <c r="D174">
        <f t="shared" si="8"/>
        <v>289.31670000000003</v>
      </c>
      <c r="E174" s="11">
        <f t="shared" si="9"/>
        <v>389.29050000000001</v>
      </c>
      <c r="F174" s="6">
        <f t="shared" si="10"/>
        <v>0.7431897259244703</v>
      </c>
      <c r="G174" t="s">
        <v>638</v>
      </c>
      <c r="H174" t="s">
        <v>345</v>
      </c>
      <c r="I174" t="str">
        <f>VLOOKUP(H174,Sheet2!$A$2:$B$459, 2, FALSE)</f>
        <v>LC</v>
      </c>
      <c r="J174">
        <v>289302300</v>
      </c>
      <c r="K174">
        <v>99980100</v>
      </c>
      <c r="L174">
        <v>289.3023</v>
      </c>
      <c r="M174">
        <v>389.2824</v>
      </c>
      <c r="N174" s="6">
        <f t="shared" si="11"/>
        <v>0.74316819871640738</v>
      </c>
      <c r="O174" s="7">
        <f>N174-F174</f>
        <v>-2.152720806292141E-5</v>
      </c>
    </row>
    <row r="175" spans="1:15" x14ac:dyDescent="0.25">
      <c r="A175" s="1" t="s">
        <v>234</v>
      </c>
      <c r="B175" s="2">
        <v>946948500</v>
      </c>
      <c r="C175" s="2">
        <v>82691100</v>
      </c>
      <c r="D175">
        <f t="shared" si="8"/>
        <v>946.94849999999997</v>
      </c>
      <c r="E175" s="11">
        <f t="shared" si="9"/>
        <v>1029.6396</v>
      </c>
      <c r="F175" s="6">
        <f t="shared" si="10"/>
        <v>0.91968927768512398</v>
      </c>
      <c r="G175" t="s">
        <v>639</v>
      </c>
      <c r="H175" t="s">
        <v>234</v>
      </c>
      <c r="I175" t="str">
        <f>VLOOKUP(H175,Sheet2!$A$2:$B$459, 2, FALSE)</f>
        <v>LC</v>
      </c>
      <c r="J175">
        <v>946939500</v>
      </c>
      <c r="K175">
        <v>82672200</v>
      </c>
      <c r="L175">
        <v>946.93949999999995</v>
      </c>
      <c r="M175">
        <v>1029.6116999999999</v>
      </c>
      <c r="N175" s="6">
        <f t="shared" si="11"/>
        <v>0.919705457892524</v>
      </c>
      <c r="O175" s="7">
        <f>N175-F175</f>
        <v>1.6180207400018354E-5</v>
      </c>
    </row>
    <row r="176" spans="1:15" x14ac:dyDescent="0.25">
      <c r="A176" s="1" t="s">
        <v>37</v>
      </c>
      <c r="B176" s="2">
        <v>151227900</v>
      </c>
      <c r="C176" s="2">
        <v>34021800</v>
      </c>
      <c r="D176">
        <f t="shared" si="8"/>
        <v>151.22790000000001</v>
      </c>
      <c r="E176" s="11">
        <f t="shared" si="9"/>
        <v>185.24969999999999</v>
      </c>
      <c r="F176" s="6">
        <f t="shared" si="10"/>
        <v>0.81634626128949195</v>
      </c>
      <c r="G176" t="s">
        <v>640</v>
      </c>
      <c r="H176" t="s">
        <v>37</v>
      </c>
      <c r="I176" t="str">
        <f>VLOOKUP(H176,Sheet2!$A$2:$B$459, 2, FALSE)</f>
        <v>LC</v>
      </c>
      <c r="J176">
        <v>151225200</v>
      </c>
      <c r="K176">
        <v>34021800</v>
      </c>
      <c r="L176">
        <v>151.2252</v>
      </c>
      <c r="M176">
        <v>185.24700000000001</v>
      </c>
      <c r="N176" s="6">
        <f t="shared" si="11"/>
        <v>0.81634358451149003</v>
      </c>
      <c r="O176" s="7">
        <f>N176-F176</f>
        <v>-2.6767780019198995E-6</v>
      </c>
    </row>
    <row r="177" spans="1:15" x14ac:dyDescent="0.25">
      <c r="A177" s="1" t="s">
        <v>237</v>
      </c>
      <c r="B177" s="2">
        <v>517716900</v>
      </c>
      <c r="C177" s="2">
        <v>162770400</v>
      </c>
      <c r="D177">
        <f t="shared" si="8"/>
        <v>517.71690000000001</v>
      </c>
      <c r="E177" s="11">
        <f t="shared" si="9"/>
        <v>680.4873</v>
      </c>
      <c r="F177" s="6">
        <f t="shared" si="10"/>
        <v>0.76080317737009939</v>
      </c>
      <c r="G177" t="s">
        <v>641</v>
      </c>
      <c r="H177" t="s">
        <v>237</v>
      </c>
      <c r="I177" t="str">
        <f>VLOOKUP(H177,Sheet2!$A$2:$B$459, 2, FALSE)</f>
        <v>LC</v>
      </c>
      <c r="J177">
        <v>516384900</v>
      </c>
      <c r="K177">
        <v>162892800</v>
      </c>
      <c r="L177">
        <v>516.38490000000002</v>
      </c>
      <c r="M177">
        <v>679.27769999999998</v>
      </c>
      <c r="N177" s="6">
        <f t="shared" si="11"/>
        <v>0.76019704459604664</v>
      </c>
      <c r="O177" s="7">
        <f>N177-F177</f>
        <v>-6.0613277405274779E-4</v>
      </c>
    </row>
    <row r="178" spans="1:15" x14ac:dyDescent="0.25">
      <c r="A178" s="1" t="s">
        <v>344</v>
      </c>
      <c r="B178" s="2">
        <v>244514700</v>
      </c>
      <c r="C178" s="2">
        <v>20673000</v>
      </c>
      <c r="D178">
        <f t="shared" si="8"/>
        <v>244.5147</v>
      </c>
      <c r="E178" s="11">
        <f t="shared" si="9"/>
        <v>265.18770000000001</v>
      </c>
      <c r="F178" s="6">
        <f t="shared" si="10"/>
        <v>0.92204389570104495</v>
      </c>
      <c r="G178" t="s">
        <v>642</v>
      </c>
      <c r="H178" t="s">
        <v>344</v>
      </c>
      <c r="I178" t="str">
        <f>VLOOKUP(H178,Sheet2!$A$2:$B$459, 2, FALSE)</f>
        <v>LC</v>
      </c>
      <c r="J178">
        <v>244514700</v>
      </c>
      <c r="K178">
        <v>20674800</v>
      </c>
      <c r="L178">
        <v>244.5147</v>
      </c>
      <c r="M178">
        <v>265.18950000000001</v>
      </c>
      <c r="N178" s="6">
        <f t="shared" si="11"/>
        <v>0.92203763723676846</v>
      </c>
      <c r="O178" s="7">
        <f>N178-F178</f>
        <v>-6.2584642764873522E-6</v>
      </c>
    </row>
    <row r="179" spans="1:15" x14ac:dyDescent="0.25">
      <c r="A179" s="1" t="s">
        <v>346</v>
      </c>
      <c r="B179" s="2">
        <v>81308700</v>
      </c>
      <c r="C179" s="2">
        <v>369900</v>
      </c>
      <c r="D179">
        <f t="shared" si="8"/>
        <v>81.308700000000002</v>
      </c>
      <c r="E179" s="11">
        <f t="shared" si="9"/>
        <v>81.678600000000003</v>
      </c>
      <c r="F179" s="6">
        <f t="shared" si="10"/>
        <v>0.99547127399343283</v>
      </c>
      <c r="G179" t="s">
        <v>643</v>
      </c>
      <c r="H179" t="s">
        <v>346</v>
      </c>
      <c r="I179" t="str">
        <f>VLOOKUP(H179,Sheet2!$A$2:$B$459, 2, FALSE)</f>
        <v>LC</v>
      </c>
      <c r="J179">
        <v>81313200</v>
      </c>
      <c r="K179">
        <v>369900</v>
      </c>
      <c r="L179">
        <v>81.313199999999995</v>
      </c>
      <c r="M179">
        <v>81.683099999999996</v>
      </c>
      <c r="N179" s="6">
        <f t="shared" si="11"/>
        <v>0.99547152348527412</v>
      </c>
      <c r="O179" s="7">
        <f>N179-F179</f>
        <v>2.4949184129763324E-7</v>
      </c>
    </row>
    <row r="180" spans="1:15" x14ac:dyDescent="0.25">
      <c r="A180" s="1" t="s">
        <v>73</v>
      </c>
      <c r="B180" s="2">
        <v>180729000</v>
      </c>
      <c r="C180" s="2">
        <v>316856700</v>
      </c>
      <c r="D180">
        <f t="shared" si="8"/>
        <v>180.72900000000001</v>
      </c>
      <c r="E180" s="11">
        <f t="shared" si="9"/>
        <v>497.58569999999997</v>
      </c>
      <c r="F180" s="6">
        <f t="shared" si="10"/>
        <v>0.36321180451930191</v>
      </c>
      <c r="G180" t="s">
        <v>644</v>
      </c>
      <c r="H180" t="s">
        <v>73</v>
      </c>
      <c r="I180" t="str">
        <f>VLOOKUP(H180,Sheet2!$A$2:$B$459, 2, FALSE)</f>
        <v>EN</v>
      </c>
      <c r="J180">
        <v>180834300</v>
      </c>
      <c r="K180">
        <v>316857600</v>
      </c>
      <c r="L180">
        <v>180.83430000000001</v>
      </c>
      <c r="M180">
        <v>497.69189999999998</v>
      </c>
      <c r="N180" s="6">
        <f t="shared" si="11"/>
        <v>0.36334587723850842</v>
      </c>
      <c r="O180" s="7">
        <f>N180-F180</f>
        <v>1.3407271920651276E-4</v>
      </c>
    </row>
    <row r="181" spans="1:15" x14ac:dyDescent="0.25">
      <c r="A181" s="1" t="s">
        <v>119</v>
      </c>
      <c r="B181" s="2">
        <v>36985500</v>
      </c>
      <c r="C181" s="2">
        <v>26052300</v>
      </c>
      <c r="D181">
        <f t="shared" si="8"/>
        <v>36.985500000000002</v>
      </c>
      <c r="E181" s="11">
        <f t="shared" si="9"/>
        <v>63.037799999999997</v>
      </c>
      <c r="F181" s="6">
        <f t="shared" si="10"/>
        <v>0.58671939693326858</v>
      </c>
      <c r="G181" t="s">
        <v>645</v>
      </c>
      <c r="H181" t="s">
        <v>119</v>
      </c>
      <c r="I181" t="str">
        <f>VLOOKUP(H181,Sheet2!$A$2:$B$459, 2, FALSE)</f>
        <v>VU</v>
      </c>
      <c r="J181">
        <v>36985500</v>
      </c>
      <c r="K181">
        <v>26056800</v>
      </c>
      <c r="L181">
        <v>36.985500000000002</v>
      </c>
      <c r="M181">
        <v>63.042299999999997</v>
      </c>
      <c r="N181" s="6">
        <f t="shared" si="11"/>
        <v>0.58667751652461919</v>
      </c>
      <c r="O181" s="7">
        <f>N181-F181</f>
        <v>-4.1880408649386247E-5</v>
      </c>
    </row>
    <row r="182" spans="1:15" x14ac:dyDescent="0.25">
      <c r="A182" s="1" t="s">
        <v>71</v>
      </c>
      <c r="B182" s="2">
        <v>13383900</v>
      </c>
      <c r="C182" s="2">
        <v>87682500</v>
      </c>
      <c r="D182">
        <f t="shared" si="8"/>
        <v>13.383900000000001</v>
      </c>
      <c r="E182" s="11">
        <f t="shared" si="9"/>
        <v>101.0664</v>
      </c>
      <c r="F182" s="6">
        <f t="shared" si="10"/>
        <v>0.13242680059841846</v>
      </c>
      <c r="G182" t="s">
        <v>646</v>
      </c>
      <c r="H182" t="s">
        <v>71</v>
      </c>
      <c r="I182" t="str">
        <f>VLOOKUP(H182,Sheet2!$A$2:$B$459, 2, FALSE)</f>
        <v>CR</v>
      </c>
      <c r="J182">
        <v>13383900</v>
      </c>
      <c r="K182">
        <v>87687900</v>
      </c>
      <c r="L182">
        <v>13.383900000000001</v>
      </c>
      <c r="M182">
        <v>101.0718</v>
      </c>
      <c r="N182" s="6">
        <f t="shared" si="11"/>
        <v>0.13241972538334135</v>
      </c>
      <c r="O182" s="7">
        <f>N182-F182</f>
        <v>-7.0752150771180577E-6</v>
      </c>
    </row>
    <row r="183" spans="1:15" x14ac:dyDescent="0.25">
      <c r="A183" s="1" t="s">
        <v>64</v>
      </c>
      <c r="B183" s="2">
        <v>29164500</v>
      </c>
      <c r="C183" s="2">
        <v>180558000</v>
      </c>
      <c r="D183">
        <f t="shared" si="8"/>
        <v>29.1645</v>
      </c>
      <c r="E183" s="11">
        <f t="shared" si="9"/>
        <v>209.7225</v>
      </c>
      <c r="F183" s="6">
        <f t="shared" si="10"/>
        <v>0.13906233236777168</v>
      </c>
      <c r="G183" t="s">
        <v>647</v>
      </c>
      <c r="H183" t="s">
        <v>64</v>
      </c>
      <c r="I183" t="str">
        <f>VLOOKUP(H183,Sheet2!$A$2:$B$459, 2, FALSE)</f>
        <v>EN</v>
      </c>
      <c r="J183">
        <v>29165400</v>
      </c>
      <c r="K183">
        <v>180557100</v>
      </c>
      <c r="L183">
        <v>29.165400000000002</v>
      </c>
      <c r="M183">
        <v>209.7225</v>
      </c>
      <c r="N183" s="6">
        <f t="shared" si="11"/>
        <v>0.13906662375281623</v>
      </c>
      <c r="O183" s="7">
        <f>N183-F183</f>
        <v>4.291385044541407E-6</v>
      </c>
    </row>
    <row r="184" spans="1:15" x14ac:dyDescent="0.25">
      <c r="A184" s="1" t="s">
        <v>86</v>
      </c>
      <c r="B184" s="2">
        <v>197970300</v>
      </c>
      <c r="C184" s="2">
        <v>21565800</v>
      </c>
      <c r="D184">
        <f t="shared" si="8"/>
        <v>197.97030000000001</v>
      </c>
      <c r="E184" s="11">
        <f t="shared" si="9"/>
        <v>219.5361</v>
      </c>
      <c r="F184" s="6">
        <f t="shared" si="10"/>
        <v>0.90176649762840821</v>
      </c>
      <c r="G184" t="s">
        <v>648</v>
      </c>
      <c r="H184" t="s">
        <v>86</v>
      </c>
      <c r="I184" t="str">
        <f>VLOOKUP(H184,Sheet2!$A$2:$B$459, 2, FALSE)</f>
        <v>LC</v>
      </c>
      <c r="J184">
        <v>197970300</v>
      </c>
      <c r="K184">
        <v>21565800</v>
      </c>
      <c r="L184">
        <v>197.97030000000001</v>
      </c>
      <c r="M184">
        <v>219.5361</v>
      </c>
      <c r="N184" s="6">
        <f t="shared" si="11"/>
        <v>0.90176649762840833</v>
      </c>
      <c r="O184" s="7">
        <f>N184-F184</f>
        <v>0</v>
      </c>
    </row>
    <row r="185" spans="1:15" x14ac:dyDescent="0.25">
      <c r="A185" s="1" t="s">
        <v>87</v>
      </c>
      <c r="B185" s="2">
        <v>565642800</v>
      </c>
      <c r="C185" s="2">
        <v>13248000</v>
      </c>
      <c r="D185">
        <f t="shared" si="8"/>
        <v>565.64279999999997</v>
      </c>
      <c r="E185" s="11">
        <f t="shared" si="9"/>
        <v>578.89080000000001</v>
      </c>
      <c r="F185" s="6">
        <f t="shared" si="10"/>
        <v>0.97711485482236027</v>
      </c>
      <c r="G185" t="s">
        <v>649</v>
      </c>
      <c r="H185" t="s">
        <v>87</v>
      </c>
      <c r="I185" t="str">
        <f>VLOOKUP(H185,Sheet2!$A$2:$B$459, 2, FALSE)</f>
        <v>LC</v>
      </c>
      <c r="J185">
        <v>565641900</v>
      </c>
      <c r="K185">
        <v>13248000</v>
      </c>
      <c r="L185">
        <v>565.64189999999996</v>
      </c>
      <c r="M185">
        <v>578.88990000000001</v>
      </c>
      <c r="N185" s="6">
        <f t="shared" si="11"/>
        <v>0.97711481924283006</v>
      </c>
      <c r="O185" s="7">
        <f>N185-F185</f>
        <v>-3.5579530210938515E-8</v>
      </c>
    </row>
    <row r="186" spans="1:15" x14ac:dyDescent="0.25">
      <c r="A186" s="1" t="s">
        <v>93</v>
      </c>
      <c r="B186" s="2">
        <v>253857600</v>
      </c>
      <c r="C186" s="2">
        <v>51623100</v>
      </c>
      <c r="D186">
        <f t="shared" si="8"/>
        <v>253.85759999999999</v>
      </c>
      <c r="E186" s="11">
        <f t="shared" si="9"/>
        <v>305.48070000000001</v>
      </c>
      <c r="F186" s="6">
        <f t="shared" si="10"/>
        <v>0.83101027331677579</v>
      </c>
      <c r="G186" t="s">
        <v>650</v>
      </c>
      <c r="H186" t="s">
        <v>93</v>
      </c>
      <c r="I186" t="str">
        <f>VLOOKUP(H186,Sheet2!$A$2:$B$459, 2, FALSE)</f>
        <v>LC</v>
      </c>
      <c r="J186">
        <v>253853100</v>
      </c>
      <c r="K186">
        <v>51626700</v>
      </c>
      <c r="L186">
        <v>253.85310000000001</v>
      </c>
      <c r="M186">
        <v>305.47980000000001</v>
      </c>
      <c r="N186" s="6">
        <f t="shared" si="11"/>
        <v>0.83099799070184022</v>
      </c>
      <c r="O186" s="7">
        <f>N186-F186</f>
        <v>-1.228261493557703E-5</v>
      </c>
    </row>
    <row r="187" spans="1:15" x14ac:dyDescent="0.25">
      <c r="A187" s="1" t="s">
        <v>46</v>
      </c>
      <c r="B187" s="2">
        <v>160608600</v>
      </c>
      <c r="C187" s="2">
        <v>790703100</v>
      </c>
      <c r="D187">
        <f t="shared" si="8"/>
        <v>160.6086</v>
      </c>
      <c r="E187" s="11">
        <f t="shared" si="9"/>
        <v>951.31169999999997</v>
      </c>
      <c r="F187" s="6">
        <f t="shared" si="10"/>
        <v>0.16882857637512499</v>
      </c>
      <c r="G187" t="s">
        <v>651</v>
      </c>
      <c r="H187" t="s">
        <v>46</v>
      </c>
      <c r="I187" t="str">
        <f>VLOOKUP(H187,Sheet2!$A$2:$B$459, 2, FALSE)</f>
        <v>EN</v>
      </c>
      <c r="J187">
        <v>160608600</v>
      </c>
      <c r="K187">
        <v>790700400</v>
      </c>
      <c r="L187">
        <v>160.6086</v>
      </c>
      <c r="M187">
        <v>951.30899999999997</v>
      </c>
      <c r="N187" s="6">
        <f t="shared" si="11"/>
        <v>0.16882905554346694</v>
      </c>
      <c r="O187" s="7">
        <f>N187-F187</f>
        <v>4.7916834194916547E-7</v>
      </c>
    </row>
    <row r="188" spans="1:15" x14ac:dyDescent="0.25">
      <c r="A188" s="1" t="s">
        <v>74</v>
      </c>
      <c r="B188" s="2">
        <v>18838800</v>
      </c>
      <c r="C188" s="2">
        <v>332100</v>
      </c>
      <c r="D188">
        <f t="shared" si="8"/>
        <v>18.838799999999999</v>
      </c>
      <c r="E188" s="11">
        <f t="shared" si="9"/>
        <v>19.1709</v>
      </c>
      <c r="F188" s="6">
        <f t="shared" si="10"/>
        <v>0.9826768696305338</v>
      </c>
      <c r="G188" t="s">
        <v>652</v>
      </c>
      <c r="H188" t="s">
        <v>74</v>
      </c>
      <c r="I188" t="str">
        <f>VLOOKUP(H188,Sheet2!$A$2:$B$459, 2, FALSE)</f>
        <v>LC</v>
      </c>
      <c r="J188">
        <v>18896400</v>
      </c>
      <c r="K188">
        <v>332100</v>
      </c>
      <c r="L188">
        <v>18.8964</v>
      </c>
      <c r="M188">
        <v>19.2285</v>
      </c>
      <c r="N188" s="6">
        <f t="shared" si="11"/>
        <v>0.98272876199391523</v>
      </c>
      <c r="O188" s="7">
        <f>N188-F188</f>
        <v>5.1892363381433881E-5</v>
      </c>
    </row>
    <row r="189" spans="1:15" x14ac:dyDescent="0.25">
      <c r="A189" s="1" t="s">
        <v>133</v>
      </c>
      <c r="B189" s="2">
        <v>434640600</v>
      </c>
      <c r="C189" s="2">
        <v>67059000</v>
      </c>
      <c r="D189">
        <f t="shared" si="8"/>
        <v>434.64060000000001</v>
      </c>
      <c r="E189" s="11">
        <f t="shared" si="9"/>
        <v>501.69959999999998</v>
      </c>
      <c r="F189" s="6">
        <f t="shared" si="10"/>
        <v>0.8663363494808447</v>
      </c>
      <c r="G189" t="s">
        <v>653</v>
      </c>
      <c r="H189" t="s">
        <v>133</v>
      </c>
      <c r="I189" t="str">
        <f>VLOOKUP(H189,Sheet2!$A$2:$B$459, 2, FALSE)</f>
        <v>LC</v>
      </c>
      <c r="J189">
        <v>434646000</v>
      </c>
      <c r="K189">
        <v>67057200</v>
      </c>
      <c r="L189">
        <v>434.64600000000002</v>
      </c>
      <c r="M189">
        <v>501.70319999999998</v>
      </c>
      <c r="N189" s="6">
        <f t="shared" si="11"/>
        <v>0.86634089637060319</v>
      </c>
      <c r="O189" s="7">
        <f>N189-F189</f>
        <v>4.5468897584832746E-6</v>
      </c>
    </row>
    <row r="190" spans="1:15" x14ac:dyDescent="0.25">
      <c r="A190" s="1" t="s">
        <v>88</v>
      </c>
      <c r="B190" s="2">
        <v>196336800</v>
      </c>
      <c r="C190" s="2">
        <v>10929600</v>
      </c>
      <c r="D190">
        <f t="shared" si="8"/>
        <v>196.33680000000001</v>
      </c>
      <c r="E190" s="11">
        <f t="shared" si="9"/>
        <v>207.2664</v>
      </c>
      <c r="F190" s="6">
        <f t="shared" si="10"/>
        <v>0.94726786396637375</v>
      </c>
      <c r="G190" t="s">
        <v>654</v>
      </c>
      <c r="H190" t="s">
        <v>88</v>
      </c>
      <c r="I190" t="str">
        <f>VLOOKUP(H190,Sheet2!$A$2:$B$459, 2, FALSE)</f>
        <v>LC</v>
      </c>
      <c r="J190">
        <v>196344000</v>
      </c>
      <c r="K190">
        <v>10930500</v>
      </c>
      <c r="L190">
        <v>196.34399999999999</v>
      </c>
      <c r="M190">
        <v>207.27449999999999</v>
      </c>
      <c r="N190" s="6">
        <f t="shared" si="11"/>
        <v>0.94726558259699101</v>
      </c>
      <c r="O190" s="7">
        <f>N190-F190</f>
        <v>-2.2813693827394843E-6</v>
      </c>
    </row>
    <row r="191" spans="1:15" x14ac:dyDescent="0.25">
      <c r="A191" s="1" t="s">
        <v>57</v>
      </c>
      <c r="B191" s="2">
        <v>3015900</v>
      </c>
      <c r="C191" s="2">
        <v>22268700</v>
      </c>
      <c r="D191">
        <f t="shared" si="8"/>
        <v>3.0158999999999998</v>
      </c>
      <c r="E191" s="11">
        <f t="shared" si="9"/>
        <v>25.284600000000001</v>
      </c>
      <c r="F191" s="6">
        <f t="shared" si="10"/>
        <v>0.11927813768064355</v>
      </c>
      <c r="G191" t="s">
        <v>655</v>
      </c>
      <c r="H191" t="s">
        <v>57</v>
      </c>
      <c r="I191" t="str">
        <f>VLOOKUP(H191,Sheet2!$A$2:$B$459, 2, FALSE)</f>
        <v>CR</v>
      </c>
      <c r="J191">
        <v>3015900</v>
      </c>
      <c r="K191">
        <v>22267800</v>
      </c>
      <c r="L191">
        <v>3.0158999999999998</v>
      </c>
      <c r="M191">
        <v>25.2837</v>
      </c>
      <c r="N191" s="6">
        <f t="shared" si="11"/>
        <v>0.11928238351190687</v>
      </c>
      <c r="O191" s="7">
        <f>N191-F191</f>
        <v>4.2458312633220086E-6</v>
      </c>
    </row>
    <row r="192" spans="1:15" x14ac:dyDescent="0.25">
      <c r="A192" s="1" t="s">
        <v>75</v>
      </c>
      <c r="B192" s="2">
        <v>159227100</v>
      </c>
      <c r="C192" s="2">
        <v>1034421300</v>
      </c>
      <c r="D192">
        <f t="shared" si="8"/>
        <v>159.22710000000001</v>
      </c>
      <c r="E192" s="11">
        <f t="shared" si="9"/>
        <v>1193.6484</v>
      </c>
      <c r="F192" s="6">
        <f t="shared" si="10"/>
        <v>0.13339531138315103</v>
      </c>
      <c r="G192" t="s">
        <v>656</v>
      </c>
      <c r="H192" t="s">
        <v>75</v>
      </c>
      <c r="I192" t="str">
        <f>VLOOKUP(H192,Sheet2!$A$2:$B$459, 2, FALSE)</f>
        <v>CR</v>
      </c>
      <c r="J192">
        <v>159226200</v>
      </c>
      <c r="K192">
        <v>1034422200</v>
      </c>
      <c r="L192">
        <v>159.22620000000001</v>
      </c>
      <c r="M192">
        <v>1193.6484</v>
      </c>
      <c r="N192" s="6">
        <f t="shared" si="11"/>
        <v>0.13339455739227732</v>
      </c>
      <c r="O192" s="7">
        <f>N192-F192</f>
        <v>-7.5399087370864315E-7</v>
      </c>
    </row>
    <row r="193" spans="1:15" x14ac:dyDescent="0.25">
      <c r="A193" s="1" t="s">
        <v>65</v>
      </c>
      <c r="B193" s="2">
        <v>204233400</v>
      </c>
      <c r="C193" s="2">
        <v>1823293800</v>
      </c>
      <c r="D193">
        <f t="shared" si="8"/>
        <v>204.23339999999999</v>
      </c>
      <c r="E193" s="11">
        <f t="shared" si="9"/>
        <v>2027.5272</v>
      </c>
      <c r="F193" s="6">
        <f t="shared" si="10"/>
        <v>0.10073028859982741</v>
      </c>
      <c r="G193" t="s">
        <v>657</v>
      </c>
      <c r="H193" t="s">
        <v>65</v>
      </c>
      <c r="I193" t="str">
        <f>VLOOKUP(H193,Sheet2!$A$2:$B$459, 2, FALSE)</f>
        <v>CR</v>
      </c>
      <c r="J193">
        <v>204229800</v>
      </c>
      <c r="K193">
        <v>1823294700</v>
      </c>
      <c r="L193">
        <v>204.22980000000001</v>
      </c>
      <c r="M193">
        <v>2027.5245</v>
      </c>
      <c r="N193" s="6">
        <f t="shared" si="11"/>
        <v>0.10072864717541022</v>
      </c>
      <c r="O193" s="7">
        <f>N193-F193</f>
        <v>-1.6414244171925052E-6</v>
      </c>
    </row>
    <row r="194" spans="1:15" x14ac:dyDescent="0.25">
      <c r="A194" s="1" t="s">
        <v>66</v>
      </c>
      <c r="B194" s="2">
        <v>409314600</v>
      </c>
      <c r="C194" s="2">
        <v>2353235400</v>
      </c>
      <c r="D194">
        <f t="shared" si="8"/>
        <v>409.31459999999998</v>
      </c>
      <c r="E194" s="11">
        <f t="shared" si="9"/>
        <v>2762.55</v>
      </c>
      <c r="F194" s="6">
        <f t="shared" si="10"/>
        <v>0.14816549926698158</v>
      </c>
      <c r="G194" t="s">
        <v>658</v>
      </c>
      <c r="H194" t="s">
        <v>66</v>
      </c>
      <c r="I194" t="str">
        <f>VLOOKUP(H194,Sheet2!$A$2:$B$459, 2, FALSE)</f>
        <v>EN</v>
      </c>
      <c r="J194">
        <v>409460400</v>
      </c>
      <c r="K194">
        <v>2353235400</v>
      </c>
      <c r="L194">
        <v>409.46039999999999</v>
      </c>
      <c r="M194">
        <v>2762.6958</v>
      </c>
      <c r="N194" s="6">
        <f t="shared" si="11"/>
        <v>0.14821045444091238</v>
      </c>
      <c r="O194" s="7">
        <f>N194-F194</f>
        <v>4.4955173930799619E-5</v>
      </c>
    </row>
    <row r="195" spans="1:15" x14ac:dyDescent="0.25">
      <c r="A195" s="1" t="s">
        <v>138</v>
      </c>
      <c r="B195" s="2">
        <v>330753600</v>
      </c>
      <c r="C195" s="2">
        <v>535737600</v>
      </c>
      <c r="D195">
        <f t="shared" ref="D195:D259" si="12">B195/1000000</f>
        <v>330.75360000000001</v>
      </c>
      <c r="E195" s="11">
        <f t="shared" ref="E195:E258" si="13">(B195+C195)/1000000</f>
        <v>866.49120000000005</v>
      </c>
      <c r="F195" s="6">
        <f t="shared" ref="F195:F258" si="14">B195/(B195+C195)</f>
        <v>0.3817160520499227</v>
      </c>
      <c r="G195" t="s">
        <v>659</v>
      </c>
      <c r="H195" t="s">
        <v>138</v>
      </c>
      <c r="I195" t="str">
        <f>VLOOKUP(H195,Sheet2!$A$2:$B$459, 2, FALSE)</f>
        <v>CR</v>
      </c>
      <c r="J195">
        <v>330756300</v>
      </c>
      <c r="K195">
        <v>535741200</v>
      </c>
      <c r="L195">
        <v>330.75630000000001</v>
      </c>
      <c r="M195">
        <v>866.49749999999995</v>
      </c>
      <c r="N195" s="6">
        <f t="shared" ref="N195:N258" si="15">L195/M195</f>
        <v>0.38171639271896346</v>
      </c>
      <c r="O195" s="7">
        <f>N195-F195</f>
        <v>3.4066904075480409E-7</v>
      </c>
    </row>
    <row r="196" spans="1:15" x14ac:dyDescent="0.25">
      <c r="A196" s="1" t="s">
        <v>134</v>
      </c>
      <c r="B196" s="2">
        <v>264867300</v>
      </c>
      <c r="C196" s="2">
        <v>11502900</v>
      </c>
      <c r="D196">
        <f t="shared" si="12"/>
        <v>264.8673</v>
      </c>
      <c r="E196" s="11">
        <f t="shared" si="13"/>
        <v>276.37020000000001</v>
      </c>
      <c r="F196" s="6">
        <f t="shared" si="14"/>
        <v>0.95837865298067593</v>
      </c>
      <c r="G196" t="s">
        <v>660</v>
      </c>
      <c r="H196" t="s">
        <v>134</v>
      </c>
      <c r="I196" t="str">
        <f>VLOOKUP(H196,Sheet2!$A$2:$B$459, 2, FALSE)</f>
        <v>LC</v>
      </c>
      <c r="J196">
        <v>264870900</v>
      </c>
      <c r="K196">
        <v>11502900</v>
      </c>
      <c r="L196">
        <v>264.87090000000001</v>
      </c>
      <c r="M196">
        <v>276.37380000000002</v>
      </c>
      <c r="N196" s="6">
        <f t="shared" si="15"/>
        <v>0.9583791951335473</v>
      </c>
      <c r="O196" s="7">
        <f>N196-F196</f>
        <v>5.4215287137449053E-7</v>
      </c>
    </row>
    <row r="197" spans="1:15" x14ac:dyDescent="0.25">
      <c r="A197" s="1" t="s">
        <v>82</v>
      </c>
      <c r="B197" s="2">
        <v>1108529100</v>
      </c>
      <c r="C197" s="2">
        <v>239261400</v>
      </c>
      <c r="D197">
        <f t="shared" si="12"/>
        <v>1108.5291</v>
      </c>
      <c r="E197" s="11">
        <f t="shared" si="13"/>
        <v>1347.7905000000001</v>
      </c>
      <c r="F197" s="6">
        <f t="shared" si="14"/>
        <v>0.8224787902867694</v>
      </c>
      <c r="G197" t="s">
        <v>661</v>
      </c>
      <c r="H197" t="s">
        <v>82</v>
      </c>
      <c r="I197" t="str">
        <f>VLOOKUP(H197,Sheet2!$A$2:$B$459, 2, FALSE)</f>
        <v>LC</v>
      </c>
      <c r="J197">
        <v>1108533600</v>
      </c>
      <c r="K197">
        <v>239257800</v>
      </c>
      <c r="L197">
        <v>1108.5336</v>
      </c>
      <c r="M197">
        <v>1347.7914000000001</v>
      </c>
      <c r="N197" s="6">
        <f t="shared" si="15"/>
        <v>0.82248157986465853</v>
      </c>
      <c r="O197" s="7">
        <f>N197-F197</f>
        <v>2.7895778891284806E-6</v>
      </c>
    </row>
    <row r="198" spans="1:15" x14ac:dyDescent="0.25">
      <c r="A198" s="1" t="s">
        <v>83</v>
      </c>
      <c r="B198" s="2">
        <v>65668500</v>
      </c>
      <c r="C198" s="2">
        <v>141456600</v>
      </c>
      <c r="D198">
        <f t="shared" si="12"/>
        <v>65.668499999999995</v>
      </c>
      <c r="E198" s="11">
        <f t="shared" si="13"/>
        <v>207.1251</v>
      </c>
      <c r="F198" s="6">
        <f t="shared" si="14"/>
        <v>0.31704752345321741</v>
      </c>
      <c r="G198" t="s">
        <v>662</v>
      </c>
      <c r="H198" t="s">
        <v>83</v>
      </c>
      <c r="I198" t="str">
        <f>VLOOKUP(H198,Sheet2!$A$2:$B$459, 2, FALSE)</f>
        <v>EN</v>
      </c>
      <c r="J198">
        <v>65667600</v>
      </c>
      <c r="K198">
        <v>141454800</v>
      </c>
      <c r="L198">
        <v>65.667599999999993</v>
      </c>
      <c r="M198">
        <v>207.1224</v>
      </c>
      <c r="N198" s="6">
        <f t="shared" si="15"/>
        <v>0.31704731115514301</v>
      </c>
      <c r="O198" s="7">
        <f>N198-F198</f>
        <v>-2.1229807439793191E-7</v>
      </c>
    </row>
    <row r="199" spans="1:15" x14ac:dyDescent="0.25">
      <c r="A199" s="1" t="s">
        <v>84</v>
      </c>
      <c r="B199" s="2">
        <v>118666800</v>
      </c>
      <c r="C199" s="2">
        <v>50400</v>
      </c>
      <c r="D199">
        <f t="shared" si="12"/>
        <v>118.66679999999999</v>
      </c>
      <c r="E199" s="11">
        <f t="shared" si="13"/>
        <v>118.71720000000001</v>
      </c>
      <c r="F199" s="6">
        <f t="shared" si="14"/>
        <v>0.99957546168541711</v>
      </c>
      <c r="G199" t="s">
        <v>663</v>
      </c>
      <c r="H199" t="s">
        <v>84</v>
      </c>
      <c r="I199" t="str">
        <f>VLOOKUP(H199,Sheet2!$A$2:$B$459, 2, FALSE)</f>
        <v>LC</v>
      </c>
      <c r="J199">
        <v>118668600</v>
      </c>
      <c r="K199">
        <v>50400</v>
      </c>
      <c r="L199">
        <v>118.6686</v>
      </c>
      <c r="M199">
        <v>118.71899999999999</v>
      </c>
      <c r="N199" s="6">
        <f t="shared" si="15"/>
        <v>0.99957546812220455</v>
      </c>
      <c r="O199" s="7">
        <f>N199-F199</f>
        <v>6.4367874363924216E-9</v>
      </c>
    </row>
    <row r="200" spans="1:15" x14ac:dyDescent="0.25">
      <c r="A200" s="1" t="s">
        <v>26</v>
      </c>
      <c r="B200" s="2">
        <v>159498900</v>
      </c>
      <c r="C200" s="2">
        <v>213641100</v>
      </c>
      <c r="D200">
        <f t="shared" si="12"/>
        <v>159.49889999999999</v>
      </c>
      <c r="E200" s="11">
        <f t="shared" si="13"/>
        <v>373.14</v>
      </c>
      <c r="F200" s="6">
        <f t="shared" si="14"/>
        <v>0.42745055475156779</v>
      </c>
      <c r="G200" t="s">
        <v>664</v>
      </c>
      <c r="H200" t="s">
        <v>26</v>
      </c>
      <c r="I200" t="str">
        <f>VLOOKUP(H200,Sheet2!$A$2:$B$459, 2, FALSE)</f>
        <v>EN</v>
      </c>
      <c r="J200">
        <v>158511600</v>
      </c>
      <c r="K200">
        <v>213529500</v>
      </c>
      <c r="L200">
        <v>158.51159999999999</v>
      </c>
      <c r="M200">
        <v>372.04109999999997</v>
      </c>
      <c r="N200" s="6">
        <f t="shared" si="15"/>
        <v>0.42605937892345763</v>
      </c>
      <c r="O200" s="7">
        <f>N200-F200</f>
        <v>-1.3911758281101583E-3</v>
      </c>
    </row>
    <row r="201" spans="1:15" x14ac:dyDescent="0.25">
      <c r="A201" s="1" t="s">
        <v>89</v>
      </c>
      <c r="B201" s="2">
        <v>105192900</v>
      </c>
      <c r="C201" s="2">
        <v>113631300</v>
      </c>
      <c r="D201">
        <f t="shared" si="12"/>
        <v>105.19289999999999</v>
      </c>
      <c r="E201" s="11">
        <f t="shared" si="13"/>
        <v>218.82419999999999</v>
      </c>
      <c r="F201" s="6">
        <f t="shared" si="14"/>
        <v>0.48071876876506348</v>
      </c>
      <c r="G201" t="s">
        <v>665</v>
      </c>
      <c r="H201" t="s">
        <v>89</v>
      </c>
      <c r="I201" t="str">
        <f>VLOOKUP(H201,Sheet2!$A$2:$B$459, 2, FALSE)</f>
        <v>CR</v>
      </c>
      <c r="J201">
        <v>105194700</v>
      </c>
      <c r="K201">
        <v>113631300</v>
      </c>
      <c r="L201">
        <v>105.1947</v>
      </c>
      <c r="M201">
        <v>218.82599999999999</v>
      </c>
      <c r="N201" s="6">
        <f t="shared" si="15"/>
        <v>0.48072304022373941</v>
      </c>
      <c r="O201" s="7">
        <f>N201-F201</f>
        <v>4.2714586759307061E-6</v>
      </c>
    </row>
    <row r="202" spans="1:15" x14ac:dyDescent="0.25">
      <c r="A202" s="1" t="s">
        <v>85</v>
      </c>
      <c r="B202" s="2">
        <v>11820600</v>
      </c>
      <c r="C202" s="2">
        <v>35184600</v>
      </c>
      <c r="D202">
        <f t="shared" si="12"/>
        <v>11.820600000000001</v>
      </c>
      <c r="E202" s="11">
        <f t="shared" si="13"/>
        <v>47.005200000000002</v>
      </c>
      <c r="F202" s="6">
        <f t="shared" si="14"/>
        <v>0.25147430497051387</v>
      </c>
      <c r="G202" t="s">
        <v>666</v>
      </c>
      <c r="H202" t="s">
        <v>85</v>
      </c>
      <c r="I202" t="str">
        <f>VLOOKUP(H202,Sheet2!$A$2:$B$459, 2, FALSE)</f>
        <v>CR</v>
      </c>
      <c r="J202">
        <v>11820600</v>
      </c>
      <c r="K202">
        <v>35184600</v>
      </c>
      <c r="L202">
        <v>11.820600000000001</v>
      </c>
      <c r="M202">
        <v>47.005200000000002</v>
      </c>
      <c r="N202" s="6">
        <f t="shared" si="15"/>
        <v>0.25147430497051393</v>
      </c>
      <c r="O202" s="7">
        <f>N202-F202</f>
        <v>0</v>
      </c>
    </row>
    <row r="203" spans="1:15" x14ac:dyDescent="0.25">
      <c r="A203" s="1" t="s">
        <v>90</v>
      </c>
      <c r="B203" s="2">
        <v>3152340900</v>
      </c>
      <c r="C203" s="2">
        <v>65118600</v>
      </c>
      <c r="D203">
        <f t="shared" si="12"/>
        <v>3152.3409000000001</v>
      </c>
      <c r="E203" s="11">
        <f t="shared" si="13"/>
        <v>3217.4594999999999</v>
      </c>
      <c r="F203" s="6">
        <f t="shared" si="14"/>
        <v>0.9797608641227652</v>
      </c>
      <c r="G203" t="s">
        <v>667</v>
      </c>
      <c r="H203" t="s">
        <v>90</v>
      </c>
      <c r="I203" t="str">
        <f>VLOOKUP(H203,Sheet2!$A$2:$B$459, 2, FALSE)</f>
        <v>LC</v>
      </c>
      <c r="J203">
        <v>3152338200</v>
      </c>
      <c r="K203">
        <v>65118600</v>
      </c>
      <c r="L203">
        <v>3152.3382000000001</v>
      </c>
      <c r="M203">
        <v>3217.4567999999999</v>
      </c>
      <c r="N203" s="6">
        <f t="shared" si="15"/>
        <v>0.97976084713864697</v>
      </c>
      <c r="O203" s="7">
        <f>N203-F203</f>
        <v>-1.6984118222929112E-8</v>
      </c>
    </row>
    <row r="204" spans="1:15" x14ac:dyDescent="0.25">
      <c r="A204" s="1" t="s">
        <v>135</v>
      </c>
      <c r="B204" s="2">
        <v>215319600</v>
      </c>
      <c r="C204" s="2">
        <v>276412500</v>
      </c>
      <c r="D204">
        <f t="shared" si="12"/>
        <v>215.31960000000001</v>
      </c>
      <c r="E204" s="11">
        <f t="shared" si="13"/>
        <v>491.7321</v>
      </c>
      <c r="F204" s="6">
        <f t="shared" si="14"/>
        <v>0.43787989435711028</v>
      </c>
      <c r="G204" t="s">
        <v>668</v>
      </c>
      <c r="H204" t="s">
        <v>135</v>
      </c>
      <c r="I204" t="str">
        <f>VLOOKUP(H204,Sheet2!$A$2:$B$459, 2, FALSE)</f>
        <v>CR</v>
      </c>
      <c r="J204">
        <v>215320500</v>
      </c>
      <c r="K204">
        <v>276413400</v>
      </c>
      <c r="L204">
        <v>215.32050000000001</v>
      </c>
      <c r="M204">
        <v>491.73390000000001</v>
      </c>
      <c r="N204" s="6">
        <f t="shared" si="15"/>
        <v>0.43788012174877511</v>
      </c>
      <c r="O204" s="7">
        <f>N204-F204</f>
        <v>2.2739166483098927E-7</v>
      </c>
    </row>
    <row r="205" spans="1:15" x14ac:dyDescent="0.25">
      <c r="A205" s="1" t="s">
        <v>91</v>
      </c>
      <c r="B205" s="2">
        <v>1200539700</v>
      </c>
      <c r="C205" s="2">
        <v>35940600</v>
      </c>
      <c r="D205">
        <f t="shared" si="12"/>
        <v>1200.5397</v>
      </c>
      <c r="E205" s="11">
        <f t="shared" si="13"/>
        <v>1236.4802999999999</v>
      </c>
      <c r="F205" s="6">
        <f t="shared" si="14"/>
        <v>0.97093313981629958</v>
      </c>
      <c r="G205" t="s">
        <v>669</v>
      </c>
      <c r="H205" t="s">
        <v>91</v>
      </c>
      <c r="I205" t="str">
        <f>VLOOKUP(H205,Sheet2!$A$2:$B$459, 2, FALSE)</f>
        <v>LC</v>
      </c>
      <c r="J205">
        <v>1200540600</v>
      </c>
      <c r="K205">
        <v>35940600</v>
      </c>
      <c r="L205">
        <v>1200.5406</v>
      </c>
      <c r="M205">
        <v>1236.4811999999999</v>
      </c>
      <c r="N205" s="6">
        <f t="shared" si="15"/>
        <v>0.97093316097325222</v>
      </c>
      <c r="O205" s="7">
        <f>N205-F205</f>
        <v>2.115695263427142E-8</v>
      </c>
    </row>
    <row r="206" spans="1:15" x14ac:dyDescent="0.25">
      <c r="A206" s="1" t="s">
        <v>136</v>
      </c>
      <c r="B206" s="2">
        <v>1815399900</v>
      </c>
      <c r="C206" s="2">
        <v>280533600</v>
      </c>
      <c r="D206">
        <f t="shared" si="12"/>
        <v>1815.3998999999999</v>
      </c>
      <c r="E206" s="11">
        <f t="shared" si="13"/>
        <v>2095.9335000000001</v>
      </c>
      <c r="F206" s="6">
        <f t="shared" si="14"/>
        <v>0.86615338702301381</v>
      </c>
      <c r="G206" t="s">
        <v>670</v>
      </c>
      <c r="H206" t="s">
        <v>136</v>
      </c>
      <c r="I206" t="str">
        <f>VLOOKUP(H206,Sheet2!$A$2:$B$459, 2, FALSE)</f>
        <v>LC</v>
      </c>
      <c r="J206">
        <v>1815393600</v>
      </c>
      <c r="K206">
        <v>280533600</v>
      </c>
      <c r="L206">
        <v>1815.3936000000001</v>
      </c>
      <c r="M206">
        <v>2095.9272000000001</v>
      </c>
      <c r="N206" s="6">
        <f t="shared" si="15"/>
        <v>0.86615298470290381</v>
      </c>
      <c r="O206" s="7">
        <f>N206-F206</f>
        <v>-4.0232011000451706E-7</v>
      </c>
    </row>
    <row r="207" spans="1:15" x14ac:dyDescent="0.25">
      <c r="A207" s="1" t="s">
        <v>137</v>
      </c>
      <c r="B207" s="2">
        <v>1299189600</v>
      </c>
      <c r="C207" s="2">
        <v>308720700</v>
      </c>
      <c r="D207">
        <f t="shared" si="12"/>
        <v>1299.1895999999999</v>
      </c>
      <c r="E207" s="11">
        <f t="shared" si="13"/>
        <v>1607.9103</v>
      </c>
      <c r="F207" s="6">
        <f t="shared" si="14"/>
        <v>0.80799880441091765</v>
      </c>
      <c r="G207" t="s">
        <v>671</v>
      </c>
      <c r="H207" t="s">
        <v>137</v>
      </c>
      <c r="I207" t="str">
        <f>VLOOKUP(H207,Sheet2!$A$2:$B$459, 2, FALSE)</f>
        <v>LC</v>
      </c>
      <c r="J207">
        <v>1299191400</v>
      </c>
      <c r="K207">
        <v>308721600</v>
      </c>
      <c r="L207">
        <v>1299.1913999999999</v>
      </c>
      <c r="M207">
        <v>1607.913</v>
      </c>
      <c r="N207" s="6">
        <f t="shared" si="15"/>
        <v>0.80799856708665208</v>
      </c>
      <c r="O207" s="7">
        <f>N207-F207</f>
        <v>-2.3732426557288022E-7</v>
      </c>
    </row>
    <row r="208" spans="1:15" x14ac:dyDescent="0.25">
      <c r="A208" s="1" t="s">
        <v>76</v>
      </c>
      <c r="B208" s="2">
        <v>621684000</v>
      </c>
      <c r="C208" s="2">
        <v>428102100</v>
      </c>
      <c r="D208">
        <f t="shared" si="12"/>
        <v>621.68399999999997</v>
      </c>
      <c r="E208" s="11">
        <f t="shared" si="13"/>
        <v>1049.7861</v>
      </c>
      <c r="F208" s="6">
        <f t="shared" si="14"/>
        <v>0.59220063973032222</v>
      </c>
      <c r="G208" t="s">
        <v>672</v>
      </c>
      <c r="H208" t="s">
        <v>76</v>
      </c>
      <c r="I208" t="str">
        <f>VLOOKUP(H208,Sheet2!$A$2:$B$459, 2, FALSE)</f>
        <v>EN</v>
      </c>
      <c r="J208">
        <v>621804600</v>
      </c>
      <c r="K208">
        <v>428102100</v>
      </c>
      <c r="L208">
        <v>621.80460000000005</v>
      </c>
      <c r="M208">
        <v>1049.9067</v>
      </c>
      <c r="N208" s="6">
        <f t="shared" si="15"/>
        <v>0.59224748256202198</v>
      </c>
      <c r="O208" s="7">
        <f>N208-F208</f>
        <v>4.6842831699756005E-5</v>
      </c>
    </row>
    <row r="209" spans="1:16" x14ac:dyDescent="0.25">
      <c r="A209" s="1" t="s">
        <v>72</v>
      </c>
      <c r="B209" s="2">
        <v>509290200</v>
      </c>
      <c r="C209" s="2">
        <v>4454449200</v>
      </c>
      <c r="D209">
        <f t="shared" si="12"/>
        <v>509.29020000000003</v>
      </c>
      <c r="E209" s="11">
        <f t="shared" si="13"/>
        <v>4963.7394000000004</v>
      </c>
      <c r="F209" s="6">
        <f t="shared" si="14"/>
        <v>0.10260212290758053</v>
      </c>
      <c r="G209" t="s">
        <v>673</v>
      </c>
      <c r="H209" t="s">
        <v>72</v>
      </c>
      <c r="I209" t="str">
        <f>VLOOKUP(H209,Sheet2!$A$2:$B$459, 2, FALSE)</f>
        <v>CR</v>
      </c>
      <c r="J209">
        <v>509292900</v>
      </c>
      <c r="K209">
        <v>4454452800</v>
      </c>
      <c r="L209">
        <v>509.29289999999997</v>
      </c>
      <c r="M209">
        <v>4963.7457000000004</v>
      </c>
      <c r="N209" s="6">
        <f t="shared" si="15"/>
        <v>0.10260253662873985</v>
      </c>
      <c r="O209" s="7">
        <f>N209-F209</f>
        <v>4.1372115931748166E-7</v>
      </c>
    </row>
    <row r="210" spans="1:16" x14ac:dyDescent="0.25">
      <c r="A210" s="1" t="s">
        <v>58</v>
      </c>
      <c r="B210" s="2">
        <v>238540500</v>
      </c>
      <c r="C210" s="2">
        <v>115738200</v>
      </c>
      <c r="D210">
        <f t="shared" si="12"/>
        <v>238.54050000000001</v>
      </c>
      <c r="E210" s="11">
        <f t="shared" si="13"/>
        <v>354.27870000000001</v>
      </c>
      <c r="F210" s="6">
        <f t="shared" si="14"/>
        <v>0.6733131289010601</v>
      </c>
      <c r="G210" t="s">
        <v>674</v>
      </c>
      <c r="H210" t="s">
        <v>58</v>
      </c>
      <c r="I210" t="str">
        <f>VLOOKUP(H210,Sheet2!$A$2:$B$459, 2, FALSE)</f>
        <v>CR</v>
      </c>
      <c r="J210">
        <v>238540500</v>
      </c>
      <c r="K210">
        <v>115738200</v>
      </c>
      <c r="L210">
        <v>238.54050000000001</v>
      </c>
      <c r="M210">
        <v>354.27870000000001</v>
      </c>
      <c r="N210" s="6">
        <f t="shared" si="15"/>
        <v>0.6733131289010601</v>
      </c>
      <c r="O210" s="7">
        <f>N210-F210</f>
        <v>0</v>
      </c>
    </row>
    <row r="211" spans="1:16" x14ac:dyDescent="0.25">
      <c r="A211" s="3" t="s">
        <v>152</v>
      </c>
      <c r="B211" s="4">
        <v>306603000</v>
      </c>
      <c r="C211" s="4">
        <v>16333200</v>
      </c>
      <c r="D211" s="5">
        <f t="shared" si="12"/>
        <v>306.60300000000001</v>
      </c>
      <c r="E211" s="11">
        <f t="shared" si="13"/>
        <v>322.93619999999999</v>
      </c>
      <c r="F211" s="6">
        <f t="shared" si="14"/>
        <v>0.94942282717143511</v>
      </c>
      <c r="G211" s="5"/>
      <c r="I211" t="e">
        <f>VLOOKUP(H211,Sheet2!$A$2:$B$459, 2, FALSE)</f>
        <v>#N/A</v>
      </c>
      <c r="N211" s="6" t="e">
        <f t="shared" si="15"/>
        <v>#DIV/0!</v>
      </c>
      <c r="O211" s="7" t="e">
        <f>N211-F211</f>
        <v>#DIV/0!</v>
      </c>
      <c r="P211" t="s">
        <v>957</v>
      </c>
    </row>
    <row r="212" spans="1:16" x14ac:dyDescent="0.25">
      <c r="A212" s="3" t="s">
        <v>203</v>
      </c>
      <c r="B212" s="4">
        <v>39517200</v>
      </c>
      <c r="C212" s="4">
        <v>64800</v>
      </c>
      <c r="D212" s="5">
        <f t="shared" si="12"/>
        <v>39.517200000000003</v>
      </c>
      <c r="E212" s="11">
        <f t="shared" si="13"/>
        <v>39.582000000000001</v>
      </c>
      <c r="F212" s="6">
        <f t="shared" si="14"/>
        <v>0.99836289222373809</v>
      </c>
      <c r="G212" s="5"/>
      <c r="I212" t="e">
        <f>VLOOKUP(H212,Sheet2!$A$2:$B$459, 2, FALSE)</f>
        <v>#N/A</v>
      </c>
      <c r="N212" s="6" t="e">
        <f t="shared" si="15"/>
        <v>#DIV/0!</v>
      </c>
      <c r="O212" s="7" t="e">
        <f>N212-F212</f>
        <v>#DIV/0!</v>
      </c>
      <c r="P212" t="s">
        <v>957</v>
      </c>
    </row>
    <row r="213" spans="1:16" x14ac:dyDescent="0.25">
      <c r="A213" s="3" t="s">
        <v>204</v>
      </c>
      <c r="B213" s="4">
        <v>92564100</v>
      </c>
      <c r="C213" s="4">
        <v>26488800</v>
      </c>
      <c r="D213" s="5">
        <f t="shared" si="12"/>
        <v>92.564099999999996</v>
      </c>
      <c r="E213" s="11">
        <f t="shared" si="13"/>
        <v>119.05289999999999</v>
      </c>
      <c r="F213" s="6">
        <f t="shared" si="14"/>
        <v>0.77750394992478133</v>
      </c>
      <c r="G213" s="5"/>
      <c r="I213" t="e">
        <f>VLOOKUP(H213,Sheet2!$A$2:$B$459, 2, FALSE)</f>
        <v>#N/A</v>
      </c>
      <c r="N213" s="6" t="e">
        <f t="shared" si="15"/>
        <v>#DIV/0!</v>
      </c>
      <c r="O213" s="7" t="e">
        <f>N213-F213</f>
        <v>#DIV/0!</v>
      </c>
      <c r="P213" t="s">
        <v>957</v>
      </c>
    </row>
    <row r="214" spans="1:16" x14ac:dyDescent="0.25">
      <c r="A214" s="3" t="s">
        <v>5</v>
      </c>
      <c r="B214" s="4">
        <v>35307000</v>
      </c>
      <c r="C214" s="4">
        <v>6364800</v>
      </c>
      <c r="D214" s="5">
        <f t="shared" si="12"/>
        <v>35.307000000000002</v>
      </c>
      <c r="E214" s="11">
        <f t="shared" si="13"/>
        <v>41.671799999999998</v>
      </c>
      <c r="F214" s="6">
        <f t="shared" si="14"/>
        <v>0.84726361712237053</v>
      </c>
      <c r="G214" s="5"/>
      <c r="I214" t="e">
        <f>VLOOKUP(H214,Sheet2!$A$2:$B$459, 2, FALSE)</f>
        <v>#N/A</v>
      </c>
      <c r="N214" s="6" t="e">
        <f t="shared" si="15"/>
        <v>#DIV/0!</v>
      </c>
      <c r="O214" s="7" t="e">
        <f>N214-F214</f>
        <v>#DIV/0!</v>
      </c>
      <c r="P214" t="s">
        <v>957</v>
      </c>
    </row>
    <row r="215" spans="1:16" x14ac:dyDescent="0.25">
      <c r="A215" s="3" t="s">
        <v>25</v>
      </c>
      <c r="B215" s="4">
        <v>85254300</v>
      </c>
      <c r="C215" s="4">
        <v>11689200</v>
      </c>
      <c r="D215" s="5">
        <f t="shared" si="12"/>
        <v>85.254300000000001</v>
      </c>
      <c r="E215" s="11">
        <f t="shared" si="13"/>
        <v>96.9435</v>
      </c>
      <c r="F215" s="6">
        <f t="shared" si="14"/>
        <v>0.87942255024834048</v>
      </c>
      <c r="G215" s="5"/>
      <c r="I215" t="e">
        <f>VLOOKUP(H215,Sheet2!$A$2:$B$459, 2, FALSE)</f>
        <v>#N/A</v>
      </c>
      <c r="N215" s="6" t="e">
        <f t="shared" si="15"/>
        <v>#DIV/0!</v>
      </c>
      <c r="O215" s="7" t="e">
        <f>N215-F215</f>
        <v>#DIV/0!</v>
      </c>
      <c r="P215" t="s">
        <v>957</v>
      </c>
    </row>
    <row r="216" spans="1:16" x14ac:dyDescent="0.25">
      <c r="A216" s="1" t="s">
        <v>59</v>
      </c>
      <c r="B216" s="2">
        <v>80021700</v>
      </c>
      <c r="C216" s="2">
        <v>218864700</v>
      </c>
      <c r="D216">
        <f t="shared" si="12"/>
        <v>80.021699999999996</v>
      </c>
      <c r="E216" s="11">
        <f t="shared" si="13"/>
        <v>298.88639999999998</v>
      </c>
      <c r="F216" s="6">
        <f t="shared" si="14"/>
        <v>0.26773282424359224</v>
      </c>
      <c r="G216" t="s">
        <v>675</v>
      </c>
      <c r="H216" t="s">
        <v>59</v>
      </c>
      <c r="I216" t="str">
        <f>VLOOKUP(H216,Sheet2!$A$2:$B$459, 2, FALSE)</f>
        <v>CR</v>
      </c>
      <c r="J216">
        <v>80024400</v>
      </c>
      <c r="K216">
        <v>218866500</v>
      </c>
      <c r="L216">
        <v>80.0244</v>
      </c>
      <c r="M216">
        <v>298.89089999999999</v>
      </c>
      <c r="N216" s="6">
        <f t="shared" si="15"/>
        <v>0.26773782674547802</v>
      </c>
      <c r="O216" s="7">
        <f>N216-F216</f>
        <v>5.0025018857868808E-6</v>
      </c>
    </row>
    <row r="217" spans="1:16" x14ac:dyDescent="0.25">
      <c r="A217" s="1" t="s">
        <v>60</v>
      </c>
      <c r="B217" s="2">
        <v>594107100</v>
      </c>
      <c r="C217" s="2">
        <v>1049293800</v>
      </c>
      <c r="D217">
        <f t="shared" si="12"/>
        <v>594.10709999999995</v>
      </c>
      <c r="E217" s="11">
        <f t="shared" si="13"/>
        <v>1643.4009000000001</v>
      </c>
      <c r="F217" s="6">
        <f t="shared" si="14"/>
        <v>0.36151075492291623</v>
      </c>
      <c r="G217" t="s">
        <v>676</v>
      </c>
      <c r="H217" t="s">
        <v>60</v>
      </c>
      <c r="I217" t="str">
        <f>VLOOKUP(H217,Sheet2!$A$2:$B$459, 2, FALSE)</f>
        <v>EN</v>
      </c>
      <c r="J217">
        <v>594108900</v>
      </c>
      <c r="K217">
        <v>1049289300</v>
      </c>
      <c r="L217">
        <v>594.10889999999995</v>
      </c>
      <c r="M217">
        <v>1643.3982000000001</v>
      </c>
      <c r="N217" s="6">
        <f t="shared" si="15"/>
        <v>0.36151244415382705</v>
      </c>
      <c r="O217" s="7">
        <f>N217-F217</f>
        <v>1.6892309108174075E-6</v>
      </c>
    </row>
    <row r="218" spans="1:16" x14ac:dyDescent="0.25">
      <c r="A218" s="1" t="s">
        <v>61</v>
      </c>
      <c r="B218" s="2">
        <v>49842000</v>
      </c>
      <c r="C218" s="2">
        <v>11694600</v>
      </c>
      <c r="D218">
        <f t="shared" si="12"/>
        <v>49.841999999999999</v>
      </c>
      <c r="E218" s="11">
        <f t="shared" si="13"/>
        <v>61.5366</v>
      </c>
      <c r="F218" s="6">
        <f t="shared" si="14"/>
        <v>0.80995700119928626</v>
      </c>
      <c r="G218" t="s">
        <v>677</v>
      </c>
      <c r="H218" t="s">
        <v>61</v>
      </c>
      <c r="I218" t="str">
        <f>VLOOKUP(H218,Sheet2!$A$2:$B$459, 2, FALSE)</f>
        <v>CR</v>
      </c>
      <c r="J218">
        <v>49841100</v>
      </c>
      <c r="K218">
        <v>11692800</v>
      </c>
      <c r="L218">
        <v>49.841099999999997</v>
      </c>
      <c r="M218">
        <v>61.533900000000003</v>
      </c>
      <c r="N218" s="6">
        <f t="shared" si="15"/>
        <v>0.80997791461292057</v>
      </c>
      <c r="O218" s="7">
        <f>N218-F218</f>
        <v>2.0913413634304767E-5</v>
      </c>
    </row>
    <row r="219" spans="1:16" x14ac:dyDescent="0.25">
      <c r="A219" s="1" t="s">
        <v>62</v>
      </c>
      <c r="B219" s="2">
        <v>293658300</v>
      </c>
      <c r="C219" s="2">
        <v>48609900</v>
      </c>
      <c r="D219">
        <f t="shared" si="12"/>
        <v>293.6583</v>
      </c>
      <c r="E219" s="11">
        <f t="shared" si="13"/>
        <v>342.26819999999998</v>
      </c>
      <c r="F219" s="6">
        <f t="shared" si="14"/>
        <v>0.85797716527565226</v>
      </c>
      <c r="G219" t="s">
        <v>678</v>
      </c>
      <c r="H219" t="s">
        <v>62</v>
      </c>
      <c r="I219" t="str">
        <f>VLOOKUP(H219,Sheet2!$A$2:$B$459, 2, FALSE)</f>
        <v>EN</v>
      </c>
      <c r="J219">
        <v>293662800</v>
      </c>
      <c r="K219">
        <v>48616200</v>
      </c>
      <c r="L219">
        <v>293.6628</v>
      </c>
      <c r="M219">
        <v>342.279</v>
      </c>
      <c r="N219" s="6">
        <f t="shared" si="15"/>
        <v>0.85796324051431727</v>
      </c>
      <c r="O219" s="7">
        <f>N219-F219</f>
        <v>-1.3924761334993541E-5</v>
      </c>
    </row>
    <row r="220" spans="1:16" x14ac:dyDescent="0.25">
      <c r="A220" s="1" t="s">
        <v>63</v>
      </c>
      <c r="B220" s="2">
        <v>197973000</v>
      </c>
      <c r="C220" s="2">
        <v>200667600</v>
      </c>
      <c r="D220">
        <f t="shared" si="12"/>
        <v>197.97300000000001</v>
      </c>
      <c r="E220" s="11">
        <f t="shared" si="13"/>
        <v>398.64060000000001</v>
      </c>
      <c r="F220" s="6">
        <f t="shared" si="14"/>
        <v>0.49662026396709219</v>
      </c>
      <c r="G220" t="s">
        <v>679</v>
      </c>
      <c r="H220" t="s">
        <v>63</v>
      </c>
      <c r="I220" t="str">
        <f>VLOOKUP(H220,Sheet2!$A$2:$B$459, 2, FALSE)</f>
        <v>EN</v>
      </c>
      <c r="J220">
        <v>197973900</v>
      </c>
      <c r="K220">
        <v>200668500</v>
      </c>
      <c r="L220">
        <v>197.97389999999999</v>
      </c>
      <c r="M220">
        <v>398.64240000000001</v>
      </c>
      <c r="N220" s="6">
        <f t="shared" si="15"/>
        <v>0.49662027922769875</v>
      </c>
      <c r="O220" s="7">
        <f>N220-F220</f>
        <v>1.5260606556211087E-8</v>
      </c>
    </row>
    <row r="221" spans="1:16" s="16" customFormat="1" x14ac:dyDescent="0.25">
      <c r="A221" s="14" t="s">
        <v>50</v>
      </c>
      <c r="B221" s="15">
        <v>37644300</v>
      </c>
      <c r="C221" s="15">
        <v>9184500</v>
      </c>
      <c r="D221" s="16">
        <f t="shared" si="12"/>
        <v>37.644300000000001</v>
      </c>
      <c r="E221" s="17">
        <f t="shared" si="13"/>
        <v>46.828800000000001</v>
      </c>
      <c r="F221" s="18">
        <f t="shared" si="14"/>
        <v>0.80387069495694952</v>
      </c>
      <c r="G221" s="16" t="s">
        <v>680</v>
      </c>
      <c r="H221" s="16" t="s">
        <v>50</v>
      </c>
      <c r="I221" t="str">
        <f>VLOOKUP(H221,Sheet2!$A$2:$B$459, 2, FALSE)</f>
        <v>EN</v>
      </c>
      <c r="J221" s="16">
        <v>324342900</v>
      </c>
      <c r="K221" s="16">
        <v>23202000</v>
      </c>
      <c r="L221" s="16">
        <v>324.34289999999999</v>
      </c>
      <c r="M221" s="16">
        <v>347.54489999999998</v>
      </c>
      <c r="N221" s="18">
        <f t="shared" si="15"/>
        <v>0.93324028060834729</v>
      </c>
      <c r="O221" s="19">
        <f>N221-F221</f>
        <v>0.12936958565139778</v>
      </c>
      <c r="P221" s="8" t="s">
        <v>966</v>
      </c>
    </row>
    <row r="222" spans="1:16" s="16" customFormat="1" x14ac:dyDescent="0.25">
      <c r="A222" s="14"/>
      <c r="B222" s="15"/>
      <c r="C222" s="15"/>
      <c r="E222" s="17">
        <f t="shared" si="13"/>
        <v>0</v>
      </c>
      <c r="F222" s="18" t="e">
        <f t="shared" si="14"/>
        <v>#DIV/0!</v>
      </c>
      <c r="G222" s="20" t="s">
        <v>681</v>
      </c>
      <c r="H222" s="16" t="s">
        <v>925</v>
      </c>
      <c r="I222" t="str">
        <f>VLOOKUP(H222,Sheet2!$A$2:$B$459, 2, FALSE)</f>
        <v>LC</v>
      </c>
      <c r="J222" s="16">
        <v>20228400</v>
      </c>
      <c r="K222" s="16">
        <v>406800</v>
      </c>
      <c r="L222" s="16">
        <v>20.228400000000001</v>
      </c>
      <c r="M222" s="16">
        <v>20.635200000000001</v>
      </c>
      <c r="N222" s="18">
        <f t="shared" si="15"/>
        <v>0.98028611304954638</v>
      </c>
      <c r="O222" s="19" t="e">
        <f>N222-F222</f>
        <v>#DIV/0!</v>
      </c>
      <c r="P222" s="16" t="s">
        <v>944</v>
      </c>
    </row>
    <row r="223" spans="1:16" s="16" customFormat="1" x14ac:dyDescent="0.25">
      <c r="A223" s="14" t="s">
        <v>53</v>
      </c>
      <c r="B223" s="15">
        <v>12555900</v>
      </c>
      <c r="C223" s="15">
        <v>15427800</v>
      </c>
      <c r="D223" s="16">
        <f t="shared" si="12"/>
        <v>12.555899999999999</v>
      </c>
      <c r="E223" s="17">
        <f t="shared" si="13"/>
        <v>27.983699999999999</v>
      </c>
      <c r="F223" s="18">
        <f t="shared" si="14"/>
        <v>0.44868619946611776</v>
      </c>
      <c r="G223" s="16" t="s">
        <v>682</v>
      </c>
      <c r="H223" s="16" t="s">
        <v>53</v>
      </c>
      <c r="I223" t="str">
        <f>VLOOKUP(H223,Sheet2!$A$2:$B$459, 2, FALSE)</f>
        <v>CR</v>
      </c>
      <c r="J223" s="16">
        <v>12624300</v>
      </c>
      <c r="K223" s="16">
        <v>15561900</v>
      </c>
      <c r="L223" s="16">
        <v>12.6243</v>
      </c>
      <c r="M223" s="16">
        <v>28.186199999999999</v>
      </c>
      <c r="N223" s="18">
        <f t="shared" si="15"/>
        <v>0.447889392681525</v>
      </c>
      <c r="O223" s="19">
        <f>N223-F223</f>
        <v>-7.9680678459276288E-4</v>
      </c>
    </row>
    <row r="224" spans="1:16" s="16" customFormat="1" x14ac:dyDescent="0.25">
      <c r="A224" s="14" t="s">
        <v>241</v>
      </c>
      <c r="B224" s="15">
        <v>4246412400</v>
      </c>
      <c r="C224" s="15">
        <v>780597000</v>
      </c>
      <c r="D224" s="16">
        <f t="shared" si="12"/>
        <v>4246.4124000000002</v>
      </c>
      <c r="E224" s="17">
        <f t="shared" si="13"/>
        <v>5027.0093999999999</v>
      </c>
      <c r="F224" s="18">
        <f t="shared" si="14"/>
        <v>0.84471940712901794</v>
      </c>
      <c r="G224" s="16" t="s">
        <v>683</v>
      </c>
      <c r="H224" s="16" t="s">
        <v>241</v>
      </c>
      <c r="I224" t="str">
        <f>VLOOKUP(H224,Sheet2!$A$2:$B$459, 2, FALSE)</f>
        <v>LC</v>
      </c>
      <c r="J224" s="16">
        <v>4246411500</v>
      </c>
      <c r="K224" s="16">
        <v>780598800</v>
      </c>
      <c r="L224" s="16">
        <v>4246.4115000000002</v>
      </c>
      <c r="M224" s="16">
        <v>5027.0102999999999</v>
      </c>
      <c r="N224" s="18">
        <f t="shared" si="15"/>
        <v>0.84471907686363801</v>
      </c>
      <c r="O224" s="19">
        <f>N224-F224</f>
        <v>-3.3026537993308125E-7</v>
      </c>
    </row>
    <row r="225" spans="1:16" s="16" customFormat="1" x14ac:dyDescent="0.25">
      <c r="A225" s="14" t="s">
        <v>348</v>
      </c>
      <c r="B225" s="15">
        <v>2752353900</v>
      </c>
      <c r="C225" s="15">
        <v>78378300</v>
      </c>
      <c r="D225" s="16">
        <f t="shared" si="12"/>
        <v>2752.3539000000001</v>
      </c>
      <c r="E225" s="17">
        <f t="shared" si="13"/>
        <v>2830.7321999999999</v>
      </c>
      <c r="F225" s="18">
        <f t="shared" si="14"/>
        <v>0.97231165138122211</v>
      </c>
      <c r="G225" s="16" t="s">
        <v>684</v>
      </c>
      <c r="H225" s="16" t="s">
        <v>348</v>
      </c>
      <c r="I225" t="str">
        <f>VLOOKUP(H225,Sheet2!$A$2:$B$459, 2, FALSE)</f>
        <v>LC</v>
      </c>
      <c r="J225" s="16">
        <v>2752352100</v>
      </c>
      <c r="K225" s="16">
        <v>78378300</v>
      </c>
      <c r="L225" s="16">
        <v>2752.3521000000001</v>
      </c>
      <c r="M225" s="16">
        <v>2830.7303999999999</v>
      </c>
      <c r="N225" s="18">
        <f t="shared" si="15"/>
        <v>0.97231163377480245</v>
      </c>
      <c r="O225" s="19">
        <f>N225-F225</f>
        <v>-1.7606419655535888E-8</v>
      </c>
    </row>
    <row r="226" spans="1:16" s="16" customFormat="1" x14ac:dyDescent="0.25">
      <c r="A226" s="14" t="s">
        <v>242</v>
      </c>
      <c r="B226" s="15">
        <v>153977400</v>
      </c>
      <c r="C226" s="15">
        <v>4324500</v>
      </c>
      <c r="D226" s="16">
        <f t="shared" si="12"/>
        <v>153.97739999999999</v>
      </c>
      <c r="E226" s="17">
        <f t="shared" si="13"/>
        <v>158.30189999999999</v>
      </c>
      <c r="F226" s="18">
        <f t="shared" si="14"/>
        <v>0.97268194506825245</v>
      </c>
      <c r="G226" s="16" t="s">
        <v>685</v>
      </c>
      <c r="H226" s="16" t="s">
        <v>242</v>
      </c>
      <c r="I226" t="str">
        <f>VLOOKUP(H226,Sheet2!$A$2:$B$459, 2, FALSE)</f>
        <v>LC</v>
      </c>
      <c r="J226" s="16">
        <v>153978300</v>
      </c>
      <c r="K226" s="16">
        <v>4324500</v>
      </c>
      <c r="L226" s="16">
        <v>153.97829999999999</v>
      </c>
      <c r="M226" s="16">
        <v>158.30279999999999</v>
      </c>
      <c r="N226" s="18">
        <f t="shared" si="15"/>
        <v>0.97268210037977854</v>
      </c>
      <c r="O226" s="19">
        <f>N226-F226</f>
        <v>1.5531152608438958E-7</v>
      </c>
    </row>
    <row r="227" spans="1:16" s="16" customFormat="1" x14ac:dyDescent="0.25">
      <c r="A227" s="14" t="s">
        <v>243</v>
      </c>
      <c r="B227" s="15">
        <v>2408582700</v>
      </c>
      <c r="C227" s="15">
        <v>557738100</v>
      </c>
      <c r="D227" s="16">
        <f t="shared" si="12"/>
        <v>2408.5826999999999</v>
      </c>
      <c r="E227" s="17">
        <f t="shared" si="13"/>
        <v>2966.3208</v>
      </c>
      <c r="F227" s="18">
        <f t="shared" si="14"/>
        <v>0.81197647267281403</v>
      </c>
      <c r="G227" s="16" t="s">
        <v>686</v>
      </c>
      <c r="H227" s="16" t="s">
        <v>243</v>
      </c>
      <c r="I227" t="str">
        <f>VLOOKUP(H227,Sheet2!$A$2:$B$459, 2, FALSE)</f>
        <v>LC</v>
      </c>
      <c r="J227" s="16">
        <v>2408583600</v>
      </c>
      <c r="K227" s="16">
        <v>557738100</v>
      </c>
      <c r="L227" s="16">
        <v>2408.5835999999999</v>
      </c>
      <c r="M227" s="16">
        <v>2966.3217</v>
      </c>
      <c r="N227" s="18">
        <f t="shared" si="15"/>
        <v>0.81197652972029299</v>
      </c>
      <c r="O227" s="19">
        <f>N227-F227</f>
        <v>5.7047478962957143E-8</v>
      </c>
    </row>
    <row r="228" spans="1:16" s="16" customFormat="1" x14ac:dyDescent="0.25">
      <c r="A228" s="14" t="s">
        <v>244</v>
      </c>
      <c r="B228" s="15">
        <v>6014892600</v>
      </c>
      <c r="C228" s="15">
        <v>632078100</v>
      </c>
      <c r="D228" s="16">
        <f t="shared" si="12"/>
        <v>6014.8926000000001</v>
      </c>
      <c r="E228" s="17">
        <f t="shared" si="13"/>
        <v>6646.9706999999999</v>
      </c>
      <c r="F228" s="18">
        <f t="shared" si="14"/>
        <v>0.9049073437317845</v>
      </c>
      <c r="G228" s="16" t="s">
        <v>687</v>
      </c>
      <c r="H228" s="16" t="s">
        <v>244</v>
      </c>
      <c r="I228" t="str">
        <f>VLOOKUP(H228,Sheet2!$A$2:$B$459, 2, FALSE)</f>
        <v>LC</v>
      </c>
      <c r="J228" s="16">
        <v>6014897100</v>
      </c>
      <c r="K228" s="16">
        <v>632077200</v>
      </c>
      <c r="L228" s="16">
        <v>6014.8971000000001</v>
      </c>
      <c r="M228" s="16">
        <v>6646.9742999999999</v>
      </c>
      <c r="N228" s="18">
        <f t="shared" si="15"/>
        <v>0.90490753063390061</v>
      </c>
      <c r="O228" s="19">
        <f>N228-F228</f>
        <v>1.8690211611716023E-7</v>
      </c>
    </row>
    <row r="229" spans="1:16" s="16" customFormat="1" x14ac:dyDescent="0.25">
      <c r="A229" s="14" t="s">
        <v>349</v>
      </c>
      <c r="B229" s="15">
        <v>1117530900</v>
      </c>
      <c r="C229" s="15">
        <v>120134700</v>
      </c>
      <c r="D229" s="16">
        <f t="shared" si="12"/>
        <v>1117.5309</v>
      </c>
      <c r="E229" s="17">
        <f t="shared" si="13"/>
        <v>1237.6656</v>
      </c>
      <c r="F229" s="18">
        <f t="shared" si="14"/>
        <v>0.90293444368171827</v>
      </c>
      <c r="G229" s="16" t="s">
        <v>688</v>
      </c>
      <c r="H229" s="16" t="s">
        <v>349</v>
      </c>
      <c r="I229" t="str">
        <f>VLOOKUP(H229,Sheet2!$A$2:$B$459, 2, FALSE)</f>
        <v>LC</v>
      </c>
      <c r="J229" s="16">
        <v>1117528200</v>
      </c>
      <c r="K229" s="16">
        <v>120135600</v>
      </c>
      <c r="L229" s="16">
        <v>1117.5282</v>
      </c>
      <c r="M229" s="16">
        <v>1237.6638</v>
      </c>
      <c r="N229" s="18">
        <f t="shared" si="15"/>
        <v>0.90293357533766438</v>
      </c>
      <c r="O229" s="19">
        <f>N229-F229</f>
        <v>-8.6834405388369618E-7</v>
      </c>
    </row>
    <row r="230" spans="1:16" s="16" customFormat="1" x14ac:dyDescent="0.25">
      <c r="A230" s="14" t="s">
        <v>350</v>
      </c>
      <c r="B230" s="15">
        <v>21563100</v>
      </c>
      <c r="C230" s="15">
        <v>67500</v>
      </c>
      <c r="D230" s="16">
        <f t="shared" si="12"/>
        <v>21.563099999999999</v>
      </c>
      <c r="E230" s="17">
        <f t="shared" si="13"/>
        <v>21.630600000000001</v>
      </c>
      <c r="F230" s="18">
        <f t="shared" si="14"/>
        <v>0.99687942082050429</v>
      </c>
      <c r="G230" s="16" t="s">
        <v>689</v>
      </c>
      <c r="H230" s="16" t="s">
        <v>350</v>
      </c>
      <c r="I230" t="str">
        <f>VLOOKUP(H230,Sheet2!$A$2:$B$459, 2, FALSE)</f>
        <v>LC</v>
      </c>
      <c r="J230" s="16">
        <v>21561300</v>
      </c>
      <c r="K230" s="16">
        <v>67500</v>
      </c>
      <c r="L230" s="16">
        <v>21.561299999999999</v>
      </c>
      <c r="M230" s="16">
        <v>21.628799999999998</v>
      </c>
      <c r="N230" s="18">
        <f t="shared" si="15"/>
        <v>0.99687916111850872</v>
      </c>
      <c r="O230" s="19">
        <f>N230-F230</f>
        <v>-2.5970199557523443E-7</v>
      </c>
    </row>
    <row r="231" spans="1:16" s="16" customFormat="1" x14ac:dyDescent="0.25">
      <c r="A231" s="14" t="s">
        <v>351</v>
      </c>
      <c r="B231" s="15">
        <v>1345415400</v>
      </c>
      <c r="C231" s="15">
        <v>1493100</v>
      </c>
      <c r="D231" s="16">
        <f t="shared" si="12"/>
        <v>1345.4154000000001</v>
      </c>
      <c r="E231" s="17">
        <f t="shared" si="13"/>
        <v>1346.9085</v>
      </c>
      <c r="F231" s="18">
        <f t="shared" si="14"/>
        <v>0.99889146144671292</v>
      </c>
      <c r="G231" s="16" t="s">
        <v>690</v>
      </c>
      <c r="H231" s="16" t="s">
        <v>351</v>
      </c>
      <c r="I231" t="str">
        <f>VLOOKUP(H231,Sheet2!$A$2:$B$459, 2, FALSE)</f>
        <v>LC</v>
      </c>
      <c r="J231" s="16">
        <v>1345413600</v>
      </c>
      <c r="K231" s="16">
        <v>1493100</v>
      </c>
      <c r="L231" s="16">
        <v>1345.4136000000001</v>
      </c>
      <c r="M231" s="16">
        <v>1346.9067</v>
      </c>
      <c r="N231" s="18">
        <f t="shared" si="15"/>
        <v>0.99889145996526718</v>
      </c>
      <c r="O231" s="19">
        <f>N231-F231</f>
        <v>-1.4814457438561135E-9</v>
      </c>
    </row>
    <row r="232" spans="1:16" s="16" customFormat="1" x14ac:dyDescent="0.25">
      <c r="A232" s="14" t="s">
        <v>245</v>
      </c>
      <c r="B232" s="15">
        <v>17293470300</v>
      </c>
      <c r="C232" s="15">
        <v>2875695300</v>
      </c>
      <c r="D232" s="16">
        <f t="shared" si="12"/>
        <v>17293.470300000001</v>
      </c>
      <c r="E232" s="17">
        <f t="shared" si="13"/>
        <v>20169.1656</v>
      </c>
      <c r="F232" s="18">
        <f t="shared" si="14"/>
        <v>0.85742120635868047</v>
      </c>
      <c r="G232" s="16" t="s">
        <v>691</v>
      </c>
      <c r="H232" s="16" t="s">
        <v>245</v>
      </c>
      <c r="I232" t="str">
        <f>VLOOKUP(H232,Sheet2!$A$2:$B$459, 2, FALSE)</f>
        <v>LC</v>
      </c>
      <c r="J232" s="16">
        <v>17293472100</v>
      </c>
      <c r="K232" s="16">
        <v>2875693500</v>
      </c>
      <c r="L232" s="16">
        <v>17293.472099999999</v>
      </c>
      <c r="M232" s="16">
        <v>20169.1656</v>
      </c>
      <c r="N232" s="18">
        <f t="shared" si="15"/>
        <v>0.85742129560382008</v>
      </c>
      <c r="O232" s="19">
        <f>N232-F232</f>
        <v>8.9245139611726643E-8</v>
      </c>
    </row>
    <row r="233" spans="1:16" s="16" customFormat="1" x14ac:dyDescent="0.25">
      <c r="A233" s="14" t="s">
        <v>153</v>
      </c>
      <c r="B233" s="15">
        <v>8151032700</v>
      </c>
      <c r="C233" s="15">
        <v>219587400</v>
      </c>
      <c r="D233" s="16">
        <f t="shared" si="12"/>
        <v>8151.0326999999997</v>
      </c>
      <c r="E233" s="17">
        <f t="shared" si="13"/>
        <v>8370.6201000000001</v>
      </c>
      <c r="F233" s="18">
        <f t="shared" si="14"/>
        <v>0.97376688974332981</v>
      </c>
      <c r="G233" s="16" t="s">
        <v>692</v>
      </c>
      <c r="H233" s="16" t="s">
        <v>153</v>
      </c>
      <c r="I233" t="str">
        <f>VLOOKUP(H233,Sheet2!$A$2:$B$459, 2, FALSE)</f>
        <v>LC</v>
      </c>
      <c r="J233" s="16">
        <v>8151028200</v>
      </c>
      <c r="K233" s="16">
        <v>219587400</v>
      </c>
      <c r="L233" s="16">
        <v>8151.0281999999997</v>
      </c>
      <c r="M233" s="16">
        <v>8370.6155999999992</v>
      </c>
      <c r="N233" s="18">
        <f t="shared" si="15"/>
        <v>0.97376687564054432</v>
      </c>
      <c r="O233" s="19">
        <f>N233-F233</f>
        <v>-1.4102785494962689E-8</v>
      </c>
    </row>
    <row r="234" spans="1:16" s="16" customFormat="1" x14ac:dyDescent="0.25">
      <c r="A234" s="14" t="s">
        <v>352</v>
      </c>
      <c r="B234" s="15">
        <v>6010095600</v>
      </c>
      <c r="C234" s="15">
        <v>19955600100</v>
      </c>
      <c r="D234" s="16">
        <f t="shared" si="12"/>
        <v>6010.0955999999996</v>
      </c>
      <c r="E234" s="17">
        <f t="shared" si="13"/>
        <v>25965.6957</v>
      </c>
      <c r="F234" s="18">
        <f t="shared" si="14"/>
        <v>0.23146291435588226</v>
      </c>
      <c r="G234" s="16" t="s">
        <v>693</v>
      </c>
      <c r="H234" s="16" t="s">
        <v>352</v>
      </c>
      <c r="I234" t="str">
        <f>VLOOKUP(H234,Sheet2!$A$2:$B$459, 2, FALSE)</f>
        <v>EN</v>
      </c>
      <c r="J234" s="16">
        <v>6331635000</v>
      </c>
      <c r="K234" s="16">
        <v>16512181200</v>
      </c>
      <c r="L234" s="16">
        <v>6331.6350000000002</v>
      </c>
      <c r="M234" s="16">
        <v>22843.816200000001</v>
      </c>
      <c r="N234" s="18">
        <f t="shared" si="15"/>
        <v>0.2771706331624223</v>
      </c>
      <c r="O234" s="19">
        <f>N234-F234</f>
        <v>4.5707718806540037E-2</v>
      </c>
      <c r="P234" s="8" t="s">
        <v>958</v>
      </c>
    </row>
    <row r="235" spans="1:16" s="16" customFormat="1" x14ac:dyDescent="0.25">
      <c r="A235" s="14" t="s">
        <v>353</v>
      </c>
      <c r="B235" s="15">
        <v>426447000</v>
      </c>
      <c r="C235" s="15">
        <v>497110500</v>
      </c>
      <c r="D235" s="16">
        <f t="shared" si="12"/>
        <v>426.447</v>
      </c>
      <c r="E235" s="17">
        <f t="shared" si="13"/>
        <v>923.5575</v>
      </c>
      <c r="F235" s="18">
        <f t="shared" si="14"/>
        <v>0.46174385460569589</v>
      </c>
      <c r="G235" s="16" t="s">
        <v>694</v>
      </c>
      <c r="H235" s="16" t="s">
        <v>353</v>
      </c>
      <c r="I235" t="str">
        <f>VLOOKUP(H235,Sheet2!$A$2:$B$459, 2, FALSE)</f>
        <v>CR</v>
      </c>
      <c r="J235" s="16">
        <v>424814400</v>
      </c>
      <c r="K235" s="16">
        <v>496761300</v>
      </c>
      <c r="L235" s="16">
        <v>424.81439999999998</v>
      </c>
      <c r="M235" s="16">
        <v>921.57569999999998</v>
      </c>
      <c r="N235" s="18">
        <f t="shared" si="15"/>
        <v>0.46096527935795178</v>
      </c>
      <c r="O235" s="19">
        <f>N235-F235</f>
        <v>-7.7857524774410658E-4</v>
      </c>
    </row>
    <row r="236" spans="1:16" s="16" customFormat="1" x14ac:dyDescent="0.25">
      <c r="A236" s="14" t="s">
        <v>354</v>
      </c>
      <c r="B236" s="15">
        <v>225177300</v>
      </c>
      <c r="C236" s="15">
        <v>104337000</v>
      </c>
      <c r="D236" s="16">
        <f t="shared" si="12"/>
        <v>225.1773</v>
      </c>
      <c r="E236" s="17">
        <f t="shared" si="13"/>
        <v>329.51429999999999</v>
      </c>
      <c r="F236" s="18">
        <f t="shared" si="14"/>
        <v>0.68336123804035209</v>
      </c>
      <c r="G236" s="16" t="s">
        <v>695</v>
      </c>
      <c r="H236" s="16" t="s">
        <v>354</v>
      </c>
      <c r="I236" t="str">
        <f>VLOOKUP(H236,Sheet2!$A$2:$B$459, 2, FALSE)</f>
        <v>LC</v>
      </c>
      <c r="J236" s="16">
        <v>245277000</v>
      </c>
      <c r="K236" s="16">
        <v>101664000</v>
      </c>
      <c r="L236" s="16">
        <v>245.27699999999999</v>
      </c>
      <c r="M236" s="16">
        <v>346.94099999999997</v>
      </c>
      <c r="N236" s="18">
        <f t="shared" si="15"/>
        <v>0.7069703494254066</v>
      </c>
      <c r="O236" s="19">
        <f>N236-F236</f>
        <v>2.3609111385054504E-2</v>
      </c>
    </row>
    <row r="237" spans="1:16" s="16" customFormat="1" x14ac:dyDescent="0.25">
      <c r="A237" s="14" t="s">
        <v>459</v>
      </c>
      <c r="B237" s="15">
        <v>1961633700</v>
      </c>
      <c r="C237" s="15">
        <v>1558396800</v>
      </c>
      <c r="D237" s="16">
        <f t="shared" si="12"/>
        <v>1961.6337000000001</v>
      </c>
      <c r="E237" s="17">
        <f t="shared" si="13"/>
        <v>3520.0304999999998</v>
      </c>
      <c r="F237" s="18">
        <f t="shared" si="14"/>
        <v>0.55727747245371884</v>
      </c>
      <c r="G237" s="16" t="s">
        <v>696</v>
      </c>
      <c r="H237" s="16" t="s">
        <v>459</v>
      </c>
      <c r="I237" t="str">
        <f>VLOOKUP(H237,Sheet2!$A$2:$B$459, 2, FALSE)</f>
        <v>LC</v>
      </c>
      <c r="J237" s="16">
        <v>2234664000</v>
      </c>
      <c r="K237" s="16">
        <v>1697605200</v>
      </c>
      <c r="L237" s="16">
        <v>2234.6640000000002</v>
      </c>
      <c r="M237" s="16">
        <v>3932.2692000000002</v>
      </c>
      <c r="N237" s="18">
        <f t="shared" si="15"/>
        <v>0.56828866141717871</v>
      </c>
      <c r="O237" s="19">
        <f>N237-F237</f>
        <v>1.1011188963459873E-2</v>
      </c>
    </row>
    <row r="238" spans="1:16" s="16" customFormat="1" x14ac:dyDescent="0.25">
      <c r="A238" s="14" t="s">
        <v>461</v>
      </c>
      <c r="B238" s="15">
        <v>3758412600</v>
      </c>
      <c r="C238" s="15">
        <v>5429025000</v>
      </c>
      <c r="D238" s="16">
        <f t="shared" si="12"/>
        <v>3758.4126000000001</v>
      </c>
      <c r="E238" s="17">
        <f t="shared" si="13"/>
        <v>9187.4375999999993</v>
      </c>
      <c r="F238" s="18">
        <f t="shared" si="14"/>
        <v>0.40908170086510304</v>
      </c>
      <c r="G238" s="16" t="s">
        <v>697</v>
      </c>
      <c r="H238" s="16" t="s">
        <v>461</v>
      </c>
      <c r="I238" t="str">
        <f>VLOOKUP(H238,Sheet2!$A$2:$B$459, 2, FALSE)</f>
        <v>EN</v>
      </c>
      <c r="J238" s="16">
        <v>1522672200</v>
      </c>
      <c r="K238" s="16">
        <v>7069559400</v>
      </c>
      <c r="L238" s="16">
        <v>1522.6722</v>
      </c>
      <c r="M238" s="16">
        <v>8592.2315999999992</v>
      </c>
      <c r="N238" s="18">
        <f t="shared" si="15"/>
        <v>0.17721498568544172</v>
      </c>
      <c r="O238" s="19">
        <f>N238-F238</f>
        <v>-0.23186671517966131</v>
      </c>
      <c r="P238" s="8" t="s">
        <v>967</v>
      </c>
    </row>
    <row r="239" spans="1:16" s="16" customFormat="1" x14ac:dyDescent="0.25">
      <c r="A239" s="14" t="s">
        <v>355</v>
      </c>
      <c r="B239" s="15">
        <v>5545276200</v>
      </c>
      <c r="C239" s="15">
        <v>3053112300</v>
      </c>
      <c r="D239" s="16">
        <f t="shared" si="12"/>
        <v>5545.2762000000002</v>
      </c>
      <c r="E239" s="17">
        <f t="shared" si="13"/>
        <v>8598.3884999999991</v>
      </c>
      <c r="F239" s="18">
        <f t="shared" si="14"/>
        <v>0.64492040572486342</v>
      </c>
      <c r="G239" s="16" t="s">
        <v>698</v>
      </c>
      <c r="H239" s="16" t="s">
        <v>355</v>
      </c>
      <c r="I239" t="str">
        <f>VLOOKUP(H239,Sheet2!$A$2:$B$459, 2, FALSE)</f>
        <v>LC</v>
      </c>
      <c r="J239" s="16">
        <v>5651321400</v>
      </c>
      <c r="K239" s="16">
        <v>3549127500</v>
      </c>
      <c r="L239" s="16">
        <v>5651.3213999999998</v>
      </c>
      <c r="M239" s="16">
        <v>9200.4488999999994</v>
      </c>
      <c r="N239" s="18">
        <f t="shared" si="15"/>
        <v>0.61424409411153846</v>
      </c>
      <c r="O239" s="19">
        <f>N239-F239</f>
        <v>-3.0676311613324958E-2</v>
      </c>
      <c r="P239" s="16" t="s">
        <v>935</v>
      </c>
    </row>
    <row r="240" spans="1:16" x14ac:dyDescent="0.25">
      <c r="A240" s="1" t="s">
        <v>246</v>
      </c>
      <c r="B240" s="2">
        <v>5694274800</v>
      </c>
      <c r="C240" s="2">
        <v>1468989900</v>
      </c>
      <c r="D240">
        <f t="shared" si="12"/>
        <v>5694.2748000000001</v>
      </c>
      <c r="E240" s="11">
        <f t="shared" si="13"/>
        <v>7163.2646999999997</v>
      </c>
      <c r="F240" s="6">
        <f t="shared" si="14"/>
        <v>0.7949273185451321</v>
      </c>
      <c r="G240" t="s">
        <v>699</v>
      </c>
      <c r="H240" t="s">
        <v>246</v>
      </c>
      <c r="I240" t="str">
        <f>VLOOKUP(H240,Sheet2!$A$2:$B$459, 2, FALSE)</f>
        <v>LC</v>
      </c>
      <c r="J240">
        <v>5694271200</v>
      </c>
      <c r="K240">
        <v>1468989000</v>
      </c>
      <c r="L240">
        <v>5694.2712000000001</v>
      </c>
      <c r="M240">
        <v>7163.2601999999997</v>
      </c>
      <c r="N240" s="6">
        <f t="shared" si="15"/>
        <v>0.79492731535844541</v>
      </c>
      <c r="O240" s="7">
        <f>N240-F240</f>
        <v>-3.1866866923024872E-9</v>
      </c>
    </row>
    <row r="241" spans="1:15" x14ac:dyDescent="0.25">
      <c r="A241" s="1" t="s">
        <v>247</v>
      </c>
      <c r="B241" s="2">
        <v>12392715600</v>
      </c>
      <c r="C241" s="2">
        <v>999769500</v>
      </c>
      <c r="D241">
        <f t="shared" si="12"/>
        <v>12392.7156</v>
      </c>
      <c r="E241" s="11">
        <f t="shared" si="13"/>
        <v>13392.4851</v>
      </c>
      <c r="F241" s="6">
        <f t="shared" si="14"/>
        <v>0.92534847024022449</v>
      </c>
      <c r="G241" t="s">
        <v>700</v>
      </c>
      <c r="H241" t="s">
        <v>247</v>
      </c>
      <c r="I241" t="str">
        <f>VLOOKUP(H241,Sheet2!$A$2:$B$459, 2, FALSE)</f>
        <v>LC</v>
      </c>
      <c r="J241">
        <v>12392721900</v>
      </c>
      <c r="K241">
        <v>999769500</v>
      </c>
      <c r="L241">
        <v>12392.7219</v>
      </c>
      <c r="M241">
        <v>13392.491400000001</v>
      </c>
      <c r="N241" s="6">
        <f t="shared" si="15"/>
        <v>0.9253485053572631</v>
      </c>
      <c r="O241" s="7">
        <f>N241-F241</f>
        <v>3.511703861036608E-8</v>
      </c>
    </row>
    <row r="242" spans="1:15" x14ac:dyDescent="0.25">
      <c r="A242" s="1" t="s">
        <v>154</v>
      </c>
      <c r="B242" s="2">
        <v>9230588100</v>
      </c>
      <c r="C242" s="2">
        <v>447234300</v>
      </c>
      <c r="D242">
        <f t="shared" si="12"/>
        <v>9230.5881000000008</v>
      </c>
      <c r="E242" s="11">
        <f t="shared" si="13"/>
        <v>9677.8223999999991</v>
      </c>
      <c r="F242" s="6">
        <f t="shared" si="14"/>
        <v>0.95378771364930193</v>
      </c>
      <c r="G242" t="s">
        <v>701</v>
      </c>
      <c r="H242" t="s">
        <v>154</v>
      </c>
      <c r="I242" t="str">
        <f>VLOOKUP(H242,Sheet2!$A$2:$B$459, 2, FALSE)</f>
        <v>LC</v>
      </c>
      <c r="J242">
        <v>9230583600</v>
      </c>
      <c r="K242">
        <v>447237900</v>
      </c>
      <c r="L242">
        <v>9230.5835999999999</v>
      </c>
      <c r="M242">
        <v>9677.8215</v>
      </c>
      <c r="N242" s="6">
        <f t="shared" si="15"/>
        <v>0.95378733736719568</v>
      </c>
      <c r="O242" s="7">
        <f>N242-F242</f>
        <v>-3.7628210625140213E-7</v>
      </c>
    </row>
    <row r="243" spans="1:15" x14ac:dyDescent="0.25">
      <c r="A243" s="1" t="s">
        <v>356</v>
      </c>
      <c r="B243" s="2">
        <v>2610640800</v>
      </c>
      <c r="C243" s="2">
        <v>2338933500</v>
      </c>
      <c r="D243">
        <f t="shared" si="12"/>
        <v>2610.6408000000001</v>
      </c>
      <c r="E243" s="11">
        <f t="shared" si="13"/>
        <v>4949.5743000000002</v>
      </c>
      <c r="F243" s="6">
        <f t="shared" si="14"/>
        <v>0.52744754230682023</v>
      </c>
      <c r="G243" t="s">
        <v>702</v>
      </c>
      <c r="H243" t="s">
        <v>356</v>
      </c>
      <c r="I243" t="str">
        <f>VLOOKUP(H243,Sheet2!$A$2:$B$459, 2, FALSE)</f>
        <v>LC</v>
      </c>
      <c r="J243">
        <v>2610640800</v>
      </c>
      <c r="K243">
        <v>2338929900</v>
      </c>
      <c r="L243">
        <v>2610.6408000000001</v>
      </c>
      <c r="M243">
        <v>4949.5707000000002</v>
      </c>
      <c r="N243" s="6">
        <f t="shared" si="15"/>
        <v>0.52744792593830414</v>
      </c>
      <c r="O243" s="7">
        <f>N243-F243</f>
        <v>3.8363148391340474E-7</v>
      </c>
    </row>
    <row r="244" spans="1:15" x14ac:dyDescent="0.25">
      <c r="A244" s="1" t="s">
        <v>357</v>
      </c>
      <c r="B244" s="2">
        <v>10586288700</v>
      </c>
      <c r="C244" s="2">
        <v>5426548200</v>
      </c>
      <c r="D244">
        <f t="shared" si="12"/>
        <v>10586.288699999999</v>
      </c>
      <c r="E244" s="11">
        <f t="shared" si="13"/>
        <v>16012.8369</v>
      </c>
      <c r="F244" s="6">
        <f t="shared" si="14"/>
        <v>0.66111262895583478</v>
      </c>
      <c r="G244" t="s">
        <v>703</v>
      </c>
      <c r="H244" t="s">
        <v>357</v>
      </c>
      <c r="I244" t="str">
        <f>VLOOKUP(H244,Sheet2!$A$2:$B$459, 2, FALSE)</f>
        <v>LC</v>
      </c>
      <c r="J244">
        <v>10586295900</v>
      </c>
      <c r="K244">
        <v>5426546400</v>
      </c>
      <c r="L244">
        <v>10586.295899999999</v>
      </c>
      <c r="M244">
        <v>16012.8423</v>
      </c>
      <c r="N244" s="6">
        <f t="shared" si="15"/>
        <v>0.66111285564836908</v>
      </c>
      <c r="O244" s="7">
        <f>N244-F244</f>
        <v>2.266925342997439E-7</v>
      </c>
    </row>
    <row r="245" spans="1:15" x14ac:dyDescent="0.25">
      <c r="A245" s="1" t="s">
        <v>358</v>
      </c>
      <c r="B245" s="2">
        <v>1295904600</v>
      </c>
      <c r="C245" s="2">
        <v>276052500</v>
      </c>
      <c r="D245">
        <f t="shared" si="12"/>
        <v>1295.9046000000001</v>
      </c>
      <c r="E245" s="11">
        <f t="shared" si="13"/>
        <v>1571.9571000000001</v>
      </c>
      <c r="F245" s="6">
        <f t="shared" si="14"/>
        <v>0.82438929153982632</v>
      </c>
      <c r="G245" t="s">
        <v>704</v>
      </c>
      <c r="H245" t="s">
        <v>358</v>
      </c>
      <c r="I245" t="str">
        <f>VLOOKUP(H245,Sheet2!$A$2:$B$459, 2, FALSE)</f>
        <v>LC</v>
      </c>
      <c r="J245">
        <v>1295903700</v>
      </c>
      <c r="K245">
        <v>276054300</v>
      </c>
      <c r="L245">
        <v>1295.9037000000001</v>
      </c>
      <c r="M245">
        <v>1571.9580000000001</v>
      </c>
      <c r="N245" s="6">
        <f t="shared" si="15"/>
        <v>0.82438824701423319</v>
      </c>
      <c r="O245" s="7">
        <f>N245-F245</f>
        <v>-1.0445255931301745E-6</v>
      </c>
    </row>
    <row r="246" spans="1:15" x14ac:dyDescent="0.25">
      <c r="A246" s="1" t="s">
        <v>359</v>
      </c>
      <c r="B246" s="2">
        <v>66763800</v>
      </c>
      <c r="C246" s="2">
        <v>13740300</v>
      </c>
      <c r="D246">
        <f t="shared" si="12"/>
        <v>66.763800000000003</v>
      </c>
      <c r="E246" s="11">
        <f t="shared" si="13"/>
        <v>80.504099999999994</v>
      </c>
      <c r="F246" s="6">
        <f t="shared" si="14"/>
        <v>0.82932173640845619</v>
      </c>
      <c r="G246" t="s">
        <v>705</v>
      </c>
      <c r="H246" t="s">
        <v>359</v>
      </c>
      <c r="I246" t="str">
        <f>VLOOKUP(H246,Sheet2!$A$2:$B$459, 2, FALSE)</f>
        <v>LC</v>
      </c>
      <c r="J246">
        <v>66762000</v>
      </c>
      <c r="K246">
        <v>13740300</v>
      </c>
      <c r="L246">
        <v>66.762</v>
      </c>
      <c r="M246">
        <v>80.502300000000005</v>
      </c>
      <c r="N246" s="6">
        <f t="shared" si="15"/>
        <v>0.82931792010911487</v>
      </c>
      <c r="O246" s="7">
        <f>N246-F246</f>
        <v>-3.8162993413193291E-6</v>
      </c>
    </row>
    <row r="247" spans="1:15" x14ac:dyDescent="0.25">
      <c r="A247" s="1" t="s">
        <v>360</v>
      </c>
      <c r="B247" s="2">
        <v>5354990100</v>
      </c>
      <c r="C247" s="2">
        <v>1719421200</v>
      </c>
      <c r="D247">
        <f t="shared" si="12"/>
        <v>5354.9901</v>
      </c>
      <c r="E247" s="11">
        <f t="shared" si="13"/>
        <v>7074.4112999999998</v>
      </c>
      <c r="F247" s="6">
        <f t="shared" si="14"/>
        <v>0.75695204490018841</v>
      </c>
      <c r="G247" t="s">
        <v>706</v>
      </c>
      <c r="H247" t="s">
        <v>360</v>
      </c>
      <c r="I247" t="str">
        <f>VLOOKUP(H247,Sheet2!$A$2:$B$459, 2, FALSE)</f>
        <v>LC</v>
      </c>
      <c r="J247">
        <v>5354991000</v>
      </c>
      <c r="K247">
        <v>1719420300</v>
      </c>
      <c r="L247">
        <v>5354.991</v>
      </c>
      <c r="M247">
        <v>7074.4112999999998</v>
      </c>
      <c r="N247" s="6">
        <f t="shared" si="15"/>
        <v>0.7569521721192547</v>
      </c>
      <c r="O247" s="7">
        <f>N247-F247</f>
        <v>1.2721906628154755E-7</v>
      </c>
    </row>
    <row r="248" spans="1:15" x14ac:dyDescent="0.25">
      <c r="A248" s="1" t="s">
        <v>248</v>
      </c>
      <c r="B248" s="2">
        <v>2730882600</v>
      </c>
      <c r="C248" s="2">
        <v>1537181100</v>
      </c>
      <c r="D248">
        <f t="shared" si="12"/>
        <v>2730.8825999999999</v>
      </c>
      <c r="E248" s="11">
        <f t="shared" si="13"/>
        <v>4268.0636999999997</v>
      </c>
      <c r="F248" s="6">
        <f t="shared" si="14"/>
        <v>0.63984110640148129</v>
      </c>
      <c r="G248" t="s">
        <v>707</v>
      </c>
      <c r="H248" t="s">
        <v>248</v>
      </c>
      <c r="I248" t="str">
        <f>VLOOKUP(H248,Sheet2!$A$2:$B$459, 2, FALSE)</f>
        <v>LC</v>
      </c>
      <c r="J248">
        <v>2730880800</v>
      </c>
      <c r="K248">
        <v>1537182000</v>
      </c>
      <c r="L248">
        <v>2730.8807999999999</v>
      </c>
      <c r="M248">
        <v>4268.0627999999997</v>
      </c>
      <c r="N248" s="6">
        <f t="shared" si="15"/>
        <v>0.63984081958681582</v>
      </c>
      <c r="O248" s="7">
        <f>N248-F248</f>
        <v>-2.8681466546220946E-7</v>
      </c>
    </row>
    <row r="249" spans="1:15" x14ac:dyDescent="0.25">
      <c r="A249" s="1" t="s">
        <v>361</v>
      </c>
      <c r="B249" s="2">
        <v>196601400</v>
      </c>
      <c r="C249" s="2">
        <v>896574600</v>
      </c>
      <c r="D249">
        <f t="shared" si="12"/>
        <v>196.60140000000001</v>
      </c>
      <c r="E249" s="11">
        <f t="shared" si="13"/>
        <v>1093.1759999999999</v>
      </c>
      <c r="F249" s="6">
        <f t="shared" si="14"/>
        <v>0.17984423368240796</v>
      </c>
      <c r="G249" t="s">
        <v>708</v>
      </c>
      <c r="H249" t="s">
        <v>361</v>
      </c>
      <c r="I249" t="str">
        <f>VLOOKUP(H249,Sheet2!$A$2:$B$459, 2, FALSE)</f>
        <v>CR</v>
      </c>
      <c r="J249">
        <v>196601400</v>
      </c>
      <c r="K249">
        <v>896573700</v>
      </c>
      <c r="L249">
        <v>196.60140000000001</v>
      </c>
      <c r="M249">
        <v>1093.1750999999999</v>
      </c>
      <c r="N249" s="6">
        <f t="shared" si="15"/>
        <v>0.17984438174634607</v>
      </c>
      <c r="O249" s="7">
        <f>N249-F249</f>
        <v>1.4806393811017671E-7</v>
      </c>
    </row>
    <row r="250" spans="1:15" x14ac:dyDescent="0.25">
      <c r="A250" s="1" t="s">
        <v>362</v>
      </c>
      <c r="B250" s="2">
        <v>4330471500</v>
      </c>
      <c r="C250" s="2">
        <v>6178364100</v>
      </c>
      <c r="D250">
        <f t="shared" si="12"/>
        <v>4330.4714999999997</v>
      </c>
      <c r="E250" s="11">
        <f t="shared" si="13"/>
        <v>10508.8356</v>
      </c>
      <c r="F250" s="6">
        <f t="shared" si="14"/>
        <v>0.41207909846834029</v>
      </c>
      <c r="G250" t="s">
        <v>709</v>
      </c>
      <c r="H250" t="s">
        <v>362</v>
      </c>
      <c r="I250" t="str">
        <f>VLOOKUP(H250,Sheet2!$A$2:$B$459, 2, FALSE)</f>
        <v>VU</v>
      </c>
      <c r="J250">
        <v>4432266900</v>
      </c>
      <c r="K250">
        <v>5874105600</v>
      </c>
      <c r="L250">
        <v>4432.2668999999996</v>
      </c>
      <c r="M250">
        <v>10306.372499999999</v>
      </c>
      <c r="N250" s="6">
        <f t="shared" si="15"/>
        <v>0.43005110673032632</v>
      </c>
      <c r="O250" s="7">
        <f>N250-F250</f>
        <v>1.7972008261986028E-2</v>
      </c>
    </row>
    <row r="251" spans="1:15" x14ac:dyDescent="0.25">
      <c r="A251" s="1" t="s">
        <v>363</v>
      </c>
      <c r="B251" s="2">
        <v>3888449100</v>
      </c>
      <c r="C251" s="2">
        <v>8884043100</v>
      </c>
      <c r="D251">
        <f t="shared" si="12"/>
        <v>3888.4490999999998</v>
      </c>
      <c r="E251" s="11">
        <f t="shared" si="13"/>
        <v>12772.492200000001</v>
      </c>
      <c r="F251" s="6">
        <f t="shared" si="14"/>
        <v>0.30443934035050729</v>
      </c>
      <c r="G251" t="s">
        <v>710</v>
      </c>
      <c r="H251" t="s">
        <v>363</v>
      </c>
      <c r="I251" t="str">
        <f>VLOOKUP(H251,Sheet2!$A$2:$B$459, 2, FALSE)</f>
        <v>EN</v>
      </c>
      <c r="J251">
        <v>3888448200</v>
      </c>
      <c r="K251">
        <v>8884046700</v>
      </c>
      <c r="L251">
        <v>3888.4481999999998</v>
      </c>
      <c r="M251">
        <v>12772.4949</v>
      </c>
      <c r="N251" s="6">
        <f t="shared" si="15"/>
        <v>0.30443920553062814</v>
      </c>
      <c r="O251" s="7">
        <f>N251-F251</f>
        <v>-1.3481987914953919E-7</v>
      </c>
    </row>
    <row r="252" spans="1:15" x14ac:dyDescent="0.25">
      <c r="A252" s="1" t="s">
        <v>364</v>
      </c>
      <c r="B252" s="2">
        <v>2154812400</v>
      </c>
      <c r="C252" s="2">
        <v>1772239500</v>
      </c>
      <c r="D252">
        <f t="shared" si="12"/>
        <v>2154.8123999999998</v>
      </c>
      <c r="E252" s="11">
        <f t="shared" si="13"/>
        <v>3927.0518999999999</v>
      </c>
      <c r="F252" s="6">
        <f t="shared" si="14"/>
        <v>0.54870993683582336</v>
      </c>
      <c r="G252" t="s">
        <v>711</v>
      </c>
      <c r="H252" t="s">
        <v>364</v>
      </c>
      <c r="I252" t="str">
        <f>VLOOKUP(H252,Sheet2!$A$2:$B$459, 2, FALSE)</f>
        <v>LC</v>
      </c>
      <c r="J252">
        <v>2154816000</v>
      </c>
      <c r="K252">
        <v>1772240400</v>
      </c>
      <c r="L252">
        <v>2154.8159999999998</v>
      </c>
      <c r="M252">
        <v>3927.0563999999999</v>
      </c>
      <c r="N252" s="6">
        <f t="shared" si="15"/>
        <v>0.54871022478821541</v>
      </c>
      <c r="O252" s="7">
        <f>N252-F252</f>
        <v>2.8795239204182366E-7</v>
      </c>
    </row>
    <row r="253" spans="1:15" x14ac:dyDescent="0.25">
      <c r="A253" s="1" t="s">
        <v>365</v>
      </c>
      <c r="B253" s="2">
        <v>2989773000</v>
      </c>
      <c r="C253" s="2">
        <v>760630500</v>
      </c>
      <c r="D253">
        <f t="shared" si="12"/>
        <v>2989.7730000000001</v>
      </c>
      <c r="E253" s="11">
        <f t="shared" si="13"/>
        <v>3750.4034999999999</v>
      </c>
      <c r="F253" s="6">
        <f t="shared" si="14"/>
        <v>0.79718702267635999</v>
      </c>
      <c r="G253" t="s">
        <v>712</v>
      </c>
      <c r="H253" t="s">
        <v>365</v>
      </c>
      <c r="I253" t="str">
        <f>VLOOKUP(H253,Sheet2!$A$2:$B$459, 2, FALSE)</f>
        <v>LC</v>
      </c>
      <c r="J253">
        <v>2989780200</v>
      </c>
      <c r="K253">
        <v>760629600</v>
      </c>
      <c r="L253">
        <v>2989.7802000000001</v>
      </c>
      <c r="M253">
        <v>3750.4097999999999</v>
      </c>
      <c r="N253" s="6">
        <f t="shared" si="15"/>
        <v>0.7971876033387072</v>
      </c>
      <c r="O253" s="7">
        <f>N253-F253</f>
        <v>5.8066234720488552E-7</v>
      </c>
    </row>
    <row r="254" spans="1:15" x14ac:dyDescent="0.25">
      <c r="A254" s="1" t="s">
        <v>366</v>
      </c>
      <c r="B254" s="2">
        <v>2011257900</v>
      </c>
      <c r="C254" s="2">
        <v>2205450900</v>
      </c>
      <c r="D254">
        <f t="shared" si="12"/>
        <v>2011.2579000000001</v>
      </c>
      <c r="E254" s="11">
        <f t="shared" si="13"/>
        <v>4216.7088000000003</v>
      </c>
      <c r="F254" s="6">
        <f t="shared" si="14"/>
        <v>0.47697339213938605</v>
      </c>
      <c r="G254" t="s">
        <v>713</v>
      </c>
      <c r="H254" t="s">
        <v>366</v>
      </c>
      <c r="I254" t="str">
        <f>VLOOKUP(H254,Sheet2!$A$2:$B$459, 2, FALSE)</f>
        <v>EN</v>
      </c>
      <c r="J254">
        <v>2011260600</v>
      </c>
      <c r="K254">
        <v>2205451800</v>
      </c>
      <c r="L254">
        <v>2011.2606000000001</v>
      </c>
      <c r="M254">
        <v>4216.7124000000003</v>
      </c>
      <c r="N254" s="6">
        <f t="shared" si="15"/>
        <v>0.47697362523467335</v>
      </c>
      <c r="O254" s="7">
        <f>N254-F254</f>
        <v>2.3309528729420492E-7</v>
      </c>
    </row>
    <row r="255" spans="1:15" x14ac:dyDescent="0.25">
      <c r="A255" s="1" t="s">
        <v>367</v>
      </c>
      <c r="B255" s="2">
        <v>5385118500</v>
      </c>
      <c r="C255" s="2">
        <v>4269062700</v>
      </c>
      <c r="D255">
        <f t="shared" si="12"/>
        <v>5385.1184999999996</v>
      </c>
      <c r="E255" s="11">
        <f t="shared" si="13"/>
        <v>9654.1812000000009</v>
      </c>
      <c r="F255" s="6">
        <f t="shared" si="14"/>
        <v>0.55780168078883785</v>
      </c>
      <c r="G255" t="s">
        <v>714</v>
      </c>
      <c r="H255" t="s">
        <v>367</v>
      </c>
      <c r="I255" t="str">
        <f>VLOOKUP(H255,Sheet2!$A$2:$B$459, 2, FALSE)</f>
        <v>EN</v>
      </c>
      <c r="J255">
        <v>5385118500</v>
      </c>
      <c r="K255">
        <v>4269061800</v>
      </c>
      <c r="L255">
        <v>5385.1184999999996</v>
      </c>
      <c r="M255">
        <v>9654.1803</v>
      </c>
      <c r="N255" s="6">
        <f t="shared" si="15"/>
        <v>0.55780173278926637</v>
      </c>
      <c r="O255" s="7">
        <f>N255-F255</f>
        <v>5.2000428518717001E-8</v>
      </c>
    </row>
    <row r="256" spans="1:15" x14ac:dyDescent="0.25">
      <c r="A256" s="1" t="s">
        <v>368</v>
      </c>
      <c r="B256" s="2">
        <v>807441300</v>
      </c>
      <c r="C256" s="2">
        <v>483935400</v>
      </c>
      <c r="D256">
        <f t="shared" si="12"/>
        <v>807.44129999999996</v>
      </c>
      <c r="E256" s="11">
        <f t="shared" si="13"/>
        <v>1291.3767</v>
      </c>
      <c r="F256" s="6">
        <f t="shared" si="14"/>
        <v>0.6252562091293733</v>
      </c>
      <c r="G256" t="s">
        <v>715</v>
      </c>
      <c r="H256" t="s">
        <v>368</v>
      </c>
      <c r="I256" t="str">
        <f>VLOOKUP(H256,Sheet2!$A$2:$B$459, 2, FALSE)</f>
        <v>LC</v>
      </c>
      <c r="J256">
        <v>807443100</v>
      </c>
      <c r="K256">
        <v>483932700</v>
      </c>
      <c r="L256">
        <v>807.44309999999996</v>
      </c>
      <c r="M256">
        <v>1291.3758</v>
      </c>
      <c r="N256" s="6">
        <f t="shared" si="15"/>
        <v>0.62525803875215868</v>
      </c>
      <c r="O256" s="7">
        <f>N256-F256</f>
        <v>1.8296227853875635E-6</v>
      </c>
    </row>
    <row r="257" spans="1:15" x14ac:dyDescent="0.25">
      <c r="A257" s="1" t="s">
        <v>369</v>
      </c>
      <c r="B257" s="2">
        <v>858097800</v>
      </c>
      <c r="C257" s="2">
        <v>522752400</v>
      </c>
      <c r="D257">
        <f t="shared" si="12"/>
        <v>858.09780000000001</v>
      </c>
      <c r="E257" s="11">
        <f t="shared" si="13"/>
        <v>1380.8502000000001</v>
      </c>
      <c r="F257" s="6">
        <f t="shared" si="14"/>
        <v>0.62142714684040312</v>
      </c>
      <c r="G257" t="s">
        <v>716</v>
      </c>
      <c r="H257" t="s">
        <v>369</v>
      </c>
      <c r="I257" t="str">
        <f>VLOOKUP(H257,Sheet2!$A$2:$B$459, 2, FALSE)</f>
        <v>LC</v>
      </c>
      <c r="J257">
        <v>858096900</v>
      </c>
      <c r="K257">
        <v>522751500</v>
      </c>
      <c r="L257">
        <v>858.09690000000001</v>
      </c>
      <c r="M257">
        <v>1380.8484000000001</v>
      </c>
      <c r="N257" s="6">
        <f t="shared" si="15"/>
        <v>0.6214273051263266</v>
      </c>
      <c r="O257" s="7">
        <f>N257-F257</f>
        <v>1.5828592347943982E-7</v>
      </c>
    </row>
    <row r="258" spans="1:15" x14ac:dyDescent="0.25">
      <c r="A258" s="1" t="s">
        <v>463</v>
      </c>
      <c r="B258" s="2">
        <v>2797847100</v>
      </c>
      <c r="C258" s="2">
        <v>939244500</v>
      </c>
      <c r="D258">
        <f t="shared" si="12"/>
        <v>2797.8471</v>
      </c>
      <c r="E258" s="11">
        <f t="shared" si="13"/>
        <v>3737.0916000000002</v>
      </c>
      <c r="F258" s="6">
        <f t="shared" si="14"/>
        <v>0.74866966065268514</v>
      </c>
      <c r="G258" t="s">
        <v>717</v>
      </c>
      <c r="H258" t="s">
        <v>463</v>
      </c>
      <c r="I258" t="str">
        <f>VLOOKUP(H258,Sheet2!$A$2:$B$459, 2, FALSE)</f>
        <v>LC</v>
      </c>
      <c r="J258">
        <v>2797849800</v>
      </c>
      <c r="K258">
        <v>939244500</v>
      </c>
      <c r="L258">
        <v>2797.8498</v>
      </c>
      <c r="M258">
        <v>3737.0943000000002</v>
      </c>
      <c r="N258" s="6">
        <f t="shared" si="15"/>
        <v>0.74866984223545008</v>
      </c>
      <c r="O258" s="7">
        <f>N258-F258</f>
        <v>1.8158276493540626E-7</v>
      </c>
    </row>
    <row r="259" spans="1:15" x14ac:dyDescent="0.25">
      <c r="A259" s="1" t="s">
        <v>370</v>
      </c>
      <c r="B259" s="2">
        <v>19008000</v>
      </c>
      <c r="C259" s="2">
        <v>1335600</v>
      </c>
      <c r="D259">
        <f t="shared" si="12"/>
        <v>19.007999999999999</v>
      </c>
      <c r="E259" s="11">
        <f t="shared" ref="E259:E322" si="16">(B259+C259)/1000000</f>
        <v>20.343599999999999</v>
      </c>
      <c r="F259" s="6">
        <f t="shared" ref="F259:F322" si="17">B259/(B259+C259)</f>
        <v>0.93434790302601312</v>
      </c>
      <c r="G259" t="s">
        <v>718</v>
      </c>
      <c r="H259" t="s">
        <v>370</v>
      </c>
      <c r="I259" t="str">
        <f>VLOOKUP(H259,Sheet2!$A$2:$B$459, 2, FALSE)</f>
        <v>LC</v>
      </c>
      <c r="J259">
        <v>19008000</v>
      </c>
      <c r="K259">
        <v>1335600</v>
      </c>
      <c r="L259">
        <v>19.007999999999999</v>
      </c>
      <c r="M259">
        <v>20.343599999999999</v>
      </c>
      <c r="N259" s="6">
        <f t="shared" ref="N259:N322" si="18">L259/M259</f>
        <v>0.93434790302601312</v>
      </c>
      <c r="O259" s="7">
        <f>N259-F259</f>
        <v>0</v>
      </c>
    </row>
    <row r="260" spans="1:15" x14ac:dyDescent="0.25">
      <c r="A260" s="1" t="s">
        <v>371</v>
      </c>
      <c r="B260" s="2">
        <v>1202877000</v>
      </c>
      <c r="C260" s="2">
        <v>348227100</v>
      </c>
      <c r="D260">
        <f t="shared" ref="D260:D323" si="19">B260/1000000</f>
        <v>1202.877</v>
      </c>
      <c r="E260" s="11">
        <f t="shared" si="16"/>
        <v>1551.1041</v>
      </c>
      <c r="F260" s="6">
        <f t="shared" si="17"/>
        <v>0.77549727320042539</v>
      </c>
      <c r="G260" t="s">
        <v>719</v>
      </c>
      <c r="H260" t="s">
        <v>371</v>
      </c>
      <c r="I260" t="str">
        <f>VLOOKUP(H260,Sheet2!$A$2:$B$459, 2, FALSE)</f>
        <v>LC</v>
      </c>
      <c r="J260">
        <v>1202876100</v>
      </c>
      <c r="K260">
        <v>348227100</v>
      </c>
      <c r="L260">
        <v>1202.8761</v>
      </c>
      <c r="M260">
        <v>1551.1032</v>
      </c>
      <c r="N260" s="6">
        <f t="shared" si="18"/>
        <v>0.77549714293671757</v>
      </c>
      <c r="O260" s="7">
        <f>N260-F260</f>
        <v>-1.3026370782043273E-7</v>
      </c>
    </row>
    <row r="261" spans="1:15" x14ac:dyDescent="0.25">
      <c r="A261" s="1" t="s">
        <v>372</v>
      </c>
      <c r="B261" s="2">
        <v>354701700</v>
      </c>
      <c r="C261" s="2">
        <v>584450100</v>
      </c>
      <c r="D261">
        <f t="shared" si="19"/>
        <v>354.70170000000002</v>
      </c>
      <c r="E261" s="11">
        <f t="shared" si="16"/>
        <v>939.15179999999998</v>
      </c>
      <c r="F261" s="6">
        <f t="shared" si="17"/>
        <v>0.37768303271100584</v>
      </c>
      <c r="G261" t="s">
        <v>720</v>
      </c>
      <c r="H261" t="s">
        <v>372</v>
      </c>
      <c r="I261" t="str">
        <f>VLOOKUP(H261,Sheet2!$A$2:$B$459, 2, FALSE)</f>
        <v>EN</v>
      </c>
      <c r="J261">
        <v>354702600</v>
      </c>
      <c r="K261">
        <v>584447400</v>
      </c>
      <c r="L261">
        <v>354.70260000000002</v>
      </c>
      <c r="M261">
        <v>939.15</v>
      </c>
      <c r="N261" s="6">
        <f t="shared" si="18"/>
        <v>0.37768471490177291</v>
      </c>
      <c r="O261" s="7">
        <f>N261-F261</f>
        <v>1.6821907670716563E-6</v>
      </c>
    </row>
    <row r="262" spans="1:15" x14ac:dyDescent="0.25">
      <c r="A262" s="1" t="s">
        <v>373</v>
      </c>
      <c r="B262" s="2">
        <v>763056000</v>
      </c>
      <c r="C262" s="2">
        <v>610776900</v>
      </c>
      <c r="D262">
        <f t="shared" si="19"/>
        <v>763.05600000000004</v>
      </c>
      <c r="E262" s="11">
        <f t="shared" si="16"/>
        <v>1373.8329000000001</v>
      </c>
      <c r="F262" s="6">
        <f t="shared" si="17"/>
        <v>0.55542125974709156</v>
      </c>
      <c r="G262" t="s">
        <v>721</v>
      </c>
      <c r="H262" t="s">
        <v>373</v>
      </c>
      <c r="I262" t="str">
        <f>VLOOKUP(H262,Sheet2!$A$2:$B$459, 2, FALSE)</f>
        <v>LC</v>
      </c>
      <c r="J262">
        <v>763062300</v>
      </c>
      <c r="K262">
        <v>610772400</v>
      </c>
      <c r="L262">
        <v>763.06230000000005</v>
      </c>
      <c r="M262">
        <v>1373.8347000000001</v>
      </c>
      <c r="N262" s="6">
        <f t="shared" si="18"/>
        <v>0.55542511773796366</v>
      </c>
      <c r="O262" s="7">
        <f>N262-F262</f>
        <v>3.8579908721025902E-6</v>
      </c>
    </row>
    <row r="263" spans="1:15" x14ac:dyDescent="0.25">
      <c r="A263" s="1" t="s">
        <v>374</v>
      </c>
      <c r="B263" s="2">
        <v>9338400</v>
      </c>
      <c r="C263" s="2">
        <v>663300</v>
      </c>
      <c r="D263">
        <f t="shared" si="19"/>
        <v>9.3384</v>
      </c>
      <c r="E263" s="11">
        <f t="shared" si="16"/>
        <v>10.0017</v>
      </c>
      <c r="F263" s="6">
        <f t="shared" si="17"/>
        <v>0.93368127418338887</v>
      </c>
      <c r="G263" t="s">
        <v>722</v>
      </c>
      <c r="H263" t="s">
        <v>374</v>
      </c>
      <c r="I263" t="str">
        <f>VLOOKUP(H263,Sheet2!$A$2:$B$459, 2, FALSE)</f>
        <v>LC</v>
      </c>
      <c r="J263">
        <v>9336600</v>
      </c>
      <c r="K263">
        <v>663300</v>
      </c>
      <c r="L263">
        <v>9.3366000000000007</v>
      </c>
      <c r="M263">
        <v>9.9999000000000002</v>
      </c>
      <c r="N263" s="6">
        <f t="shared" si="18"/>
        <v>0.93366933669336694</v>
      </c>
      <c r="O263" s="7">
        <f>N263-F263</f>
        <v>-1.1937490021929342E-5</v>
      </c>
    </row>
    <row r="264" spans="1:15" x14ac:dyDescent="0.25">
      <c r="A264" s="1" t="s">
        <v>375</v>
      </c>
      <c r="B264" s="2">
        <v>107559900</v>
      </c>
      <c r="C264" s="2">
        <v>323031600</v>
      </c>
      <c r="D264">
        <f t="shared" si="19"/>
        <v>107.5599</v>
      </c>
      <c r="E264" s="11">
        <f t="shared" si="16"/>
        <v>430.5915</v>
      </c>
      <c r="F264" s="6">
        <f t="shared" si="17"/>
        <v>0.24979568802449653</v>
      </c>
      <c r="G264" t="s">
        <v>723</v>
      </c>
      <c r="H264" t="s">
        <v>375</v>
      </c>
      <c r="I264" t="str">
        <f>VLOOKUP(H264,Sheet2!$A$2:$B$459, 2, FALSE)</f>
        <v>CR</v>
      </c>
      <c r="J264">
        <v>107559900</v>
      </c>
      <c r="K264">
        <v>323033400</v>
      </c>
      <c r="L264">
        <v>107.5599</v>
      </c>
      <c r="M264">
        <v>430.5933</v>
      </c>
      <c r="N264" s="6">
        <f t="shared" si="18"/>
        <v>0.24979464380890273</v>
      </c>
      <c r="O264" s="7">
        <f>N264-F264</f>
        <v>-1.0442155937984143E-6</v>
      </c>
    </row>
    <row r="265" spans="1:15" x14ac:dyDescent="0.25">
      <c r="A265" s="1" t="s">
        <v>376</v>
      </c>
      <c r="B265" s="2">
        <v>242795700</v>
      </c>
      <c r="C265" s="2">
        <v>17790300</v>
      </c>
      <c r="D265">
        <f t="shared" si="19"/>
        <v>242.79570000000001</v>
      </c>
      <c r="E265" s="11">
        <f t="shared" si="16"/>
        <v>260.58600000000001</v>
      </c>
      <c r="F265" s="6">
        <f t="shared" si="17"/>
        <v>0.9317296401188091</v>
      </c>
      <c r="G265" t="s">
        <v>724</v>
      </c>
      <c r="H265" t="s">
        <v>376</v>
      </c>
      <c r="I265" t="str">
        <f>VLOOKUP(H265,Sheet2!$A$2:$B$459, 2, FALSE)</f>
        <v>LC</v>
      </c>
      <c r="J265">
        <v>242794800</v>
      </c>
      <c r="K265">
        <v>17790300</v>
      </c>
      <c r="L265">
        <v>242.79480000000001</v>
      </c>
      <c r="M265">
        <v>260.58510000000001</v>
      </c>
      <c r="N265" s="6">
        <f t="shared" si="18"/>
        <v>0.93172940432895046</v>
      </c>
      <c r="O265" s="7">
        <f>N265-F265</f>
        <v>-2.3578985863803581E-7</v>
      </c>
    </row>
    <row r="266" spans="1:15" x14ac:dyDescent="0.25">
      <c r="A266" s="1" t="s">
        <v>377</v>
      </c>
      <c r="B266" s="2">
        <v>261770400</v>
      </c>
      <c r="C266" s="2">
        <v>6272100</v>
      </c>
      <c r="D266">
        <f t="shared" si="19"/>
        <v>261.7704</v>
      </c>
      <c r="E266" s="11">
        <f t="shared" si="16"/>
        <v>268.04250000000002</v>
      </c>
      <c r="F266" s="6">
        <f t="shared" si="17"/>
        <v>0.97660035255603128</v>
      </c>
      <c r="G266" t="s">
        <v>725</v>
      </c>
      <c r="H266" t="s">
        <v>377</v>
      </c>
      <c r="I266" t="str">
        <f>VLOOKUP(H266,Sheet2!$A$2:$B$459, 2, FALSE)</f>
        <v>LC</v>
      </c>
      <c r="J266">
        <v>261772200</v>
      </c>
      <c r="K266">
        <v>6272100</v>
      </c>
      <c r="L266">
        <v>261.7722</v>
      </c>
      <c r="M266">
        <v>268.04430000000002</v>
      </c>
      <c r="N266" s="6">
        <f t="shared" si="18"/>
        <v>0.97660050969186807</v>
      </c>
      <c r="O266" s="7">
        <f>N266-F266</f>
        <v>1.5713583678689247E-7</v>
      </c>
    </row>
    <row r="267" spans="1:15" x14ac:dyDescent="0.25">
      <c r="A267" s="1" t="s">
        <v>378</v>
      </c>
      <c r="B267" s="2">
        <v>91639800</v>
      </c>
      <c r="C267" s="2">
        <v>2239200</v>
      </c>
      <c r="D267">
        <f t="shared" si="19"/>
        <v>91.639799999999994</v>
      </c>
      <c r="E267" s="11">
        <f t="shared" si="16"/>
        <v>93.879000000000005</v>
      </c>
      <c r="F267" s="6">
        <f t="shared" si="17"/>
        <v>0.97614802032403414</v>
      </c>
      <c r="G267" t="s">
        <v>726</v>
      </c>
      <c r="H267" t="s">
        <v>378</v>
      </c>
      <c r="I267" t="str">
        <f>VLOOKUP(H267,Sheet2!$A$2:$B$459, 2, FALSE)</f>
        <v>LC</v>
      </c>
      <c r="J267">
        <v>91639800</v>
      </c>
      <c r="K267">
        <v>2239200</v>
      </c>
      <c r="L267">
        <v>91.639799999999994</v>
      </c>
      <c r="M267">
        <v>93.879000000000005</v>
      </c>
      <c r="N267" s="6">
        <f t="shared" si="18"/>
        <v>0.97614802032403403</v>
      </c>
      <c r="O267" s="7">
        <f>N267-F267</f>
        <v>0</v>
      </c>
    </row>
    <row r="268" spans="1:15" x14ac:dyDescent="0.25">
      <c r="A268" s="1" t="s">
        <v>379</v>
      </c>
      <c r="B268" s="2">
        <v>504872100</v>
      </c>
      <c r="C268" s="2">
        <v>18359100</v>
      </c>
      <c r="D268">
        <f t="shared" si="19"/>
        <v>504.87209999999999</v>
      </c>
      <c r="E268" s="11">
        <f t="shared" si="16"/>
        <v>523.23119999999994</v>
      </c>
      <c r="F268" s="6">
        <f t="shared" si="17"/>
        <v>0.96491206946374752</v>
      </c>
      <c r="G268" t="s">
        <v>727</v>
      </c>
      <c r="H268" t="s">
        <v>379</v>
      </c>
      <c r="I268" t="str">
        <f>VLOOKUP(H268,Sheet2!$A$2:$B$459, 2, FALSE)</f>
        <v>LC</v>
      </c>
      <c r="J268">
        <v>507496500</v>
      </c>
      <c r="K268">
        <v>18398700</v>
      </c>
      <c r="L268">
        <v>507.49650000000003</v>
      </c>
      <c r="M268">
        <v>525.89520000000005</v>
      </c>
      <c r="N268" s="6">
        <f t="shared" si="18"/>
        <v>0.96501451239714675</v>
      </c>
      <c r="O268" s="7">
        <f>N268-F268</f>
        <v>1.0244293339922717E-4</v>
      </c>
    </row>
    <row r="269" spans="1:15" x14ac:dyDescent="0.25">
      <c r="A269" s="1" t="s">
        <v>380</v>
      </c>
      <c r="B269" s="2">
        <v>6030975600</v>
      </c>
      <c r="C269" s="2">
        <v>9032882400</v>
      </c>
      <c r="D269">
        <f t="shared" si="19"/>
        <v>6030.9755999999998</v>
      </c>
      <c r="E269" s="11">
        <f t="shared" si="16"/>
        <v>15063.858</v>
      </c>
      <c r="F269" s="6">
        <f t="shared" si="17"/>
        <v>0.40036062474832146</v>
      </c>
      <c r="G269" t="s">
        <v>728</v>
      </c>
      <c r="H269" t="s">
        <v>380</v>
      </c>
      <c r="I269" t="str">
        <f>VLOOKUP(H269,Sheet2!$A$2:$B$459, 2, FALSE)</f>
        <v>VU</v>
      </c>
      <c r="J269">
        <v>6030980100</v>
      </c>
      <c r="K269">
        <v>9032886000</v>
      </c>
      <c r="L269">
        <v>6030.9800999999998</v>
      </c>
      <c r="M269">
        <v>15063.866099999999</v>
      </c>
      <c r="N269" s="6">
        <f t="shared" si="18"/>
        <v>0.40036070819827585</v>
      </c>
      <c r="O269" s="7">
        <f>N269-F269</f>
        <v>8.3449954391134895E-8</v>
      </c>
    </row>
    <row r="270" spans="1:15" x14ac:dyDescent="0.25">
      <c r="A270" s="1" t="s">
        <v>381</v>
      </c>
      <c r="B270" s="2">
        <v>2645280900</v>
      </c>
      <c r="C270" s="2">
        <v>1213309800</v>
      </c>
      <c r="D270">
        <f t="shared" si="19"/>
        <v>2645.2809000000002</v>
      </c>
      <c r="E270" s="11">
        <f t="shared" si="16"/>
        <v>3858.5907000000002</v>
      </c>
      <c r="F270" s="6">
        <f t="shared" si="17"/>
        <v>0.68555623170915747</v>
      </c>
      <c r="G270" t="s">
        <v>729</v>
      </c>
      <c r="H270" t="s">
        <v>381</v>
      </c>
      <c r="I270" t="str">
        <f>VLOOKUP(H270,Sheet2!$A$2:$B$459, 2, FALSE)</f>
        <v>LC</v>
      </c>
      <c r="J270">
        <v>2645280900</v>
      </c>
      <c r="K270">
        <v>1213311600</v>
      </c>
      <c r="L270">
        <v>2645.2809000000002</v>
      </c>
      <c r="M270">
        <v>3858.5925000000002</v>
      </c>
      <c r="N270" s="6">
        <f t="shared" si="18"/>
        <v>0.68555591190310972</v>
      </c>
      <c r="O270" s="7">
        <f>N270-F270</f>
        <v>-3.198060477549447E-7</v>
      </c>
    </row>
    <row r="271" spans="1:15" x14ac:dyDescent="0.25">
      <c r="A271" s="1" t="s">
        <v>382</v>
      </c>
      <c r="B271" s="2">
        <v>539805600</v>
      </c>
      <c r="C271" s="2">
        <v>508382100</v>
      </c>
      <c r="D271">
        <f t="shared" si="19"/>
        <v>539.80560000000003</v>
      </c>
      <c r="E271" s="11">
        <f t="shared" si="16"/>
        <v>1048.1876999999999</v>
      </c>
      <c r="F271" s="6">
        <f t="shared" si="17"/>
        <v>0.51498944320754769</v>
      </c>
      <c r="G271" t="s">
        <v>730</v>
      </c>
      <c r="H271" t="s">
        <v>382</v>
      </c>
      <c r="I271" t="str">
        <f>VLOOKUP(H271,Sheet2!$A$2:$B$459, 2, FALSE)</f>
        <v>LC</v>
      </c>
      <c r="J271">
        <v>539805600</v>
      </c>
      <c r="K271">
        <v>508374900</v>
      </c>
      <c r="L271">
        <v>539.80560000000003</v>
      </c>
      <c r="M271">
        <v>1048.1804999999999</v>
      </c>
      <c r="N271" s="6">
        <f t="shared" si="18"/>
        <v>0.51499298069368782</v>
      </c>
      <c r="O271" s="7">
        <f>N271-F271</f>
        <v>3.537486140126056E-6</v>
      </c>
    </row>
    <row r="272" spans="1:15" x14ac:dyDescent="0.25">
      <c r="A272" s="1" t="s">
        <v>383</v>
      </c>
      <c r="B272" s="2">
        <v>7511389200</v>
      </c>
      <c r="C272" s="2">
        <v>6743123100</v>
      </c>
      <c r="D272">
        <f t="shared" si="19"/>
        <v>7511.3891999999996</v>
      </c>
      <c r="E272" s="11">
        <f t="shared" si="16"/>
        <v>14254.5123</v>
      </c>
      <c r="F272" s="6">
        <f t="shared" si="17"/>
        <v>0.52694817205356093</v>
      </c>
      <c r="G272" t="s">
        <v>731</v>
      </c>
      <c r="H272" t="s">
        <v>383</v>
      </c>
      <c r="I272" t="str">
        <f>VLOOKUP(H272,Sheet2!$A$2:$B$459, 2, FALSE)</f>
        <v>LC</v>
      </c>
      <c r="J272">
        <v>7511397300</v>
      </c>
      <c r="K272">
        <v>6743129400</v>
      </c>
      <c r="L272">
        <v>7511.3972999999996</v>
      </c>
      <c r="M272">
        <v>14254.5267</v>
      </c>
      <c r="N272" s="6">
        <f t="shared" si="18"/>
        <v>0.52694820796820985</v>
      </c>
      <c r="O272" s="7">
        <f>N272-F272</f>
        <v>3.5914648921497871E-8</v>
      </c>
    </row>
    <row r="273" spans="1:15" x14ac:dyDescent="0.25">
      <c r="A273" s="1" t="s">
        <v>249</v>
      </c>
      <c r="B273" s="2">
        <v>2457447300</v>
      </c>
      <c r="C273" s="2">
        <v>1012397400</v>
      </c>
      <c r="D273">
        <f t="shared" si="19"/>
        <v>2457.4472999999998</v>
      </c>
      <c r="E273" s="11">
        <f t="shared" si="16"/>
        <v>3469.8447000000001</v>
      </c>
      <c r="F273" s="6">
        <f t="shared" si="17"/>
        <v>0.70822976601805843</v>
      </c>
      <c r="G273" t="s">
        <v>732</v>
      </c>
      <c r="H273" t="s">
        <v>249</v>
      </c>
      <c r="I273" t="str">
        <f>VLOOKUP(H273,Sheet2!$A$2:$B$459, 2, FALSE)</f>
        <v>LC</v>
      </c>
      <c r="J273">
        <v>2457435600</v>
      </c>
      <c r="K273">
        <v>1012387500</v>
      </c>
      <c r="L273">
        <v>2457.4355999999998</v>
      </c>
      <c r="M273">
        <v>3469.8231000000001</v>
      </c>
      <c r="N273" s="6">
        <f t="shared" si="18"/>
        <v>0.70823080289021068</v>
      </c>
      <c r="O273" s="7">
        <f>N273-F273</f>
        <v>1.0368721522491242E-6</v>
      </c>
    </row>
    <row r="274" spans="1:15" x14ac:dyDescent="0.25">
      <c r="A274" s="1" t="s">
        <v>384</v>
      </c>
      <c r="B274" s="2">
        <v>5498521200</v>
      </c>
      <c r="C274" s="2">
        <v>4393076400</v>
      </c>
      <c r="D274">
        <f t="shared" si="19"/>
        <v>5498.5212000000001</v>
      </c>
      <c r="E274" s="11">
        <f t="shared" si="16"/>
        <v>9891.5975999999991</v>
      </c>
      <c r="F274" s="6">
        <f t="shared" si="17"/>
        <v>0.55587797061214861</v>
      </c>
      <c r="G274" t="s">
        <v>733</v>
      </c>
      <c r="H274" t="s">
        <v>384</v>
      </c>
      <c r="I274" t="str">
        <f>VLOOKUP(H274,Sheet2!$A$2:$B$459, 2, FALSE)</f>
        <v>LC</v>
      </c>
      <c r="J274">
        <v>5498519400</v>
      </c>
      <c r="K274">
        <v>4393078200</v>
      </c>
      <c r="L274">
        <v>5498.5194000000001</v>
      </c>
      <c r="M274">
        <v>9891.5975999999991</v>
      </c>
      <c r="N274" s="6">
        <f t="shared" si="18"/>
        <v>0.55587778863952175</v>
      </c>
      <c r="O274" s="7">
        <f>N274-F274</f>
        <v>-1.8197262685593074E-7</v>
      </c>
    </row>
    <row r="275" spans="1:15" x14ac:dyDescent="0.25">
      <c r="A275" s="1" t="s">
        <v>385</v>
      </c>
      <c r="B275" s="2">
        <v>27626400</v>
      </c>
      <c r="C275" s="2">
        <v>2415600</v>
      </c>
      <c r="D275">
        <f t="shared" si="19"/>
        <v>27.6264</v>
      </c>
      <c r="E275" s="11">
        <f t="shared" si="16"/>
        <v>30.042000000000002</v>
      </c>
      <c r="F275" s="6">
        <f t="shared" si="17"/>
        <v>0.91959257040143794</v>
      </c>
      <c r="G275" t="s">
        <v>734</v>
      </c>
      <c r="H275" t="s">
        <v>385</v>
      </c>
      <c r="I275" t="str">
        <f>VLOOKUP(H275,Sheet2!$A$2:$B$459, 2, FALSE)</f>
        <v>LC</v>
      </c>
      <c r="J275">
        <v>27626400</v>
      </c>
      <c r="K275">
        <v>2415600</v>
      </c>
      <c r="L275">
        <v>27.6264</v>
      </c>
      <c r="M275">
        <v>30.042000000000002</v>
      </c>
      <c r="N275" s="6">
        <f t="shared" si="18"/>
        <v>0.91959257040143794</v>
      </c>
      <c r="O275" s="7">
        <f>N275-F275</f>
        <v>0</v>
      </c>
    </row>
    <row r="276" spans="1:15" x14ac:dyDescent="0.25">
      <c r="A276" s="1" t="s">
        <v>386</v>
      </c>
      <c r="B276" s="2">
        <v>5656852800</v>
      </c>
      <c r="C276" s="2">
        <v>8836083000</v>
      </c>
      <c r="D276">
        <f t="shared" si="19"/>
        <v>5656.8527999999997</v>
      </c>
      <c r="E276" s="11">
        <f t="shared" si="16"/>
        <v>14492.935799999999</v>
      </c>
      <c r="F276" s="6">
        <f t="shared" si="17"/>
        <v>0.3903179368254705</v>
      </c>
      <c r="G276" t="s">
        <v>735</v>
      </c>
      <c r="H276" t="s">
        <v>386</v>
      </c>
      <c r="I276" t="str">
        <f>VLOOKUP(H276,Sheet2!$A$2:$B$459, 2, FALSE)</f>
        <v>VU</v>
      </c>
      <c r="J276">
        <v>5693672700</v>
      </c>
      <c r="K276">
        <v>8880044400</v>
      </c>
      <c r="L276">
        <v>5693.6727000000001</v>
      </c>
      <c r="M276">
        <v>14573.7171</v>
      </c>
      <c r="N276" s="6">
        <f t="shared" si="18"/>
        <v>0.39068088538647427</v>
      </c>
      <c r="O276" s="7">
        <f>N276-F276</f>
        <v>3.6294856100377304E-4</v>
      </c>
    </row>
    <row r="277" spans="1:15" x14ac:dyDescent="0.25">
      <c r="A277" s="1" t="s">
        <v>387</v>
      </c>
      <c r="B277" s="2">
        <v>451764000</v>
      </c>
      <c r="C277" s="2">
        <v>861517800</v>
      </c>
      <c r="D277">
        <f t="shared" si="19"/>
        <v>451.76400000000001</v>
      </c>
      <c r="E277" s="11">
        <f t="shared" si="16"/>
        <v>1313.2818</v>
      </c>
      <c r="F277" s="6">
        <f t="shared" si="17"/>
        <v>0.34399623904024257</v>
      </c>
      <c r="G277" t="s">
        <v>736</v>
      </c>
      <c r="H277" t="s">
        <v>387</v>
      </c>
      <c r="I277" t="str">
        <f>VLOOKUP(H277,Sheet2!$A$2:$B$459, 2, FALSE)</f>
        <v>EN</v>
      </c>
      <c r="J277">
        <v>451762200</v>
      </c>
      <c r="K277">
        <v>861516900</v>
      </c>
      <c r="L277">
        <v>451.76220000000001</v>
      </c>
      <c r="M277">
        <v>1313.2791</v>
      </c>
      <c r="N277" s="6">
        <f t="shared" si="18"/>
        <v>0.34399557565486272</v>
      </c>
      <c r="O277" s="7">
        <f>N277-F277</f>
        <v>-6.6338537985100032E-7</v>
      </c>
    </row>
    <row r="278" spans="1:15" x14ac:dyDescent="0.25">
      <c r="A278" s="1" t="s">
        <v>388</v>
      </c>
      <c r="B278" s="2">
        <v>283328100</v>
      </c>
      <c r="C278" s="2">
        <v>255908700</v>
      </c>
      <c r="D278">
        <f t="shared" si="19"/>
        <v>283.32810000000001</v>
      </c>
      <c r="E278" s="11">
        <f t="shared" si="16"/>
        <v>539.23680000000002</v>
      </c>
      <c r="F278" s="6">
        <f t="shared" si="17"/>
        <v>0.52542426629636552</v>
      </c>
      <c r="G278" t="s">
        <v>737</v>
      </c>
      <c r="H278" t="s">
        <v>388</v>
      </c>
      <c r="I278" t="str">
        <f>VLOOKUP(H278,Sheet2!$A$2:$B$459, 2, FALSE)</f>
        <v>EN</v>
      </c>
      <c r="J278">
        <v>283321800</v>
      </c>
      <c r="K278">
        <v>255907800</v>
      </c>
      <c r="L278">
        <v>283.3218</v>
      </c>
      <c r="M278">
        <v>539.2296</v>
      </c>
      <c r="N278" s="6">
        <f t="shared" si="18"/>
        <v>0.52541959862737508</v>
      </c>
      <c r="O278" s="7">
        <f>N278-F278</f>
        <v>-4.6676689904323609E-6</v>
      </c>
    </row>
    <row r="279" spans="1:15" x14ac:dyDescent="0.25">
      <c r="A279" s="1" t="s">
        <v>250</v>
      </c>
      <c r="B279" s="2">
        <v>7648238700</v>
      </c>
      <c r="C279" s="2">
        <v>3296428200</v>
      </c>
      <c r="D279">
        <f t="shared" si="19"/>
        <v>7648.2386999999999</v>
      </c>
      <c r="E279" s="11">
        <f t="shared" si="16"/>
        <v>10944.6669</v>
      </c>
      <c r="F279" s="6">
        <f t="shared" si="17"/>
        <v>0.69880963668250151</v>
      </c>
      <c r="G279" t="s">
        <v>738</v>
      </c>
      <c r="H279" t="s">
        <v>250</v>
      </c>
      <c r="I279" t="str">
        <f>VLOOKUP(H279,Sheet2!$A$2:$B$459, 2, FALSE)</f>
        <v>LC</v>
      </c>
      <c r="J279">
        <v>7648238700</v>
      </c>
      <c r="K279">
        <v>3296433600</v>
      </c>
      <c r="L279">
        <v>7648.2386999999999</v>
      </c>
      <c r="M279">
        <v>10944.6723</v>
      </c>
      <c r="N279" s="6">
        <f t="shared" si="18"/>
        <v>0.69880929189629548</v>
      </c>
      <c r="O279" s="7">
        <f>N279-F279</f>
        <v>-3.4478620603017873E-7</v>
      </c>
    </row>
    <row r="280" spans="1:15" x14ac:dyDescent="0.25">
      <c r="A280" s="1" t="s">
        <v>251</v>
      </c>
      <c r="B280" s="2">
        <v>1030326300</v>
      </c>
      <c r="C280" s="2">
        <v>1311777900</v>
      </c>
      <c r="D280">
        <f t="shared" si="19"/>
        <v>1030.3262999999999</v>
      </c>
      <c r="E280" s="11">
        <f t="shared" si="16"/>
        <v>2342.1042000000002</v>
      </c>
      <c r="F280" s="6">
        <f t="shared" si="17"/>
        <v>0.43991479969166186</v>
      </c>
      <c r="G280" t="s">
        <v>739</v>
      </c>
      <c r="H280" t="s">
        <v>251</v>
      </c>
      <c r="I280" t="str">
        <f>VLOOKUP(H280,Sheet2!$A$2:$B$459, 2, FALSE)</f>
        <v>EN</v>
      </c>
      <c r="J280">
        <v>1030324500</v>
      </c>
      <c r="K280">
        <v>1311776100</v>
      </c>
      <c r="L280">
        <v>1030.3244999999999</v>
      </c>
      <c r="M280">
        <v>2342.1006000000002</v>
      </c>
      <c r="N280" s="6">
        <f t="shared" si="18"/>
        <v>0.43991470733579924</v>
      </c>
      <c r="O280" s="7">
        <f>N280-F280</f>
        <v>-9.2355862624238227E-8</v>
      </c>
    </row>
    <row r="281" spans="1:15" x14ac:dyDescent="0.25">
      <c r="A281" s="1" t="s">
        <v>252</v>
      </c>
      <c r="B281" s="2">
        <v>4719537900</v>
      </c>
      <c r="C281" s="2">
        <v>4008713400</v>
      </c>
      <c r="D281">
        <f t="shared" si="19"/>
        <v>4719.5379000000003</v>
      </c>
      <c r="E281" s="11">
        <f t="shared" si="16"/>
        <v>8728.2512999999999</v>
      </c>
      <c r="F281" s="6">
        <f t="shared" si="17"/>
        <v>0.54071975448277942</v>
      </c>
      <c r="G281" t="s">
        <v>740</v>
      </c>
      <c r="H281" t="s">
        <v>252</v>
      </c>
      <c r="I281" t="str">
        <f>VLOOKUP(H281,Sheet2!$A$2:$B$459, 2, FALSE)</f>
        <v>EN</v>
      </c>
      <c r="J281">
        <v>4719538800</v>
      </c>
      <c r="K281">
        <v>4008716100</v>
      </c>
      <c r="L281">
        <v>4719.5388000000003</v>
      </c>
      <c r="M281">
        <v>8728.2548999999999</v>
      </c>
      <c r="N281" s="6">
        <f t="shared" si="18"/>
        <v>0.54071963457437522</v>
      </c>
      <c r="O281" s="7">
        <f>N281-F281</f>
        <v>-1.1990840420583737E-7</v>
      </c>
    </row>
    <row r="282" spans="1:15" x14ac:dyDescent="0.25">
      <c r="A282" s="1" t="s">
        <v>253</v>
      </c>
      <c r="B282" s="2">
        <v>155312100</v>
      </c>
      <c r="C282" s="2">
        <v>337604400</v>
      </c>
      <c r="D282">
        <f t="shared" si="19"/>
        <v>155.31209999999999</v>
      </c>
      <c r="E282" s="11">
        <f t="shared" si="16"/>
        <v>492.91649999999998</v>
      </c>
      <c r="F282" s="6">
        <f t="shared" si="17"/>
        <v>0.31508805243890192</v>
      </c>
      <c r="G282" t="s">
        <v>741</v>
      </c>
      <c r="H282" t="s">
        <v>253</v>
      </c>
      <c r="I282" t="str">
        <f>VLOOKUP(H282,Sheet2!$A$2:$B$459, 2, FALSE)</f>
        <v>CR</v>
      </c>
      <c r="J282">
        <v>155310300</v>
      </c>
      <c r="K282">
        <v>337604400</v>
      </c>
      <c r="L282">
        <v>155.31030000000001</v>
      </c>
      <c r="M282">
        <v>492.91469999999998</v>
      </c>
      <c r="N282" s="6">
        <f t="shared" si="18"/>
        <v>0.31508555131344229</v>
      </c>
      <c r="O282" s="7">
        <f>N282-F282</f>
        <v>-2.5011254596307708E-6</v>
      </c>
    </row>
    <row r="283" spans="1:15" x14ac:dyDescent="0.25">
      <c r="A283" s="1" t="s">
        <v>254</v>
      </c>
      <c r="B283" s="2">
        <v>2178491400</v>
      </c>
      <c r="C283" s="2">
        <v>3103061400</v>
      </c>
      <c r="D283">
        <f t="shared" si="19"/>
        <v>2178.4913999999999</v>
      </c>
      <c r="E283" s="11">
        <f t="shared" si="16"/>
        <v>5281.5528000000004</v>
      </c>
      <c r="F283" s="6">
        <f t="shared" si="17"/>
        <v>0.41247176398577329</v>
      </c>
      <c r="G283" t="s">
        <v>742</v>
      </c>
      <c r="H283" t="s">
        <v>254</v>
      </c>
      <c r="I283" t="str">
        <f>VLOOKUP(H283,Sheet2!$A$2:$B$459, 2, FALSE)</f>
        <v>EN</v>
      </c>
      <c r="J283">
        <v>2178496800</v>
      </c>
      <c r="K283">
        <v>3103068600</v>
      </c>
      <c r="L283">
        <v>2178.4967999999999</v>
      </c>
      <c r="M283">
        <v>5281.5654000000004</v>
      </c>
      <c r="N283" s="6">
        <f t="shared" si="18"/>
        <v>0.41247180239404019</v>
      </c>
      <c r="O283" s="7">
        <f>N283-F283</f>
        <v>3.8408266900269439E-8</v>
      </c>
    </row>
    <row r="284" spans="1:15" x14ac:dyDescent="0.25">
      <c r="A284" s="1" t="s">
        <v>255</v>
      </c>
      <c r="B284" s="2">
        <v>3739949100</v>
      </c>
      <c r="C284" s="2">
        <v>2397290400</v>
      </c>
      <c r="D284">
        <f t="shared" si="19"/>
        <v>3739.9490999999998</v>
      </c>
      <c r="E284" s="11">
        <f t="shared" si="16"/>
        <v>6137.2394999999997</v>
      </c>
      <c r="F284" s="6">
        <f t="shared" si="17"/>
        <v>0.60938620694206247</v>
      </c>
      <c r="G284" t="s">
        <v>743</v>
      </c>
      <c r="H284" t="s">
        <v>255</v>
      </c>
      <c r="I284" t="str">
        <f>VLOOKUP(H284,Sheet2!$A$2:$B$459, 2, FALSE)</f>
        <v>LC</v>
      </c>
      <c r="J284">
        <v>3739947300</v>
      </c>
      <c r="K284">
        <v>2397290400</v>
      </c>
      <c r="L284">
        <v>3739.9472999999998</v>
      </c>
      <c r="M284">
        <v>6137.2376999999997</v>
      </c>
      <c r="N284" s="6">
        <f t="shared" si="18"/>
        <v>0.60938609237833496</v>
      </c>
      <c r="O284" s="7">
        <f>N284-F284</f>
        <v>-1.1456372750462407E-7</v>
      </c>
    </row>
    <row r="285" spans="1:15" x14ac:dyDescent="0.25">
      <c r="A285" s="1" t="s">
        <v>256</v>
      </c>
      <c r="B285" s="2">
        <v>3003810300</v>
      </c>
      <c r="C285" s="2">
        <v>602522100</v>
      </c>
      <c r="D285">
        <f t="shared" si="19"/>
        <v>3003.8103000000001</v>
      </c>
      <c r="E285" s="11">
        <f t="shared" si="16"/>
        <v>3606.3323999999998</v>
      </c>
      <c r="F285" s="6">
        <f t="shared" si="17"/>
        <v>0.83292663205421669</v>
      </c>
      <c r="G285" t="s">
        <v>744</v>
      </c>
      <c r="H285" t="s">
        <v>256</v>
      </c>
      <c r="I285" t="str">
        <f>VLOOKUP(H285,Sheet2!$A$2:$B$459, 2, FALSE)</f>
        <v>LC</v>
      </c>
      <c r="J285">
        <v>3003812100</v>
      </c>
      <c r="K285">
        <v>602522100</v>
      </c>
      <c r="L285">
        <v>3003.8121000000001</v>
      </c>
      <c r="M285">
        <v>3606.3341999999998</v>
      </c>
      <c r="N285" s="6">
        <f t="shared" si="18"/>
        <v>0.83292671544417607</v>
      </c>
      <c r="O285" s="7">
        <f>N285-F285</f>
        <v>8.3389959382174084E-8</v>
      </c>
    </row>
    <row r="286" spans="1:15" x14ac:dyDescent="0.25">
      <c r="A286" s="1" t="s">
        <v>155</v>
      </c>
      <c r="B286" s="2">
        <v>4174213500</v>
      </c>
      <c r="C286" s="2">
        <v>68058900</v>
      </c>
      <c r="D286">
        <f t="shared" si="19"/>
        <v>4174.2134999999998</v>
      </c>
      <c r="E286" s="11">
        <f t="shared" si="16"/>
        <v>4242.2723999999998</v>
      </c>
      <c r="F286" s="6">
        <f t="shared" si="17"/>
        <v>0.98395697079706623</v>
      </c>
      <c r="G286" t="s">
        <v>745</v>
      </c>
      <c r="H286" t="s">
        <v>155</v>
      </c>
      <c r="I286" t="str">
        <f>VLOOKUP(H286,Sheet2!$A$2:$B$459, 2, FALSE)</f>
        <v>LC</v>
      </c>
      <c r="J286">
        <v>4174208100</v>
      </c>
      <c r="K286">
        <v>68058900</v>
      </c>
      <c r="L286">
        <v>4174.2080999999998</v>
      </c>
      <c r="M286">
        <v>4242.2669999999998</v>
      </c>
      <c r="N286" s="6">
        <f t="shared" si="18"/>
        <v>0.98395695037582498</v>
      </c>
      <c r="O286" s="7">
        <f>N286-F286</f>
        <v>-2.042124125356537E-8</v>
      </c>
    </row>
    <row r="287" spans="1:15" x14ac:dyDescent="0.25">
      <c r="A287" s="1" t="s">
        <v>257</v>
      </c>
      <c r="B287" s="2">
        <v>1409764500</v>
      </c>
      <c r="C287" s="2">
        <v>24120900</v>
      </c>
      <c r="D287">
        <f t="shared" si="19"/>
        <v>1409.7645</v>
      </c>
      <c r="E287" s="11">
        <f t="shared" si="16"/>
        <v>1433.8853999999999</v>
      </c>
      <c r="F287" s="6">
        <f t="shared" si="17"/>
        <v>0.98317794434618</v>
      </c>
      <c r="G287" t="s">
        <v>746</v>
      </c>
      <c r="H287" t="s">
        <v>257</v>
      </c>
      <c r="I287" t="str">
        <f>VLOOKUP(H287,Sheet2!$A$2:$B$459, 2, FALSE)</f>
        <v>LC</v>
      </c>
      <c r="J287">
        <v>1409650200</v>
      </c>
      <c r="K287">
        <v>24120900</v>
      </c>
      <c r="L287">
        <v>1409.6502</v>
      </c>
      <c r="M287">
        <v>1433.7710999999999</v>
      </c>
      <c r="N287" s="6">
        <f t="shared" si="18"/>
        <v>0.98317660329462642</v>
      </c>
      <c r="O287" s="7">
        <f>N287-F287</f>
        <v>-1.3410515535827727E-6</v>
      </c>
    </row>
    <row r="288" spans="1:15" x14ac:dyDescent="0.25">
      <c r="A288" s="1" t="s">
        <v>258</v>
      </c>
      <c r="B288" s="2">
        <v>1359322200</v>
      </c>
      <c r="C288" s="2">
        <v>1664926200</v>
      </c>
      <c r="D288">
        <f t="shared" si="19"/>
        <v>1359.3222000000001</v>
      </c>
      <c r="E288" s="11">
        <f t="shared" si="16"/>
        <v>3024.2483999999999</v>
      </c>
      <c r="F288" s="6">
        <f t="shared" si="17"/>
        <v>0.4494743884133327</v>
      </c>
      <c r="G288" t="s">
        <v>747</v>
      </c>
      <c r="H288" t="s">
        <v>258</v>
      </c>
      <c r="I288" t="str">
        <f>VLOOKUP(H288,Sheet2!$A$2:$B$459, 2, FALSE)</f>
        <v>VU</v>
      </c>
      <c r="J288">
        <v>1359329400</v>
      </c>
      <c r="K288">
        <v>1664928000</v>
      </c>
      <c r="L288">
        <v>1359.3294000000001</v>
      </c>
      <c r="M288">
        <v>3024.2574</v>
      </c>
      <c r="N288" s="6">
        <f t="shared" si="18"/>
        <v>0.44947543155552833</v>
      </c>
      <c r="O288" s="7">
        <f>N288-F288</f>
        <v>1.0431421956225151E-6</v>
      </c>
    </row>
    <row r="289" spans="1:15" x14ac:dyDescent="0.25">
      <c r="A289" s="1" t="s">
        <v>389</v>
      </c>
      <c r="B289" s="2">
        <v>1246792500</v>
      </c>
      <c r="C289" s="2">
        <v>298694700</v>
      </c>
      <c r="D289">
        <f t="shared" si="19"/>
        <v>1246.7925</v>
      </c>
      <c r="E289" s="11">
        <f t="shared" si="16"/>
        <v>1545.4872</v>
      </c>
      <c r="F289" s="6">
        <f t="shared" si="17"/>
        <v>0.80673104248291416</v>
      </c>
      <c r="G289" t="s">
        <v>748</v>
      </c>
      <c r="H289" t="s">
        <v>389</v>
      </c>
      <c r="I289" t="str">
        <f>VLOOKUP(H289,Sheet2!$A$2:$B$459, 2, FALSE)</f>
        <v>LC</v>
      </c>
      <c r="J289">
        <v>1246793400</v>
      </c>
      <c r="K289">
        <v>298694700</v>
      </c>
      <c r="L289">
        <v>1246.7934</v>
      </c>
      <c r="M289">
        <v>1545.4881</v>
      </c>
      <c r="N289" s="6">
        <f t="shared" si="18"/>
        <v>0.8067311550312164</v>
      </c>
      <c r="O289" s="7">
        <f>N289-F289</f>
        <v>1.1254830223350609E-7</v>
      </c>
    </row>
    <row r="290" spans="1:15" x14ac:dyDescent="0.25">
      <c r="A290" s="1" t="s">
        <v>259</v>
      </c>
      <c r="B290" s="2">
        <v>2293330500</v>
      </c>
      <c r="C290" s="2">
        <v>3987253800</v>
      </c>
      <c r="D290">
        <f t="shared" si="19"/>
        <v>2293.3305</v>
      </c>
      <c r="E290" s="11">
        <f t="shared" si="16"/>
        <v>6280.5843000000004</v>
      </c>
      <c r="F290" s="6">
        <f t="shared" si="17"/>
        <v>0.36514604222412872</v>
      </c>
      <c r="G290" t="s">
        <v>749</v>
      </c>
      <c r="H290" t="s">
        <v>259</v>
      </c>
      <c r="I290" t="str">
        <f>VLOOKUP(H290,Sheet2!$A$2:$B$459, 2, FALSE)</f>
        <v>VU</v>
      </c>
      <c r="J290">
        <v>2293327800</v>
      </c>
      <c r="K290">
        <v>3987261000</v>
      </c>
      <c r="L290">
        <v>2293.3278</v>
      </c>
      <c r="M290">
        <v>6280.5888000000004</v>
      </c>
      <c r="N290" s="6">
        <f t="shared" si="18"/>
        <v>0.36514535070342446</v>
      </c>
      <c r="O290" s="7">
        <f>N290-F290</f>
        <v>-6.915207042546001E-7</v>
      </c>
    </row>
    <row r="291" spans="1:15" x14ac:dyDescent="0.25">
      <c r="A291" s="1" t="s">
        <v>390</v>
      </c>
      <c r="B291" s="2">
        <v>1568422800</v>
      </c>
      <c r="C291" s="2">
        <v>173864700</v>
      </c>
      <c r="D291">
        <f t="shared" si="19"/>
        <v>1568.4228000000001</v>
      </c>
      <c r="E291" s="11">
        <f t="shared" si="16"/>
        <v>1742.2874999999999</v>
      </c>
      <c r="F291" s="6">
        <f t="shared" si="17"/>
        <v>0.90020894944146701</v>
      </c>
      <c r="G291" t="s">
        <v>750</v>
      </c>
      <c r="H291" t="s">
        <v>390</v>
      </c>
      <c r="I291" t="str">
        <f>VLOOKUP(H291,Sheet2!$A$2:$B$459, 2, FALSE)</f>
        <v>LC</v>
      </c>
      <c r="J291">
        <v>1568418300</v>
      </c>
      <c r="K291">
        <v>173864700</v>
      </c>
      <c r="L291">
        <v>1568.4183</v>
      </c>
      <c r="M291">
        <v>1742.2829999999999</v>
      </c>
      <c r="N291" s="6">
        <f t="shared" si="18"/>
        <v>0.90020869169933937</v>
      </c>
      <c r="O291" s="7">
        <f>N291-F291</f>
        <v>-2.5774212764062554E-7</v>
      </c>
    </row>
    <row r="292" spans="1:15" x14ac:dyDescent="0.25">
      <c r="A292" s="1" t="s">
        <v>391</v>
      </c>
      <c r="B292" s="2">
        <v>4262985000</v>
      </c>
      <c r="C292" s="2">
        <v>3177223200</v>
      </c>
      <c r="D292">
        <f t="shared" si="19"/>
        <v>4262.9849999999997</v>
      </c>
      <c r="E292" s="11">
        <f t="shared" si="16"/>
        <v>7440.2082</v>
      </c>
      <c r="F292" s="6">
        <f t="shared" si="17"/>
        <v>0.57296582103710481</v>
      </c>
      <c r="G292" t="s">
        <v>751</v>
      </c>
      <c r="H292" t="s">
        <v>391</v>
      </c>
      <c r="I292" t="str">
        <f>VLOOKUP(H292,Sheet2!$A$2:$B$459, 2, FALSE)</f>
        <v>VU</v>
      </c>
      <c r="J292">
        <v>4262977800</v>
      </c>
      <c r="K292">
        <v>3177225900</v>
      </c>
      <c r="L292">
        <v>4262.9777999999997</v>
      </c>
      <c r="M292">
        <v>7440.2037</v>
      </c>
      <c r="N292" s="6">
        <f t="shared" si="18"/>
        <v>0.57296519986408434</v>
      </c>
      <c r="O292" s="7">
        <f>N292-F292</f>
        <v>-6.2117302046527101E-7</v>
      </c>
    </row>
    <row r="293" spans="1:15" x14ac:dyDescent="0.25">
      <c r="A293" s="1" t="s">
        <v>260</v>
      </c>
      <c r="B293" s="2">
        <v>3281665500</v>
      </c>
      <c r="C293" s="2">
        <v>1945819800</v>
      </c>
      <c r="D293">
        <f t="shared" si="19"/>
        <v>3281.6655000000001</v>
      </c>
      <c r="E293" s="11">
        <f t="shared" si="16"/>
        <v>5227.4853000000003</v>
      </c>
      <c r="F293" s="6">
        <f t="shared" si="17"/>
        <v>0.62777134925659184</v>
      </c>
      <c r="G293" t="s">
        <v>752</v>
      </c>
      <c r="H293" t="s">
        <v>260</v>
      </c>
      <c r="I293" t="str">
        <f>VLOOKUP(H293,Sheet2!$A$2:$B$459, 2, FALSE)</f>
        <v>LC</v>
      </c>
      <c r="J293">
        <v>3281667300</v>
      </c>
      <c r="K293">
        <v>1945818900</v>
      </c>
      <c r="L293">
        <v>3281.6673000000001</v>
      </c>
      <c r="M293">
        <v>5227.4862000000003</v>
      </c>
      <c r="N293" s="6">
        <f t="shared" si="18"/>
        <v>0.62777158550892009</v>
      </c>
      <c r="O293" s="7">
        <f>N293-F293</f>
        <v>2.3625232825619236E-7</v>
      </c>
    </row>
    <row r="294" spans="1:15" x14ac:dyDescent="0.25">
      <c r="A294" s="1" t="s">
        <v>392</v>
      </c>
      <c r="B294" s="2">
        <v>2287065600</v>
      </c>
      <c r="C294" s="2">
        <v>2366602200</v>
      </c>
      <c r="D294">
        <f t="shared" si="19"/>
        <v>2287.0655999999999</v>
      </c>
      <c r="E294" s="11">
        <f t="shared" si="16"/>
        <v>4653.6678000000002</v>
      </c>
      <c r="F294" s="6">
        <f t="shared" si="17"/>
        <v>0.49145441795394162</v>
      </c>
      <c r="G294" t="s">
        <v>753</v>
      </c>
      <c r="H294" t="s">
        <v>392</v>
      </c>
      <c r="I294" t="str">
        <f>VLOOKUP(H294,Sheet2!$A$2:$B$459, 2, FALSE)</f>
        <v>EN</v>
      </c>
      <c r="J294">
        <v>2287067400</v>
      </c>
      <c r="K294">
        <v>2366601300</v>
      </c>
      <c r="L294">
        <v>2287.0673999999999</v>
      </c>
      <c r="M294">
        <v>4653.6687000000002</v>
      </c>
      <c r="N294" s="6">
        <f t="shared" si="18"/>
        <v>0.49145470970032734</v>
      </c>
      <c r="O294" s="7">
        <f>N294-F294</f>
        <v>2.9174638571660694E-7</v>
      </c>
    </row>
    <row r="295" spans="1:15" x14ac:dyDescent="0.25">
      <c r="A295" s="1" t="s">
        <v>393</v>
      </c>
      <c r="B295" s="2">
        <v>1683755100</v>
      </c>
      <c r="C295" s="2">
        <v>1178670600</v>
      </c>
      <c r="D295">
        <f t="shared" si="19"/>
        <v>1683.7551000000001</v>
      </c>
      <c r="E295" s="11">
        <f t="shared" si="16"/>
        <v>2862.4256999999998</v>
      </c>
      <c r="F295" s="6">
        <f t="shared" si="17"/>
        <v>0.58822665685261277</v>
      </c>
      <c r="G295" t="s">
        <v>754</v>
      </c>
      <c r="H295" t="s">
        <v>393</v>
      </c>
      <c r="I295" t="str">
        <f>VLOOKUP(H295,Sheet2!$A$2:$B$459, 2, FALSE)</f>
        <v>EN</v>
      </c>
      <c r="J295">
        <v>1683761400</v>
      </c>
      <c r="K295">
        <v>1178669700</v>
      </c>
      <c r="L295">
        <v>1683.7614000000001</v>
      </c>
      <c r="M295">
        <v>2862.4310999999998</v>
      </c>
      <c r="N295" s="6">
        <f t="shared" si="18"/>
        <v>0.58822774808448675</v>
      </c>
      <c r="O295" s="7">
        <f>N295-F295</f>
        <v>1.0912318739730864E-6</v>
      </c>
    </row>
    <row r="296" spans="1:15" x14ac:dyDescent="0.25">
      <c r="A296" s="1" t="s">
        <v>261</v>
      </c>
      <c r="B296" s="2">
        <v>2057894100</v>
      </c>
      <c r="C296" s="2">
        <v>4914340200</v>
      </c>
      <c r="D296">
        <f t="shared" si="19"/>
        <v>2057.8941</v>
      </c>
      <c r="E296" s="11">
        <f t="shared" si="16"/>
        <v>6972.2343000000001</v>
      </c>
      <c r="F296" s="6">
        <f t="shared" si="17"/>
        <v>0.29515561460692735</v>
      </c>
      <c r="G296" t="s">
        <v>755</v>
      </c>
      <c r="H296" t="s">
        <v>261</v>
      </c>
      <c r="I296" t="str">
        <f>VLOOKUP(H296,Sheet2!$A$2:$B$459, 2, FALSE)</f>
        <v>EN</v>
      </c>
      <c r="J296">
        <v>2057898600</v>
      </c>
      <c r="K296">
        <v>4914342000</v>
      </c>
      <c r="L296">
        <v>2057.8986</v>
      </c>
      <c r="M296">
        <v>6972.2406000000001</v>
      </c>
      <c r="N296" s="6">
        <f t="shared" si="18"/>
        <v>0.29515599332587578</v>
      </c>
      <c r="O296" s="7">
        <f>N296-F296</f>
        <v>3.7871894842389509E-7</v>
      </c>
    </row>
    <row r="297" spans="1:15" x14ac:dyDescent="0.25">
      <c r="A297" s="1" t="s">
        <v>291</v>
      </c>
      <c r="B297" s="2">
        <v>4641462000</v>
      </c>
      <c r="C297" s="2">
        <v>29666700</v>
      </c>
      <c r="D297">
        <f t="shared" si="19"/>
        <v>4641.4620000000004</v>
      </c>
      <c r="E297" s="11">
        <f t="shared" si="16"/>
        <v>4671.1287000000002</v>
      </c>
      <c r="F297" s="6">
        <f t="shared" si="17"/>
        <v>0.99364892258267257</v>
      </c>
      <c r="G297" t="s">
        <v>756</v>
      </c>
      <c r="H297" t="s">
        <v>291</v>
      </c>
      <c r="I297" t="str">
        <f>VLOOKUP(H297,Sheet2!$A$2:$B$459, 2, FALSE)</f>
        <v>LC</v>
      </c>
      <c r="J297">
        <v>4641463800</v>
      </c>
      <c r="K297">
        <v>29666700</v>
      </c>
      <c r="L297">
        <v>4641.4638000000004</v>
      </c>
      <c r="M297">
        <v>4671.1305000000002</v>
      </c>
      <c r="N297" s="6">
        <f t="shared" si="18"/>
        <v>0.99364892503003288</v>
      </c>
      <c r="O297" s="7">
        <f>N297-F297</f>
        <v>2.4473603144059553E-9</v>
      </c>
    </row>
    <row r="298" spans="1:15" x14ac:dyDescent="0.25">
      <c r="A298" s="1" t="s">
        <v>292</v>
      </c>
      <c r="B298" s="2">
        <v>601919100</v>
      </c>
      <c r="C298" s="2">
        <v>5544900</v>
      </c>
      <c r="D298">
        <f t="shared" si="19"/>
        <v>601.91909999999996</v>
      </c>
      <c r="E298" s="11">
        <f t="shared" si="16"/>
        <v>607.46400000000006</v>
      </c>
      <c r="F298" s="6">
        <f t="shared" si="17"/>
        <v>0.99087205167713643</v>
      </c>
      <c r="G298" t="s">
        <v>757</v>
      </c>
      <c r="H298" t="s">
        <v>292</v>
      </c>
      <c r="I298" t="str">
        <f>VLOOKUP(H298,Sheet2!$A$2:$B$459, 2, FALSE)</f>
        <v>LC</v>
      </c>
      <c r="J298">
        <v>601919100</v>
      </c>
      <c r="K298">
        <v>5544900</v>
      </c>
      <c r="L298">
        <v>601.91909999999996</v>
      </c>
      <c r="M298">
        <v>607.46400000000006</v>
      </c>
      <c r="N298" s="6">
        <f t="shared" si="18"/>
        <v>0.99087205167713621</v>
      </c>
      <c r="O298" s="7">
        <f>N298-F298</f>
        <v>0</v>
      </c>
    </row>
    <row r="299" spans="1:15" x14ac:dyDescent="0.25">
      <c r="A299" s="1" t="s">
        <v>156</v>
      </c>
      <c r="B299" s="2">
        <v>41007920400</v>
      </c>
      <c r="C299" s="2">
        <v>243773100</v>
      </c>
      <c r="D299">
        <f t="shared" si="19"/>
        <v>41007.920400000003</v>
      </c>
      <c r="E299" s="11">
        <f t="shared" si="16"/>
        <v>41251.693500000001</v>
      </c>
      <c r="F299" s="6">
        <f t="shared" si="17"/>
        <v>0.99409059169898084</v>
      </c>
      <c r="G299" t="s">
        <v>758</v>
      </c>
      <c r="H299" t="s">
        <v>156</v>
      </c>
      <c r="I299" t="str">
        <f>VLOOKUP(H299,Sheet2!$A$2:$B$459, 2, FALSE)</f>
        <v>LC</v>
      </c>
      <c r="J299">
        <v>41007921300</v>
      </c>
      <c r="K299">
        <v>243773100</v>
      </c>
      <c r="L299">
        <v>41007.921300000002</v>
      </c>
      <c r="M299">
        <v>41251.6944</v>
      </c>
      <c r="N299" s="6">
        <f t="shared" si="18"/>
        <v>0.99409059182790804</v>
      </c>
      <c r="O299" s="7">
        <f>N299-F299</f>
        <v>1.2892720224755294E-10</v>
      </c>
    </row>
    <row r="300" spans="1:15" x14ac:dyDescent="0.25">
      <c r="A300" s="1" t="s">
        <v>157</v>
      </c>
      <c r="B300" s="2">
        <v>2672973000</v>
      </c>
      <c r="C300" s="2">
        <v>4247100</v>
      </c>
      <c r="D300">
        <f t="shared" si="19"/>
        <v>2672.973</v>
      </c>
      <c r="E300" s="11">
        <f t="shared" si="16"/>
        <v>2677.2201</v>
      </c>
      <c r="F300" s="6">
        <f t="shared" si="17"/>
        <v>0.99841361567545384</v>
      </c>
      <c r="G300" t="s">
        <v>759</v>
      </c>
      <c r="H300" t="s">
        <v>157</v>
      </c>
      <c r="I300" t="str">
        <f>VLOOKUP(H300,Sheet2!$A$2:$B$459, 2, FALSE)</f>
        <v>LC</v>
      </c>
      <c r="J300">
        <v>2672975700</v>
      </c>
      <c r="K300">
        <v>4247100</v>
      </c>
      <c r="L300">
        <v>2672.9757</v>
      </c>
      <c r="M300">
        <v>2677.2228</v>
      </c>
      <c r="N300" s="6">
        <f t="shared" si="18"/>
        <v>0.99841361727533473</v>
      </c>
      <c r="O300" s="7">
        <f>N300-F300</f>
        <v>1.5998808944317489E-9</v>
      </c>
    </row>
    <row r="301" spans="1:15" x14ac:dyDescent="0.25">
      <c r="A301" s="1" t="s">
        <v>293</v>
      </c>
      <c r="B301" s="2">
        <v>8565202800</v>
      </c>
      <c r="C301" s="2">
        <v>68949000</v>
      </c>
      <c r="D301">
        <f t="shared" si="19"/>
        <v>8565.2027999999991</v>
      </c>
      <c r="E301" s="11">
        <f t="shared" si="16"/>
        <v>8634.1517999999996</v>
      </c>
      <c r="F301" s="6">
        <f t="shared" si="17"/>
        <v>0.99201438640446415</v>
      </c>
      <c r="G301" t="s">
        <v>760</v>
      </c>
      <c r="H301" t="s">
        <v>293</v>
      </c>
      <c r="I301" t="str">
        <f>VLOOKUP(H301,Sheet2!$A$2:$B$459, 2, FALSE)</f>
        <v>LC</v>
      </c>
      <c r="J301">
        <v>8565195600</v>
      </c>
      <c r="K301">
        <v>68949000</v>
      </c>
      <c r="L301">
        <v>8565.1955999999991</v>
      </c>
      <c r="M301">
        <v>8634.1445999999996</v>
      </c>
      <c r="N301" s="6">
        <f t="shared" si="18"/>
        <v>0.99201437974527318</v>
      </c>
      <c r="O301" s="7">
        <f>N301-F301</f>
        <v>-6.6591909764213142E-9</v>
      </c>
    </row>
    <row r="302" spans="1:15" x14ac:dyDescent="0.25">
      <c r="A302" s="1" t="s">
        <v>158</v>
      </c>
      <c r="B302" s="2">
        <v>41004843300</v>
      </c>
      <c r="C302" s="2">
        <v>245977200</v>
      </c>
      <c r="D302">
        <f t="shared" si="19"/>
        <v>41004.8433</v>
      </c>
      <c r="E302" s="11">
        <f t="shared" si="16"/>
        <v>41250.820500000002</v>
      </c>
      <c r="F302" s="6">
        <f t="shared" si="17"/>
        <v>0.99403703497243168</v>
      </c>
      <c r="G302" t="s">
        <v>761</v>
      </c>
      <c r="H302" t="s">
        <v>158</v>
      </c>
      <c r="I302" t="str">
        <f>VLOOKUP(H302,Sheet2!$A$2:$B$459, 2, FALSE)</f>
        <v>LC</v>
      </c>
      <c r="J302">
        <v>41004855000</v>
      </c>
      <c r="K302">
        <v>245976300</v>
      </c>
      <c r="L302">
        <v>41004.855000000003</v>
      </c>
      <c r="M302">
        <v>41250.831299999998</v>
      </c>
      <c r="N302" s="6">
        <f t="shared" si="18"/>
        <v>0.99403705835135514</v>
      </c>
      <c r="O302" s="7">
        <f>N302-F302</f>
        <v>2.3378923463823753E-8</v>
      </c>
    </row>
    <row r="303" spans="1:15" x14ac:dyDescent="0.25">
      <c r="A303" s="1" t="s">
        <v>159</v>
      </c>
      <c r="B303" s="2">
        <v>20118418200</v>
      </c>
      <c r="C303" s="2">
        <v>87477300</v>
      </c>
      <c r="D303">
        <f t="shared" si="19"/>
        <v>20118.4182</v>
      </c>
      <c r="E303" s="11">
        <f t="shared" si="16"/>
        <v>20205.895499999999</v>
      </c>
      <c r="F303" s="6">
        <f t="shared" si="17"/>
        <v>0.99567070412692182</v>
      </c>
      <c r="G303" t="s">
        <v>762</v>
      </c>
      <c r="H303" t="s">
        <v>159</v>
      </c>
      <c r="I303" t="str">
        <f>VLOOKUP(H303,Sheet2!$A$2:$B$459, 2, FALSE)</f>
        <v>LC</v>
      </c>
      <c r="J303">
        <v>20118415500</v>
      </c>
      <c r="K303">
        <v>87477300</v>
      </c>
      <c r="L303">
        <v>20118.415499999999</v>
      </c>
      <c r="M303">
        <v>20205.892800000001</v>
      </c>
      <c r="N303" s="6">
        <f t="shared" si="18"/>
        <v>0.99567070354842213</v>
      </c>
      <c r="O303" s="7">
        <f>N303-F303</f>
        <v>-5.7849969259393674E-10</v>
      </c>
    </row>
    <row r="304" spans="1:15" x14ac:dyDescent="0.25">
      <c r="A304" s="1" t="s">
        <v>160</v>
      </c>
      <c r="B304" s="2">
        <v>8188057800</v>
      </c>
      <c r="C304" s="2">
        <v>133214400</v>
      </c>
      <c r="D304">
        <f t="shared" si="19"/>
        <v>8188.0577999999996</v>
      </c>
      <c r="E304" s="11">
        <f t="shared" si="16"/>
        <v>8321.2721999999994</v>
      </c>
      <c r="F304" s="6">
        <f t="shared" si="17"/>
        <v>0.98399110174523552</v>
      </c>
      <c r="G304" t="s">
        <v>763</v>
      </c>
      <c r="H304" t="s">
        <v>160</v>
      </c>
      <c r="I304" t="str">
        <f>VLOOKUP(H304,Sheet2!$A$2:$B$459, 2, FALSE)</f>
        <v>LC</v>
      </c>
      <c r="J304">
        <v>8188059600</v>
      </c>
      <c r="K304">
        <v>133214400</v>
      </c>
      <c r="L304">
        <v>8188.0595999999996</v>
      </c>
      <c r="M304">
        <v>8321.2739999999994</v>
      </c>
      <c r="N304" s="6">
        <f t="shared" si="18"/>
        <v>0.9839911052081689</v>
      </c>
      <c r="O304" s="7">
        <f>N304-F304</f>
        <v>3.4629333844904409E-9</v>
      </c>
    </row>
    <row r="305" spans="1:15" x14ac:dyDescent="0.25">
      <c r="A305" s="1" t="s">
        <v>266</v>
      </c>
      <c r="B305" s="2">
        <v>685629900</v>
      </c>
      <c r="C305" s="2">
        <v>57031200</v>
      </c>
      <c r="D305">
        <f t="shared" si="19"/>
        <v>685.62990000000002</v>
      </c>
      <c r="E305" s="11">
        <f t="shared" si="16"/>
        <v>742.66110000000003</v>
      </c>
      <c r="F305" s="6">
        <f t="shared" si="17"/>
        <v>0.92320696479188147</v>
      </c>
      <c r="G305" t="s">
        <v>764</v>
      </c>
      <c r="H305" t="s">
        <v>266</v>
      </c>
      <c r="I305" t="str">
        <f>VLOOKUP(H305,Sheet2!$A$2:$B$459, 2, FALSE)</f>
        <v>LC</v>
      </c>
      <c r="J305">
        <v>685556100</v>
      </c>
      <c r="K305">
        <v>57088800</v>
      </c>
      <c r="L305">
        <v>685.55610000000001</v>
      </c>
      <c r="M305">
        <v>742.64490000000001</v>
      </c>
      <c r="N305" s="6">
        <f t="shared" si="18"/>
        <v>0.92312772901288354</v>
      </c>
      <c r="O305" s="7">
        <f>N305-F305</f>
        <v>-7.9235778997932549E-5</v>
      </c>
    </row>
    <row r="306" spans="1:15" x14ac:dyDescent="0.25">
      <c r="A306" s="1" t="s">
        <v>161</v>
      </c>
      <c r="B306" s="2">
        <v>17006553900</v>
      </c>
      <c r="C306" s="2">
        <v>142850700</v>
      </c>
      <c r="D306">
        <f t="shared" si="19"/>
        <v>17006.553899999999</v>
      </c>
      <c r="E306" s="11">
        <f t="shared" si="16"/>
        <v>17149.404600000002</v>
      </c>
      <c r="F306" s="6">
        <f t="shared" si="17"/>
        <v>0.99167022393302218</v>
      </c>
      <c r="G306" t="s">
        <v>765</v>
      </c>
      <c r="H306" t="s">
        <v>161</v>
      </c>
      <c r="I306" t="str">
        <f>VLOOKUP(H306,Sheet2!$A$2:$B$459, 2, FALSE)</f>
        <v>LC</v>
      </c>
      <c r="J306">
        <v>17006555700</v>
      </c>
      <c r="K306">
        <v>142850700</v>
      </c>
      <c r="L306">
        <v>17006.555700000001</v>
      </c>
      <c r="M306">
        <v>17149.4064</v>
      </c>
      <c r="N306" s="6">
        <f t="shared" si="18"/>
        <v>0.9916702248073147</v>
      </c>
      <c r="O306" s="7">
        <f>N306-F306</f>
        <v>8.7429252726423101E-10</v>
      </c>
    </row>
    <row r="307" spans="1:15" x14ac:dyDescent="0.25">
      <c r="A307" s="1" t="s">
        <v>162</v>
      </c>
      <c r="B307" s="2">
        <v>11709771300</v>
      </c>
      <c r="C307" s="2">
        <v>24563700</v>
      </c>
      <c r="D307">
        <f t="shared" si="19"/>
        <v>11709.7713</v>
      </c>
      <c r="E307" s="11">
        <f t="shared" si="16"/>
        <v>11734.334999999999</v>
      </c>
      <c r="F307" s="6">
        <f t="shared" si="17"/>
        <v>0.9979066815460782</v>
      </c>
      <c r="G307" t="s">
        <v>766</v>
      </c>
      <c r="H307" t="s">
        <v>162</v>
      </c>
      <c r="I307" t="str">
        <f>VLOOKUP(H307,Sheet2!$A$2:$B$459, 2, FALSE)</f>
        <v>LC</v>
      </c>
      <c r="J307">
        <v>11709777600</v>
      </c>
      <c r="K307">
        <v>24563700</v>
      </c>
      <c r="L307">
        <v>11709.777599999999</v>
      </c>
      <c r="M307">
        <v>11734.3413</v>
      </c>
      <c r="N307" s="6">
        <f t="shared" si="18"/>
        <v>0.99790668266995097</v>
      </c>
      <c r="O307" s="7">
        <f>N307-F307</f>
        <v>1.123872772623713E-9</v>
      </c>
    </row>
    <row r="308" spans="1:15" x14ac:dyDescent="0.25">
      <c r="A308" s="1" t="s">
        <v>163</v>
      </c>
      <c r="B308" s="2">
        <v>39883429800</v>
      </c>
      <c r="C308" s="2">
        <v>2390205600</v>
      </c>
      <c r="D308">
        <f t="shared" si="19"/>
        <v>39883.429799999998</v>
      </c>
      <c r="E308" s="11">
        <f t="shared" si="16"/>
        <v>42273.635399999999</v>
      </c>
      <c r="F308" s="6">
        <f t="shared" si="17"/>
        <v>0.94345871658816449</v>
      </c>
      <c r="G308" t="s">
        <v>767</v>
      </c>
      <c r="H308" t="s">
        <v>163</v>
      </c>
      <c r="I308" t="str">
        <f>VLOOKUP(H308,Sheet2!$A$2:$B$459, 2, FALSE)</f>
        <v>LC</v>
      </c>
      <c r="J308">
        <v>39883431600</v>
      </c>
      <c r="K308">
        <v>2390202900</v>
      </c>
      <c r="L308">
        <v>39883.431600000004</v>
      </c>
      <c r="M308">
        <v>42273.6345</v>
      </c>
      <c r="N308" s="6">
        <f t="shared" si="18"/>
        <v>0.94345877925400534</v>
      </c>
      <c r="O308" s="7">
        <f>N308-F308</f>
        <v>6.2665840849795984E-8</v>
      </c>
    </row>
    <row r="309" spans="1:15" x14ac:dyDescent="0.25">
      <c r="A309" s="1" t="s">
        <v>164</v>
      </c>
      <c r="B309" s="2">
        <v>48097747800</v>
      </c>
      <c r="C309" s="2">
        <v>1736483400</v>
      </c>
      <c r="D309">
        <f t="shared" si="19"/>
        <v>48097.747799999997</v>
      </c>
      <c r="E309" s="11">
        <f t="shared" si="16"/>
        <v>49834.231200000002</v>
      </c>
      <c r="F309" s="6">
        <f t="shared" si="17"/>
        <v>0.96515480708368995</v>
      </c>
      <c r="G309" t="s">
        <v>768</v>
      </c>
      <c r="H309" t="s">
        <v>164</v>
      </c>
      <c r="I309" t="str">
        <f>VLOOKUP(H309,Sheet2!$A$2:$B$459, 2, FALSE)</f>
        <v>LC</v>
      </c>
      <c r="J309">
        <v>48097754100</v>
      </c>
      <c r="K309">
        <v>1736481600</v>
      </c>
      <c r="L309">
        <v>48097.754099999998</v>
      </c>
      <c r="M309">
        <v>49834.235699999997</v>
      </c>
      <c r="N309" s="6">
        <f t="shared" si="18"/>
        <v>0.96515484634993609</v>
      </c>
      <c r="O309" s="7">
        <f>N309-F309</f>
        <v>3.9266246143476735E-8</v>
      </c>
    </row>
    <row r="310" spans="1:15" x14ac:dyDescent="0.25">
      <c r="A310" s="1" t="s">
        <v>171</v>
      </c>
      <c r="B310" s="2">
        <v>1670211000</v>
      </c>
      <c r="C310" s="2">
        <v>3641400</v>
      </c>
      <c r="D310">
        <f t="shared" si="19"/>
        <v>1670.211</v>
      </c>
      <c r="E310" s="11">
        <f t="shared" si="16"/>
        <v>1673.8524</v>
      </c>
      <c r="F310" s="6">
        <f t="shared" si="17"/>
        <v>0.99782453936798732</v>
      </c>
      <c r="G310" t="s">
        <v>769</v>
      </c>
      <c r="H310" t="s">
        <v>171</v>
      </c>
      <c r="I310" t="str">
        <f>VLOOKUP(H310,Sheet2!$A$2:$B$459, 2, FALSE)</f>
        <v>LC</v>
      </c>
      <c r="J310">
        <v>1670224500</v>
      </c>
      <c r="K310">
        <v>3641400</v>
      </c>
      <c r="L310">
        <v>1670.2245</v>
      </c>
      <c r="M310">
        <v>1673.8659</v>
      </c>
      <c r="N310" s="6">
        <f t="shared" si="18"/>
        <v>0.99782455691343019</v>
      </c>
      <c r="O310" s="7">
        <f>N310-F310</f>
        <v>1.75454428763544E-8</v>
      </c>
    </row>
    <row r="311" spans="1:15" x14ac:dyDescent="0.25">
      <c r="A311" s="1" t="s">
        <v>172</v>
      </c>
      <c r="B311" s="2">
        <v>129348000</v>
      </c>
      <c r="C311" s="2">
        <v>544500</v>
      </c>
      <c r="D311">
        <f t="shared" si="19"/>
        <v>129.34800000000001</v>
      </c>
      <c r="E311" s="11">
        <f t="shared" si="16"/>
        <v>129.89250000000001</v>
      </c>
      <c r="F311" s="6">
        <f t="shared" si="17"/>
        <v>0.99580807205958777</v>
      </c>
      <c r="G311" t="s">
        <v>770</v>
      </c>
      <c r="H311" t="s">
        <v>172</v>
      </c>
      <c r="I311" t="str">
        <f>VLOOKUP(H311,Sheet2!$A$2:$B$459, 2, FALSE)</f>
        <v>LC</v>
      </c>
      <c r="J311">
        <v>129349800</v>
      </c>
      <c r="K311">
        <v>544500</v>
      </c>
      <c r="L311">
        <v>129.34979999999999</v>
      </c>
      <c r="M311">
        <v>129.89429999999999</v>
      </c>
      <c r="N311" s="6">
        <f t="shared" si="18"/>
        <v>0.99580813014889802</v>
      </c>
      <c r="O311" s="7">
        <f>N311-F311</f>
        <v>5.8089310250863946E-8</v>
      </c>
    </row>
    <row r="312" spans="1:15" x14ac:dyDescent="0.25">
      <c r="A312" s="1" t="s">
        <v>169</v>
      </c>
      <c r="B312" s="2">
        <v>1300647600</v>
      </c>
      <c r="C312" s="2">
        <v>20229300</v>
      </c>
      <c r="D312">
        <f t="shared" si="19"/>
        <v>1300.6476</v>
      </c>
      <c r="E312" s="11">
        <f t="shared" si="16"/>
        <v>1320.8769</v>
      </c>
      <c r="F312" s="6">
        <f t="shared" si="17"/>
        <v>0.98468494679557195</v>
      </c>
      <c r="G312" t="s">
        <v>771</v>
      </c>
      <c r="H312" t="s">
        <v>169</v>
      </c>
      <c r="I312" t="str">
        <f>VLOOKUP(H312,Sheet2!$A$2:$B$459, 2, FALSE)</f>
        <v>LC</v>
      </c>
      <c r="J312">
        <v>1300636800</v>
      </c>
      <c r="K312">
        <v>20227500</v>
      </c>
      <c r="L312">
        <v>1300.6368</v>
      </c>
      <c r="M312">
        <v>1320.8643</v>
      </c>
      <c r="N312" s="6">
        <f t="shared" si="18"/>
        <v>0.98468616344616178</v>
      </c>
      <c r="O312" s="7">
        <f>N312-F312</f>
        <v>1.216650589830337E-6</v>
      </c>
    </row>
    <row r="313" spans="1:15" x14ac:dyDescent="0.25">
      <c r="A313" s="1" t="s">
        <v>173</v>
      </c>
      <c r="B313" s="2">
        <v>980183700</v>
      </c>
      <c r="C313" s="2">
        <v>3394800</v>
      </c>
      <c r="D313">
        <f t="shared" si="19"/>
        <v>980.18370000000004</v>
      </c>
      <c r="E313" s="11">
        <f t="shared" si="16"/>
        <v>983.57849999999996</v>
      </c>
      <c r="F313" s="6">
        <f t="shared" si="17"/>
        <v>0.99654852154657714</v>
      </c>
      <c r="G313" t="s">
        <v>772</v>
      </c>
      <c r="H313" t="s">
        <v>173</v>
      </c>
      <c r="I313" t="str">
        <f>VLOOKUP(H313,Sheet2!$A$2:$B$459, 2, FALSE)</f>
        <v>LC</v>
      </c>
      <c r="J313">
        <v>980185500</v>
      </c>
      <c r="K313">
        <v>3394800</v>
      </c>
      <c r="L313">
        <v>980.18550000000005</v>
      </c>
      <c r="M313">
        <v>983.58029999999997</v>
      </c>
      <c r="N313" s="6">
        <f t="shared" si="18"/>
        <v>0.99654852786295134</v>
      </c>
      <c r="O313" s="7">
        <f>N313-F313</f>
        <v>6.3163742014538116E-9</v>
      </c>
    </row>
    <row r="314" spans="1:15" x14ac:dyDescent="0.25">
      <c r="A314" s="1" t="s">
        <v>174</v>
      </c>
      <c r="B314" s="2">
        <v>834914700</v>
      </c>
      <c r="C314" s="2">
        <v>153617400</v>
      </c>
      <c r="D314">
        <f t="shared" si="19"/>
        <v>834.91470000000004</v>
      </c>
      <c r="E314" s="11">
        <f t="shared" si="16"/>
        <v>988.53210000000001</v>
      </c>
      <c r="F314" s="6">
        <f t="shared" si="17"/>
        <v>0.84460049400520221</v>
      </c>
      <c r="G314" t="s">
        <v>773</v>
      </c>
      <c r="H314" t="s">
        <v>174</v>
      </c>
      <c r="I314" t="str">
        <f>VLOOKUP(H314,Sheet2!$A$2:$B$459, 2, FALSE)</f>
        <v>LC</v>
      </c>
      <c r="J314">
        <v>834916500</v>
      </c>
      <c r="K314">
        <v>153617400</v>
      </c>
      <c r="L314">
        <v>834.91650000000004</v>
      </c>
      <c r="M314">
        <v>988.53390000000002</v>
      </c>
      <c r="N314" s="6">
        <f t="shared" si="18"/>
        <v>0.84460077696880198</v>
      </c>
      <c r="O314" s="7">
        <f>N314-F314</f>
        <v>2.829635997736446E-7</v>
      </c>
    </row>
    <row r="315" spans="1:15" x14ac:dyDescent="0.25">
      <c r="A315" s="1" t="s">
        <v>175</v>
      </c>
      <c r="B315" s="2">
        <v>57214800</v>
      </c>
      <c r="C315" s="2">
        <v>2628000</v>
      </c>
      <c r="D315">
        <f t="shared" si="19"/>
        <v>57.214799999999997</v>
      </c>
      <c r="E315" s="11">
        <f t="shared" si="16"/>
        <v>59.842799999999997</v>
      </c>
      <c r="F315" s="6">
        <f t="shared" si="17"/>
        <v>0.95608494254947962</v>
      </c>
      <c r="G315" t="s">
        <v>774</v>
      </c>
      <c r="H315" t="s">
        <v>175</v>
      </c>
      <c r="I315" t="str">
        <f>VLOOKUP(H315,Sheet2!$A$2:$B$459, 2, FALSE)</f>
        <v>LC</v>
      </c>
      <c r="J315">
        <v>57213900</v>
      </c>
      <c r="K315">
        <v>2628900</v>
      </c>
      <c r="L315">
        <v>57.213900000000002</v>
      </c>
      <c r="M315">
        <v>59.842799999999997</v>
      </c>
      <c r="N315" s="6">
        <f t="shared" si="18"/>
        <v>0.95606990314624329</v>
      </c>
      <c r="O315" s="7">
        <f>N315-F315</f>
        <v>-1.5039403236327686E-5</v>
      </c>
    </row>
    <row r="316" spans="1:15" x14ac:dyDescent="0.25">
      <c r="A316" s="1" t="s">
        <v>176</v>
      </c>
      <c r="B316" s="2">
        <v>133104600</v>
      </c>
      <c r="C316" s="2">
        <v>52118100</v>
      </c>
      <c r="D316">
        <f t="shared" si="19"/>
        <v>133.1046</v>
      </c>
      <c r="E316" s="11">
        <f t="shared" si="16"/>
        <v>185.2227</v>
      </c>
      <c r="F316" s="6">
        <f t="shared" si="17"/>
        <v>0.71861926210988181</v>
      </c>
      <c r="G316" t="s">
        <v>775</v>
      </c>
      <c r="H316" t="s">
        <v>176</v>
      </c>
      <c r="I316" t="str">
        <f>VLOOKUP(H316,Sheet2!$A$2:$B$459, 2, FALSE)</f>
        <v>LC</v>
      </c>
      <c r="J316">
        <v>133103700</v>
      </c>
      <c r="K316">
        <v>52118100</v>
      </c>
      <c r="L316">
        <v>133.1037</v>
      </c>
      <c r="M316">
        <v>185.2218</v>
      </c>
      <c r="N316" s="6">
        <f t="shared" si="18"/>
        <v>0.7186178948698263</v>
      </c>
      <c r="O316" s="7">
        <f>N316-F316</f>
        <v>-1.3672400555053699E-6</v>
      </c>
    </row>
    <row r="317" spans="1:15" x14ac:dyDescent="0.25">
      <c r="A317" s="1" t="s">
        <v>177</v>
      </c>
      <c r="B317" s="2">
        <v>590400</v>
      </c>
      <c r="C317" s="2">
        <v>2268900</v>
      </c>
      <c r="D317">
        <f t="shared" si="19"/>
        <v>0.59040000000000004</v>
      </c>
      <c r="E317" s="11">
        <f t="shared" si="16"/>
        <v>2.8593000000000002</v>
      </c>
      <c r="F317" s="6">
        <f t="shared" si="17"/>
        <v>0.20648410450110166</v>
      </c>
      <c r="G317" t="s">
        <v>776</v>
      </c>
      <c r="H317" t="s">
        <v>177</v>
      </c>
      <c r="I317" t="str">
        <f>VLOOKUP(H317,Sheet2!$A$2:$B$459, 2, FALSE)</f>
        <v>CR</v>
      </c>
      <c r="J317">
        <v>589500</v>
      </c>
      <c r="K317">
        <v>2268900</v>
      </c>
      <c r="L317">
        <v>0.58950000000000002</v>
      </c>
      <c r="M317">
        <v>2.8584000000000001</v>
      </c>
      <c r="N317" s="6">
        <f t="shared" si="18"/>
        <v>0.20623425692695216</v>
      </c>
      <c r="O317" s="7">
        <f>N317-F317</f>
        <v>-2.498475741495032E-4</v>
      </c>
    </row>
    <row r="318" spans="1:15" x14ac:dyDescent="0.25">
      <c r="A318" s="1" t="s">
        <v>178</v>
      </c>
      <c r="B318" s="2">
        <v>140338800</v>
      </c>
      <c r="C318" s="2">
        <v>2409300</v>
      </c>
      <c r="D318">
        <f t="shared" si="19"/>
        <v>140.33879999999999</v>
      </c>
      <c r="E318" s="11">
        <f t="shared" si="16"/>
        <v>142.74809999999999</v>
      </c>
      <c r="F318" s="6">
        <f t="shared" si="17"/>
        <v>0.98312201703560331</v>
      </c>
      <c r="G318" t="s">
        <v>777</v>
      </c>
      <c r="H318" t="s">
        <v>178</v>
      </c>
      <c r="I318" t="str">
        <f>VLOOKUP(H318,Sheet2!$A$2:$B$459, 2, FALSE)</f>
        <v>LC</v>
      </c>
      <c r="J318">
        <v>140339700</v>
      </c>
      <c r="K318">
        <v>2409300</v>
      </c>
      <c r="L318">
        <v>140.33969999999999</v>
      </c>
      <c r="M318">
        <v>142.749</v>
      </c>
      <c r="N318" s="6">
        <f t="shared" si="18"/>
        <v>0.98312212344744976</v>
      </c>
      <c r="O318" s="7">
        <f>N318-F318</f>
        <v>1.0641184644555324E-7</v>
      </c>
    </row>
    <row r="319" spans="1:15" x14ac:dyDescent="0.25">
      <c r="A319" s="1" t="s">
        <v>179</v>
      </c>
      <c r="B319" s="2">
        <v>7350076800</v>
      </c>
      <c r="C319" s="2">
        <v>231759000</v>
      </c>
      <c r="D319">
        <f t="shared" si="19"/>
        <v>7350.0767999999998</v>
      </c>
      <c r="E319" s="11">
        <f t="shared" si="16"/>
        <v>7581.8357999999998</v>
      </c>
      <c r="F319" s="6">
        <f t="shared" si="17"/>
        <v>0.96943233721838185</v>
      </c>
      <c r="G319" t="s">
        <v>778</v>
      </c>
      <c r="H319" t="s">
        <v>179</v>
      </c>
      <c r="I319" t="str">
        <f>VLOOKUP(H319,Sheet2!$A$2:$B$459, 2, FALSE)</f>
        <v>LC</v>
      </c>
      <c r="J319">
        <v>7350068700</v>
      </c>
      <c r="K319">
        <v>231752700</v>
      </c>
      <c r="L319">
        <v>7350.0686999999998</v>
      </c>
      <c r="M319">
        <v>7581.8213999999998</v>
      </c>
      <c r="N319" s="6">
        <f t="shared" si="18"/>
        <v>0.96943311009673749</v>
      </c>
      <c r="O319" s="7">
        <f>N319-F319</f>
        <v>7.7287835564820995E-7</v>
      </c>
    </row>
    <row r="320" spans="1:15" x14ac:dyDescent="0.25">
      <c r="A320" s="1" t="s">
        <v>316</v>
      </c>
      <c r="B320" s="2">
        <v>534913200</v>
      </c>
      <c r="C320" s="2">
        <v>4434300</v>
      </c>
      <c r="D320">
        <f t="shared" si="19"/>
        <v>534.91319999999996</v>
      </c>
      <c r="E320" s="11">
        <f t="shared" si="16"/>
        <v>539.34749999999997</v>
      </c>
      <c r="F320" s="6">
        <f t="shared" si="17"/>
        <v>0.99177839889866926</v>
      </c>
      <c r="G320" t="s">
        <v>779</v>
      </c>
      <c r="H320" t="s">
        <v>316</v>
      </c>
      <c r="I320" t="str">
        <f>VLOOKUP(H320,Sheet2!$A$2:$B$459, 2, FALSE)</f>
        <v>LC</v>
      </c>
      <c r="J320">
        <v>534907800</v>
      </c>
      <c r="K320">
        <v>4435200</v>
      </c>
      <c r="L320">
        <v>534.90779999999995</v>
      </c>
      <c r="M320">
        <v>539.34299999999996</v>
      </c>
      <c r="N320" s="6">
        <f t="shared" si="18"/>
        <v>0.9917766616049527</v>
      </c>
      <c r="O320" s="7">
        <f>N320-F320</f>
        <v>-1.7372937165527347E-6</v>
      </c>
    </row>
    <row r="321" spans="1:15" x14ac:dyDescent="0.25">
      <c r="A321" s="1" t="s">
        <v>180</v>
      </c>
      <c r="B321" s="2">
        <v>2899263600</v>
      </c>
      <c r="C321" s="2">
        <v>209081700</v>
      </c>
      <c r="D321">
        <f t="shared" si="19"/>
        <v>2899.2636000000002</v>
      </c>
      <c r="E321" s="11">
        <f t="shared" si="16"/>
        <v>3108.3453</v>
      </c>
      <c r="F321" s="6">
        <f t="shared" si="17"/>
        <v>0.93273536887938413</v>
      </c>
      <c r="G321" t="s">
        <v>780</v>
      </c>
      <c r="H321" t="s">
        <v>180</v>
      </c>
      <c r="I321" t="str">
        <f>VLOOKUP(H321,Sheet2!$A$2:$B$459, 2, FALSE)</f>
        <v>LC</v>
      </c>
      <c r="J321">
        <v>2899256400</v>
      </c>
      <c r="K321">
        <v>209086200</v>
      </c>
      <c r="L321">
        <v>2899.2564000000002</v>
      </c>
      <c r="M321">
        <v>3108.3425999999999</v>
      </c>
      <c r="N321" s="6">
        <f t="shared" si="18"/>
        <v>0.93273386273443615</v>
      </c>
      <c r="O321" s="7">
        <f>N321-F321</f>
        <v>-1.5061449479825129E-6</v>
      </c>
    </row>
    <row r="322" spans="1:15" x14ac:dyDescent="0.25">
      <c r="A322" s="1" t="s">
        <v>181</v>
      </c>
      <c r="B322" s="2">
        <v>4594452300</v>
      </c>
      <c r="C322" s="2">
        <v>446226300</v>
      </c>
      <c r="D322">
        <f t="shared" si="19"/>
        <v>4594.4522999999999</v>
      </c>
      <c r="E322" s="11">
        <f t="shared" si="16"/>
        <v>5040.6786000000002</v>
      </c>
      <c r="F322" s="6">
        <f t="shared" si="17"/>
        <v>0.911474954979276</v>
      </c>
      <c r="G322" t="s">
        <v>781</v>
      </c>
      <c r="H322" t="s">
        <v>181</v>
      </c>
      <c r="I322" t="str">
        <f>VLOOKUP(H322,Sheet2!$A$2:$B$459, 2, FALSE)</f>
        <v>LC</v>
      </c>
      <c r="J322">
        <v>4594518000</v>
      </c>
      <c r="K322">
        <v>446238900</v>
      </c>
      <c r="L322">
        <v>4594.518</v>
      </c>
      <c r="M322">
        <v>5040.7569000000003</v>
      </c>
      <c r="N322" s="6">
        <f t="shared" si="18"/>
        <v>0.91147383044796304</v>
      </c>
      <c r="O322" s="7">
        <f>N322-F322</f>
        <v>-1.1245313129570889E-6</v>
      </c>
    </row>
    <row r="323" spans="1:15" x14ac:dyDescent="0.25">
      <c r="A323" s="1" t="s">
        <v>182</v>
      </c>
      <c r="B323" s="2">
        <v>652048200</v>
      </c>
      <c r="C323" s="2">
        <v>1286100</v>
      </c>
      <c r="D323">
        <f t="shared" si="19"/>
        <v>652.04819999999995</v>
      </c>
      <c r="E323" s="11">
        <f t="shared" ref="E323:E386" si="20">(B323+C323)/1000000</f>
        <v>653.33429999999998</v>
      </c>
      <c r="F323" s="6">
        <f t="shared" ref="F323:F386" si="21">B323/(B323+C323)</f>
        <v>0.99803148250443918</v>
      </c>
      <c r="G323" t="s">
        <v>782</v>
      </c>
      <c r="H323" t="s">
        <v>182</v>
      </c>
      <c r="I323" t="str">
        <f>VLOOKUP(H323,Sheet2!$A$2:$B$459, 2, FALSE)</f>
        <v>LC</v>
      </c>
      <c r="J323">
        <v>652048200</v>
      </c>
      <c r="K323">
        <v>1286100</v>
      </c>
      <c r="L323">
        <v>652.04819999999995</v>
      </c>
      <c r="M323">
        <v>653.33429999999998</v>
      </c>
      <c r="N323" s="6">
        <f t="shared" ref="N323:N386" si="22">L323/M323</f>
        <v>0.99803148250443907</v>
      </c>
      <c r="O323" s="7">
        <f>N323-F323</f>
        <v>0</v>
      </c>
    </row>
    <row r="324" spans="1:15" x14ac:dyDescent="0.25">
      <c r="A324" s="1" t="s">
        <v>183</v>
      </c>
      <c r="B324" s="2">
        <v>391794300</v>
      </c>
      <c r="C324" s="2">
        <v>5078700</v>
      </c>
      <c r="D324">
        <f t="shared" ref="D324:D387" si="23">B324/1000000</f>
        <v>391.79430000000002</v>
      </c>
      <c r="E324" s="11">
        <f t="shared" si="20"/>
        <v>396.87299999999999</v>
      </c>
      <c r="F324" s="6">
        <f t="shared" si="21"/>
        <v>0.98720321110279607</v>
      </c>
      <c r="G324" t="s">
        <v>783</v>
      </c>
      <c r="H324" t="s">
        <v>183</v>
      </c>
      <c r="I324" t="str">
        <f>VLOOKUP(H324,Sheet2!$A$2:$B$459, 2, FALSE)</f>
        <v>LC</v>
      </c>
      <c r="J324">
        <v>391794300</v>
      </c>
      <c r="K324">
        <v>5078700</v>
      </c>
      <c r="L324">
        <v>391.79430000000002</v>
      </c>
      <c r="M324">
        <v>396.87299999999999</v>
      </c>
      <c r="N324" s="6">
        <f t="shared" si="22"/>
        <v>0.98720321110279619</v>
      </c>
      <c r="O324" s="7">
        <f>N324-F324</f>
        <v>0</v>
      </c>
    </row>
    <row r="325" spans="1:15" x14ac:dyDescent="0.25">
      <c r="A325" s="1" t="s">
        <v>184</v>
      </c>
      <c r="B325" s="2">
        <v>909571500</v>
      </c>
      <c r="C325" s="2">
        <v>87385500</v>
      </c>
      <c r="D325">
        <f t="shared" si="23"/>
        <v>909.57150000000001</v>
      </c>
      <c r="E325" s="11">
        <f t="shared" si="20"/>
        <v>996.95699999999999</v>
      </c>
      <c r="F325" s="6">
        <f t="shared" si="21"/>
        <v>0.91234777427712532</v>
      </c>
      <c r="G325" t="s">
        <v>784</v>
      </c>
      <c r="H325" t="s">
        <v>184</v>
      </c>
      <c r="I325" t="str">
        <f>VLOOKUP(H325,Sheet2!$A$2:$B$459, 2, FALSE)</f>
        <v>LC</v>
      </c>
      <c r="J325">
        <v>909540000</v>
      </c>
      <c r="K325">
        <v>87370200</v>
      </c>
      <c r="L325">
        <v>909.54</v>
      </c>
      <c r="M325">
        <v>996.91020000000003</v>
      </c>
      <c r="N325" s="6">
        <f t="shared" si="22"/>
        <v>0.91235900685939408</v>
      </c>
      <c r="O325" s="7">
        <f>N325-F325</f>
        <v>1.1232582268760893E-5</v>
      </c>
    </row>
    <row r="326" spans="1:15" x14ac:dyDescent="0.25">
      <c r="A326" s="1" t="s">
        <v>319</v>
      </c>
      <c r="B326" s="2">
        <v>1200052800</v>
      </c>
      <c r="C326" s="2">
        <v>394200</v>
      </c>
      <c r="D326">
        <f t="shared" si="23"/>
        <v>1200.0527999999999</v>
      </c>
      <c r="E326" s="11">
        <f t="shared" si="20"/>
        <v>1200.4469999999999</v>
      </c>
      <c r="F326" s="6">
        <f t="shared" si="21"/>
        <v>0.99967162232068552</v>
      </c>
      <c r="G326" t="s">
        <v>785</v>
      </c>
      <c r="H326" t="s">
        <v>319</v>
      </c>
      <c r="I326" t="str">
        <f>VLOOKUP(H326,Sheet2!$A$2:$B$459, 2, FALSE)</f>
        <v>LC</v>
      </c>
      <c r="J326">
        <v>1200051900</v>
      </c>
      <c r="K326">
        <v>394200</v>
      </c>
      <c r="L326">
        <v>1200.0518999999999</v>
      </c>
      <c r="M326">
        <v>1200.4460999999999</v>
      </c>
      <c r="N326" s="6">
        <f t="shared" si="22"/>
        <v>0.99967162207449389</v>
      </c>
      <c r="O326" s="7">
        <f>N326-F326</f>
        <v>-2.4619162264372108E-10</v>
      </c>
    </row>
    <row r="327" spans="1:15" x14ac:dyDescent="0.25">
      <c r="A327" s="1" t="s">
        <v>320</v>
      </c>
      <c r="B327" s="2">
        <v>127487700</v>
      </c>
      <c r="C327" s="2">
        <v>85500</v>
      </c>
      <c r="D327">
        <f t="shared" si="23"/>
        <v>127.4877</v>
      </c>
      <c r="E327" s="11">
        <f t="shared" si="20"/>
        <v>127.5732</v>
      </c>
      <c r="F327" s="6">
        <f t="shared" si="21"/>
        <v>0.99932979654033915</v>
      </c>
      <c r="G327" t="s">
        <v>786</v>
      </c>
      <c r="H327" t="s">
        <v>320</v>
      </c>
      <c r="I327" t="str">
        <f>VLOOKUP(H327,Sheet2!$A$2:$B$459, 2, FALSE)</f>
        <v>LC</v>
      </c>
      <c r="J327">
        <v>127487700</v>
      </c>
      <c r="K327">
        <v>85500</v>
      </c>
      <c r="L327">
        <v>127.4877</v>
      </c>
      <c r="M327">
        <v>127.5732</v>
      </c>
      <c r="N327" s="6">
        <f t="shared" si="22"/>
        <v>0.99932979654033927</v>
      </c>
      <c r="O327" s="7">
        <f>N327-F327</f>
        <v>0</v>
      </c>
    </row>
    <row r="328" spans="1:15" x14ac:dyDescent="0.25">
      <c r="A328" s="1" t="s">
        <v>321</v>
      </c>
      <c r="B328" s="2">
        <v>128809800</v>
      </c>
      <c r="C328" s="2">
        <v>438300</v>
      </c>
      <c r="D328">
        <f t="shared" si="23"/>
        <v>128.8098</v>
      </c>
      <c r="E328" s="11">
        <f t="shared" si="20"/>
        <v>129.24809999999999</v>
      </c>
      <c r="F328" s="6">
        <f t="shared" si="21"/>
        <v>0.99660884763489754</v>
      </c>
      <c r="G328" t="s">
        <v>787</v>
      </c>
      <c r="H328" t="s">
        <v>321</v>
      </c>
      <c r="I328" t="str">
        <f>VLOOKUP(H328,Sheet2!$A$2:$B$459, 2, FALSE)</f>
        <v>LC</v>
      </c>
      <c r="J328">
        <v>128809800</v>
      </c>
      <c r="K328">
        <v>438300</v>
      </c>
      <c r="L328">
        <v>128.8098</v>
      </c>
      <c r="M328">
        <v>129.24809999999999</v>
      </c>
      <c r="N328" s="6">
        <f t="shared" si="22"/>
        <v>0.99660884763489754</v>
      </c>
      <c r="O328" s="7">
        <f>N328-F328</f>
        <v>0</v>
      </c>
    </row>
    <row r="329" spans="1:15" x14ac:dyDescent="0.25">
      <c r="A329" s="1" t="s">
        <v>322</v>
      </c>
      <c r="B329" s="2">
        <v>612055800</v>
      </c>
      <c r="C329" s="2">
        <v>117900</v>
      </c>
      <c r="D329">
        <f t="shared" si="23"/>
        <v>612.05579999999998</v>
      </c>
      <c r="E329" s="11">
        <f t="shared" si="20"/>
        <v>612.17370000000005</v>
      </c>
      <c r="F329" s="6">
        <f t="shared" si="21"/>
        <v>0.99980740760343023</v>
      </c>
      <c r="G329" t="s">
        <v>788</v>
      </c>
      <c r="H329" t="s">
        <v>322</v>
      </c>
      <c r="I329" t="str">
        <f>VLOOKUP(H329,Sheet2!$A$2:$B$459, 2, FALSE)</f>
        <v>LC</v>
      </c>
      <c r="J329">
        <v>612055800</v>
      </c>
      <c r="K329">
        <v>117900</v>
      </c>
      <c r="L329">
        <v>612.05579999999998</v>
      </c>
      <c r="M329">
        <v>612.17370000000005</v>
      </c>
      <c r="N329" s="6">
        <f t="shared" si="22"/>
        <v>0.99980740760343012</v>
      </c>
      <c r="O329" s="7">
        <f>N329-F329</f>
        <v>0</v>
      </c>
    </row>
    <row r="330" spans="1:15" x14ac:dyDescent="0.25">
      <c r="A330" s="1" t="s">
        <v>323</v>
      </c>
      <c r="B330" s="2">
        <v>722311200</v>
      </c>
      <c r="C330" s="2">
        <v>328500</v>
      </c>
      <c r="D330">
        <f t="shared" si="23"/>
        <v>722.31119999999999</v>
      </c>
      <c r="E330" s="11">
        <f t="shared" si="20"/>
        <v>722.63969999999995</v>
      </c>
      <c r="F330" s="6">
        <f t="shared" si="21"/>
        <v>0.99954541661633034</v>
      </c>
      <c r="G330" t="s">
        <v>789</v>
      </c>
      <c r="H330" t="s">
        <v>323</v>
      </c>
      <c r="I330" t="str">
        <f>VLOOKUP(H330,Sheet2!$A$2:$B$459, 2, FALSE)</f>
        <v>LC</v>
      </c>
      <c r="J330">
        <v>722312100</v>
      </c>
      <c r="K330">
        <v>328500</v>
      </c>
      <c r="L330">
        <v>722.31209999999999</v>
      </c>
      <c r="M330">
        <v>722.64059999999995</v>
      </c>
      <c r="N330" s="6">
        <f t="shared" si="22"/>
        <v>0.99954541718248324</v>
      </c>
      <c r="O330" s="7">
        <f>N330-F330</f>
        <v>5.6615290233708038E-10</v>
      </c>
    </row>
    <row r="331" spans="1:15" x14ac:dyDescent="0.25">
      <c r="A331" s="1" t="s">
        <v>315</v>
      </c>
      <c r="B331" s="2">
        <v>365348700</v>
      </c>
      <c r="C331" s="2">
        <v>214200</v>
      </c>
      <c r="D331">
        <f t="shared" si="23"/>
        <v>365.34870000000001</v>
      </c>
      <c r="E331" s="11">
        <f t="shared" si="20"/>
        <v>365.56290000000001</v>
      </c>
      <c r="F331" s="6">
        <f t="shared" si="21"/>
        <v>0.99941405432553465</v>
      </c>
      <c r="G331" t="s">
        <v>790</v>
      </c>
      <c r="H331" t="s">
        <v>315</v>
      </c>
      <c r="I331" t="str">
        <f>VLOOKUP(H331,Sheet2!$A$2:$B$459, 2, FALSE)</f>
        <v>LC</v>
      </c>
      <c r="J331">
        <v>365348700</v>
      </c>
      <c r="K331">
        <v>214200</v>
      </c>
      <c r="L331">
        <v>365.34870000000001</v>
      </c>
      <c r="M331">
        <v>365.56290000000001</v>
      </c>
      <c r="N331" s="6">
        <f t="shared" si="22"/>
        <v>0.99941405432553465</v>
      </c>
      <c r="O331" s="7">
        <f>N331-F331</f>
        <v>0</v>
      </c>
    </row>
    <row r="332" spans="1:15" x14ac:dyDescent="0.25">
      <c r="A332" s="1" t="s">
        <v>324</v>
      </c>
      <c r="B332" s="2">
        <v>200891700</v>
      </c>
      <c r="C332" s="2">
        <v>40890600</v>
      </c>
      <c r="D332">
        <f t="shared" si="23"/>
        <v>200.89169999999999</v>
      </c>
      <c r="E332" s="11">
        <f t="shared" si="20"/>
        <v>241.78229999999999</v>
      </c>
      <c r="F332" s="6">
        <f t="shared" si="21"/>
        <v>0.83087843899243241</v>
      </c>
      <c r="G332" t="s">
        <v>791</v>
      </c>
      <c r="H332" t="s">
        <v>324</v>
      </c>
      <c r="I332" t="str">
        <f>VLOOKUP(H332,Sheet2!$A$2:$B$459, 2, FALSE)</f>
        <v>LC</v>
      </c>
      <c r="J332">
        <v>200892600</v>
      </c>
      <c r="K332">
        <v>40890600</v>
      </c>
      <c r="L332">
        <v>200.89259999999999</v>
      </c>
      <c r="M332">
        <v>241.78319999999999</v>
      </c>
      <c r="N332" s="6">
        <f t="shared" si="22"/>
        <v>0.83087906852088977</v>
      </c>
      <c r="O332" s="7">
        <f>N332-F332</f>
        <v>6.2952845736319318E-7</v>
      </c>
    </row>
    <row r="333" spans="1:15" x14ac:dyDescent="0.25">
      <c r="A333" s="1" t="s">
        <v>325</v>
      </c>
      <c r="B333" s="2">
        <v>432505800</v>
      </c>
      <c r="C333" s="2">
        <v>306900</v>
      </c>
      <c r="D333">
        <f t="shared" si="23"/>
        <v>432.50580000000002</v>
      </c>
      <c r="E333" s="11">
        <f t="shared" si="20"/>
        <v>432.81270000000001</v>
      </c>
      <c r="F333" s="6">
        <f t="shared" si="21"/>
        <v>0.99929091729517183</v>
      </c>
      <c r="G333" t="s">
        <v>792</v>
      </c>
      <c r="H333" t="s">
        <v>325</v>
      </c>
      <c r="I333" t="str">
        <f>VLOOKUP(H333,Sheet2!$A$2:$B$459, 2, FALSE)</f>
        <v>LC</v>
      </c>
      <c r="J333">
        <v>432505800</v>
      </c>
      <c r="K333">
        <v>306900</v>
      </c>
      <c r="L333">
        <v>432.50580000000002</v>
      </c>
      <c r="M333">
        <v>432.81270000000001</v>
      </c>
      <c r="N333" s="6">
        <f t="shared" si="22"/>
        <v>0.99929091729517183</v>
      </c>
      <c r="O333" s="7">
        <f>N333-F333</f>
        <v>0</v>
      </c>
    </row>
    <row r="334" spans="1:15" x14ac:dyDescent="0.25">
      <c r="A334" s="1" t="s">
        <v>326</v>
      </c>
      <c r="B334" s="2">
        <v>260200800</v>
      </c>
      <c r="C334" s="2">
        <v>577800</v>
      </c>
      <c r="D334">
        <f t="shared" si="23"/>
        <v>260.20080000000002</v>
      </c>
      <c r="E334" s="11">
        <f t="shared" si="20"/>
        <v>260.77859999999998</v>
      </c>
      <c r="F334" s="6">
        <f t="shared" si="21"/>
        <v>0.99778432739496259</v>
      </c>
      <c r="G334" t="s">
        <v>793</v>
      </c>
      <c r="H334" t="s">
        <v>326</v>
      </c>
      <c r="I334" t="str">
        <f>VLOOKUP(H334,Sheet2!$A$2:$B$459, 2, FALSE)</f>
        <v>LC</v>
      </c>
      <c r="J334">
        <v>260199900</v>
      </c>
      <c r="K334">
        <v>577800</v>
      </c>
      <c r="L334">
        <v>260.19990000000001</v>
      </c>
      <c r="M334">
        <v>260.77769999999998</v>
      </c>
      <c r="N334" s="6">
        <f t="shared" si="22"/>
        <v>0.99778431974819948</v>
      </c>
      <c r="O334" s="7">
        <f>N334-F334</f>
        <v>-7.6467631116017287E-9</v>
      </c>
    </row>
    <row r="335" spans="1:15" x14ac:dyDescent="0.25">
      <c r="A335" s="1" t="s">
        <v>327</v>
      </c>
      <c r="B335" s="2">
        <v>812845800</v>
      </c>
      <c r="C335" s="2">
        <v>4800600</v>
      </c>
      <c r="D335">
        <f t="shared" si="23"/>
        <v>812.84580000000005</v>
      </c>
      <c r="E335" s="11">
        <f t="shared" si="20"/>
        <v>817.64639999999997</v>
      </c>
      <c r="F335" s="6">
        <f t="shared" si="21"/>
        <v>0.99412875785914301</v>
      </c>
      <c r="G335" t="s">
        <v>794</v>
      </c>
      <c r="H335" t="s">
        <v>327</v>
      </c>
      <c r="I335" t="str">
        <f>VLOOKUP(H335,Sheet2!$A$2:$B$459, 2, FALSE)</f>
        <v>LC</v>
      </c>
      <c r="J335">
        <v>812837700</v>
      </c>
      <c r="K335">
        <v>4800600</v>
      </c>
      <c r="L335">
        <v>812.83770000000004</v>
      </c>
      <c r="M335">
        <v>817.63829999999996</v>
      </c>
      <c r="N335" s="6">
        <f t="shared" si="22"/>
        <v>0.99412869969520767</v>
      </c>
      <c r="O335" s="7">
        <f>N335-F335</f>
        <v>-5.8163935334754058E-8</v>
      </c>
    </row>
    <row r="336" spans="1:15" x14ac:dyDescent="0.25">
      <c r="A336" s="1" t="s">
        <v>328</v>
      </c>
      <c r="B336" s="2">
        <v>368498700</v>
      </c>
      <c r="C336" s="2">
        <v>3505500</v>
      </c>
      <c r="D336">
        <f t="shared" si="23"/>
        <v>368.49869999999999</v>
      </c>
      <c r="E336" s="11">
        <f t="shared" si="20"/>
        <v>372.00420000000003</v>
      </c>
      <c r="F336" s="6">
        <f t="shared" si="21"/>
        <v>0.99057671929510471</v>
      </c>
      <c r="G336" t="s">
        <v>795</v>
      </c>
      <c r="H336" t="s">
        <v>328</v>
      </c>
      <c r="I336" t="str">
        <f>VLOOKUP(H336,Sheet2!$A$2:$B$459, 2, FALSE)</f>
        <v>LC</v>
      </c>
      <c r="J336">
        <v>368494200</v>
      </c>
      <c r="K336">
        <v>3505500</v>
      </c>
      <c r="L336">
        <v>368.49419999999998</v>
      </c>
      <c r="M336">
        <v>371.99970000000002</v>
      </c>
      <c r="N336" s="6">
        <f t="shared" si="22"/>
        <v>0.99057660530371383</v>
      </c>
      <c r="O336" s="7">
        <f>N336-F336</f>
        <v>-1.1399139088208443E-7</v>
      </c>
    </row>
    <row r="337" spans="1:15" x14ac:dyDescent="0.25">
      <c r="A337" s="1" t="s">
        <v>329</v>
      </c>
      <c r="B337" s="2">
        <v>191583900</v>
      </c>
      <c r="C337" s="2">
        <v>535500</v>
      </c>
      <c r="D337">
        <f t="shared" si="23"/>
        <v>191.5839</v>
      </c>
      <c r="E337" s="11">
        <f t="shared" si="20"/>
        <v>192.11940000000001</v>
      </c>
      <c r="F337" s="6">
        <f t="shared" si="21"/>
        <v>0.99721267087030252</v>
      </c>
      <c r="G337" t="s">
        <v>796</v>
      </c>
      <c r="H337" t="s">
        <v>329</v>
      </c>
      <c r="I337" t="str">
        <f>VLOOKUP(H337,Sheet2!$A$2:$B$459, 2, FALSE)</f>
        <v>LC</v>
      </c>
      <c r="J337">
        <v>191583900</v>
      </c>
      <c r="K337">
        <v>535500</v>
      </c>
      <c r="L337">
        <v>191.5839</v>
      </c>
      <c r="M337">
        <v>192.11940000000001</v>
      </c>
      <c r="N337" s="6">
        <f t="shared" si="22"/>
        <v>0.99721267087030241</v>
      </c>
      <c r="O337" s="7">
        <f>N337-F337</f>
        <v>0</v>
      </c>
    </row>
    <row r="338" spans="1:15" x14ac:dyDescent="0.25">
      <c r="A338" s="1" t="s">
        <v>330</v>
      </c>
      <c r="B338" s="2">
        <v>170766000</v>
      </c>
      <c r="C338" s="2">
        <v>3600</v>
      </c>
      <c r="D338">
        <f t="shared" si="23"/>
        <v>170.76599999999999</v>
      </c>
      <c r="E338" s="11">
        <f t="shared" si="20"/>
        <v>170.7696</v>
      </c>
      <c r="F338" s="6">
        <f t="shared" si="21"/>
        <v>0.99997891896449953</v>
      </c>
      <c r="G338" t="s">
        <v>797</v>
      </c>
      <c r="H338" t="s">
        <v>330</v>
      </c>
      <c r="I338" t="str">
        <f>VLOOKUP(H338,Sheet2!$A$2:$B$459, 2, FALSE)</f>
        <v>LC</v>
      </c>
      <c r="J338">
        <v>170766000</v>
      </c>
      <c r="K338">
        <v>3600</v>
      </c>
      <c r="L338">
        <v>170.76599999999999</v>
      </c>
      <c r="M338">
        <v>170.7696</v>
      </c>
      <c r="N338" s="6">
        <f t="shared" si="22"/>
        <v>0.99997891896449953</v>
      </c>
      <c r="O338" s="7">
        <f>N338-F338</f>
        <v>0</v>
      </c>
    </row>
    <row r="339" spans="1:15" x14ac:dyDescent="0.25">
      <c r="A339" s="1" t="s">
        <v>331</v>
      </c>
      <c r="B339" s="2">
        <v>827973900</v>
      </c>
      <c r="C339" s="2">
        <v>8325000</v>
      </c>
      <c r="D339">
        <f t="shared" si="23"/>
        <v>827.97389999999996</v>
      </c>
      <c r="E339" s="11">
        <f t="shared" si="20"/>
        <v>836.2989</v>
      </c>
      <c r="F339" s="6">
        <f t="shared" si="21"/>
        <v>0.99004542514643989</v>
      </c>
      <c r="G339" t="s">
        <v>798</v>
      </c>
      <c r="H339" t="s">
        <v>331</v>
      </c>
      <c r="I339" t="str">
        <f>VLOOKUP(H339,Sheet2!$A$2:$B$459, 2, FALSE)</f>
        <v>LC</v>
      </c>
      <c r="J339">
        <v>827974800</v>
      </c>
      <c r="K339">
        <v>8325000</v>
      </c>
      <c r="L339">
        <v>827.97479999999996</v>
      </c>
      <c r="M339">
        <v>836.2998</v>
      </c>
      <c r="N339" s="6">
        <f t="shared" si="22"/>
        <v>0.99004543585924565</v>
      </c>
      <c r="O339" s="7">
        <f>N339-F339</f>
        <v>1.0712805753598786E-8</v>
      </c>
    </row>
    <row r="340" spans="1:15" x14ac:dyDescent="0.25">
      <c r="A340" s="1" t="s">
        <v>332</v>
      </c>
      <c r="B340" s="2">
        <v>18369000</v>
      </c>
      <c r="C340" s="2">
        <v>0</v>
      </c>
      <c r="D340">
        <f t="shared" si="23"/>
        <v>18.369</v>
      </c>
      <c r="E340" s="11">
        <f t="shared" si="20"/>
        <v>18.369</v>
      </c>
      <c r="F340" s="6">
        <f t="shared" si="21"/>
        <v>1</v>
      </c>
      <c r="G340" t="s">
        <v>799</v>
      </c>
      <c r="H340" t="s">
        <v>332</v>
      </c>
      <c r="I340" t="str">
        <f>VLOOKUP(H340,Sheet2!$A$2:$B$459, 2, FALSE)</f>
        <v>LC</v>
      </c>
      <c r="J340">
        <v>18369000</v>
      </c>
      <c r="K340">
        <v>0</v>
      </c>
      <c r="L340">
        <v>18.369</v>
      </c>
      <c r="M340">
        <v>18.369</v>
      </c>
      <c r="N340" s="6">
        <f t="shared" si="22"/>
        <v>1</v>
      </c>
      <c r="O340" s="7">
        <f>N340-F340</f>
        <v>0</v>
      </c>
    </row>
    <row r="341" spans="1:15" x14ac:dyDescent="0.25">
      <c r="A341" s="1" t="s">
        <v>333</v>
      </c>
      <c r="B341" s="2">
        <v>65871000</v>
      </c>
      <c r="C341" s="2">
        <v>9900</v>
      </c>
      <c r="D341">
        <f t="shared" si="23"/>
        <v>65.870999999999995</v>
      </c>
      <c r="E341" s="11">
        <f t="shared" si="20"/>
        <v>65.880899999999997</v>
      </c>
      <c r="F341" s="6">
        <f t="shared" si="21"/>
        <v>0.99984972882884116</v>
      </c>
      <c r="G341" t="s">
        <v>800</v>
      </c>
      <c r="H341" t="s">
        <v>333</v>
      </c>
      <c r="I341" t="str">
        <f>VLOOKUP(H341,Sheet2!$A$2:$B$459, 2, FALSE)</f>
        <v>LC</v>
      </c>
      <c r="J341">
        <v>65871000</v>
      </c>
      <c r="K341">
        <v>9900</v>
      </c>
      <c r="L341">
        <v>65.870999999999995</v>
      </c>
      <c r="M341">
        <v>65.880899999999997</v>
      </c>
      <c r="N341" s="6">
        <f t="shared" si="22"/>
        <v>0.99984972882884116</v>
      </c>
      <c r="O341" s="7">
        <f>N341-F341</f>
        <v>0</v>
      </c>
    </row>
    <row r="342" spans="1:15" x14ac:dyDescent="0.25">
      <c r="A342" s="1" t="s">
        <v>334</v>
      </c>
      <c r="B342" s="2">
        <v>327104100</v>
      </c>
      <c r="C342" s="2">
        <v>41400</v>
      </c>
      <c r="D342">
        <f t="shared" si="23"/>
        <v>327.10410000000002</v>
      </c>
      <c r="E342" s="11">
        <f t="shared" si="20"/>
        <v>327.14550000000003</v>
      </c>
      <c r="F342" s="6">
        <f t="shared" si="21"/>
        <v>0.99987345080400003</v>
      </c>
      <c r="G342" t="s">
        <v>801</v>
      </c>
      <c r="H342" t="s">
        <v>334</v>
      </c>
      <c r="I342" t="str">
        <f>VLOOKUP(H342,Sheet2!$A$2:$B$459, 2, FALSE)</f>
        <v>LC</v>
      </c>
      <c r="J342">
        <v>327103200</v>
      </c>
      <c r="K342">
        <v>41400</v>
      </c>
      <c r="L342">
        <v>327.10320000000002</v>
      </c>
      <c r="M342">
        <v>327.14460000000003</v>
      </c>
      <c r="N342" s="6">
        <f t="shared" si="22"/>
        <v>0.99987345045585341</v>
      </c>
      <c r="O342" s="7">
        <f>N342-F342</f>
        <v>-3.4814662264182061E-10</v>
      </c>
    </row>
    <row r="343" spans="1:15" x14ac:dyDescent="0.25">
      <c r="A343" s="1" t="s">
        <v>335</v>
      </c>
      <c r="B343" s="2">
        <v>50543100</v>
      </c>
      <c r="C343" s="2">
        <v>17100</v>
      </c>
      <c r="D343">
        <f t="shared" si="23"/>
        <v>50.543100000000003</v>
      </c>
      <c r="E343" s="11">
        <f t="shared" si="20"/>
        <v>50.560200000000002</v>
      </c>
      <c r="F343" s="6">
        <f t="shared" si="21"/>
        <v>0.99966178931254224</v>
      </c>
      <c r="G343" t="s">
        <v>802</v>
      </c>
      <c r="H343" t="s">
        <v>335</v>
      </c>
      <c r="I343" t="str">
        <f>VLOOKUP(H343,Sheet2!$A$2:$B$459, 2, FALSE)</f>
        <v>LC</v>
      </c>
      <c r="J343">
        <v>50543100</v>
      </c>
      <c r="K343">
        <v>17100</v>
      </c>
      <c r="L343">
        <v>50.543100000000003</v>
      </c>
      <c r="M343">
        <v>50.560200000000002</v>
      </c>
      <c r="N343" s="6">
        <f t="shared" si="22"/>
        <v>0.99966178931254224</v>
      </c>
      <c r="O343" s="7">
        <f>N343-F343</f>
        <v>0</v>
      </c>
    </row>
    <row r="344" spans="1:15" x14ac:dyDescent="0.25">
      <c r="A344" s="1" t="s">
        <v>336</v>
      </c>
      <c r="B344" s="2">
        <v>3267900</v>
      </c>
      <c r="C344" s="2">
        <v>0</v>
      </c>
      <c r="D344">
        <f t="shared" si="23"/>
        <v>3.2679</v>
      </c>
      <c r="E344" s="11">
        <f t="shared" si="20"/>
        <v>3.2679</v>
      </c>
      <c r="F344" s="6">
        <f t="shared" si="21"/>
        <v>1</v>
      </c>
      <c r="G344" t="s">
        <v>803</v>
      </c>
      <c r="H344" t="s">
        <v>336</v>
      </c>
      <c r="I344" t="str">
        <f>VLOOKUP(H344,Sheet2!$A$2:$B$459, 2, FALSE)</f>
        <v>LC</v>
      </c>
      <c r="J344">
        <v>3267900</v>
      </c>
      <c r="K344">
        <v>0</v>
      </c>
      <c r="L344">
        <v>3.2679</v>
      </c>
      <c r="M344">
        <v>3.2679</v>
      </c>
      <c r="N344" s="6">
        <f t="shared" si="22"/>
        <v>1</v>
      </c>
      <c r="O344" s="7">
        <f>N344-F344</f>
        <v>0</v>
      </c>
    </row>
    <row r="345" spans="1:15" x14ac:dyDescent="0.25">
      <c r="A345" s="1" t="s">
        <v>311</v>
      </c>
      <c r="B345" s="2">
        <v>316160100</v>
      </c>
      <c r="C345" s="2">
        <v>191904300</v>
      </c>
      <c r="D345">
        <f t="shared" si="23"/>
        <v>316.1601</v>
      </c>
      <c r="E345" s="11">
        <f t="shared" si="20"/>
        <v>508.06439999999998</v>
      </c>
      <c r="F345" s="6">
        <f t="shared" si="21"/>
        <v>0.62228351366480317</v>
      </c>
      <c r="G345" t="s">
        <v>804</v>
      </c>
      <c r="H345" t="s">
        <v>311</v>
      </c>
      <c r="I345" t="str">
        <f>VLOOKUP(H345,Sheet2!$A$2:$B$459, 2, FALSE)</f>
        <v>CR</v>
      </c>
      <c r="J345">
        <v>316154700</v>
      </c>
      <c r="K345">
        <v>191900700</v>
      </c>
      <c r="L345">
        <v>316.15469999999999</v>
      </c>
      <c r="M345">
        <v>508.05540000000002</v>
      </c>
      <c r="N345" s="6">
        <f t="shared" si="22"/>
        <v>0.62228390840841363</v>
      </c>
      <c r="O345" s="7">
        <f>N345-F345</f>
        <v>3.9474361046565321E-7</v>
      </c>
    </row>
    <row r="346" spans="1:15" x14ac:dyDescent="0.25">
      <c r="A346" s="1" t="s">
        <v>185</v>
      </c>
      <c r="B346" s="2">
        <v>134390700</v>
      </c>
      <c r="C346" s="2">
        <v>2034900</v>
      </c>
      <c r="D346">
        <f t="shared" si="23"/>
        <v>134.39070000000001</v>
      </c>
      <c r="E346" s="11">
        <f t="shared" si="20"/>
        <v>136.4256</v>
      </c>
      <c r="F346" s="6">
        <f t="shared" si="21"/>
        <v>0.98508417774963053</v>
      </c>
      <c r="G346" t="s">
        <v>805</v>
      </c>
      <c r="H346" t="s">
        <v>185</v>
      </c>
      <c r="I346" t="str">
        <f>VLOOKUP(H346,Sheet2!$A$2:$B$459, 2, FALSE)</f>
        <v>LC</v>
      </c>
      <c r="J346">
        <v>134390700</v>
      </c>
      <c r="K346">
        <v>2034900</v>
      </c>
      <c r="L346">
        <v>134.39070000000001</v>
      </c>
      <c r="M346">
        <v>136.4256</v>
      </c>
      <c r="N346" s="6">
        <f t="shared" si="22"/>
        <v>0.98508417774963064</v>
      </c>
      <c r="O346" s="7">
        <f>N346-F346</f>
        <v>0</v>
      </c>
    </row>
    <row r="347" spans="1:15" x14ac:dyDescent="0.25">
      <c r="A347" s="1" t="s">
        <v>186</v>
      </c>
      <c r="B347" s="2">
        <v>286966800</v>
      </c>
      <c r="C347" s="2">
        <v>45900</v>
      </c>
      <c r="D347">
        <f t="shared" si="23"/>
        <v>286.96679999999998</v>
      </c>
      <c r="E347" s="11">
        <f t="shared" si="20"/>
        <v>287.0127</v>
      </c>
      <c r="F347" s="6">
        <f t="shared" si="21"/>
        <v>0.99984007676315367</v>
      </c>
      <c r="G347" t="s">
        <v>806</v>
      </c>
      <c r="H347" t="s">
        <v>186</v>
      </c>
      <c r="I347" t="str">
        <f>VLOOKUP(H347,Sheet2!$A$2:$B$459, 2, FALSE)</f>
        <v>LC</v>
      </c>
      <c r="J347">
        <v>286969500</v>
      </c>
      <c r="K347">
        <v>45900</v>
      </c>
      <c r="L347">
        <v>286.96949999999998</v>
      </c>
      <c r="M347">
        <v>287.0154</v>
      </c>
      <c r="N347" s="6">
        <f t="shared" si="22"/>
        <v>0.99984007826757726</v>
      </c>
      <c r="O347" s="7">
        <f>N347-F347</f>
        <v>1.5044235857075705E-9</v>
      </c>
    </row>
    <row r="348" spans="1:15" x14ac:dyDescent="0.25">
      <c r="A348" s="1" t="s">
        <v>170</v>
      </c>
      <c r="B348" s="2">
        <v>424971900</v>
      </c>
      <c r="C348" s="2">
        <v>44937000</v>
      </c>
      <c r="D348">
        <f t="shared" si="23"/>
        <v>424.97190000000001</v>
      </c>
      <c r="E348" s="11">
        <f t="shared" si="20"/>
        <v>469.90890000000002</v>
      </c>
      <c r="F348" s="6">
        <f t="shared" si="21"/>
        <v>0.90437082591966234</v>
      </c>
      <c r="G348" t="s">
        <v>807</v>
      </c>
      <c r="H348" t="s">
        <v>170</v>
      </c>
      <c r="I348" t="str">
        <f>VLOOKUP(H348,Sheet2!$A$2:$B$459, 2, FALSE)</f>
        <v>LC</v>
      </c>
      <c r="J348">
        <v>424972800</v>
      </c>
      <c r="K348">
        <v>44937900</v>
      </c>
      <c r="L348">
        <v>424.97280000000001</v>
      </c>
      <c r="M348">
        <v>469.91070000000002</v>
      </c>
      <c r="N348" s="6">
        <f t="shared" si="22"/>
        <v>0.90436927697113512</v>
      </c>
      <c r="O348" s="7">
        <f>N348-F348</f>
        <v>-1.5489485272190961E-6</v>
      </c>
    </row>
    <row r="349" spans="1:15" x14ac:dyDescent="0.25">
      <c r="A349" s="1" t="s">
        <v>187</v>
      </c>
      <c r="B349" s="2">
        <v>110692800</v>
      </c>
      <c r="C349" s="2">
        <v>90424800</v>
      </c>
      <c r="D349">
        <f t="shared" si="23"/>
        <v>110.69280000000001</v>
      </c>
      <c r="E349" s="11">
        <f t="shared" si="20"/>
        <v>201.11760000000001</v>
      </c>
      <c r="F349" s="6">
        <f t="shared" si="21"/>
        <v>0.55038842945619881</v>
      </c>
      <c r="G349" t="s">
        <v>808</v>
      </c>
      <c r="H349" t="s">
        <v>187</v>
      </c>
      <c r="I349" t="str">
        <f>VLOOKUP(H349,Sheet2!$A$2:$B$459, 2, FALSE)</f>
        <v>CR</v>
      </c>
      <c r="J349">
        <v>110691900</v>
      </c>
      <c r="K349">
        <v>90424800</v>
      </c>
      <c r="L349">
        <v>110.6919</v>
      </c>
      <c r="M349">
        <v>201.11670000000001</v>
      </c>
      <c r="N349" s="6">
        <f t="shared" si="22"/>
        <v>0.55038641743823358</v>
      </c>
      <c r="O349" s="7">
        <f>N349-F349</f>
        <v>-2.0120179652360903E-6</v>
      </c>
    </row>
    <row r="350" spans="1:15" x14ac:dyDescent="0.25">
      <c r="A350" s="1" t="s">
        <v>165</v>
      </c>
      <c r="B350" s="2">
        <v>647074800</v>
      </c>
      <c r="C350" s="2">
        <v>191869200</v>
      </c>
      <c r="D350">
        <f t="shared" si="23"/>
        <v>647.07479999999998</v>
      </c>
      <c r="E350" s="11">
        <f t="shared" si="20"/>
        <v>838.94399999999996</v>
      </c>
      <c r="F350" s="6">
        <f t="shared" si="21"/>
        <v>0.77129677308616551</v>
      </c>
      <c r="G350" t="s">
        <v>809</v>
      </c>
      <c r="H350" t="s">
        <v>165</v>
      </c>
      <c r="I350" t="str">
        <f>VLOOKUP(H350,Sheet2!$A$2:$B$459, 2, FALSE)</f>
        <v>LC</v>
      </c>
      <c r="J350">
        <v>647064000</v>
      </c>
      <c r="K350">
        <v>191868300</v>
      </c>
      <c r="L350">
        <v>647.06399999999996</v>
      </c>
      <c r="M350">
        <v>838.93230000000005</v>
      </c>
      <c r="N350" s="6">
        <f t="shared" si="22"/>
        <v>0.77129465631493732</v>
      </c>
      <c r="O350" s="7">
        <f>N350-F350</f>
        <v>-2.116771228188874E-6</v>
      </c>
    </row>
    <row r="351" spans="1:15" x14ac:dyDescent="0.25">
      <c r="A351" s="1" t="s">
        <v>312</v>
      </c>
      <c r="B351" s="2">
        <v>526527900</v>
      </c>
      <c r="C351" s="2">
        <v>9545400</v>
      </c>
      <c r="D351">
        <f t="shared" si="23"/>
        <v>526.52790000000005</v>
      </c>
      <c r="E351" s="11">
        <f t="shared" si="20"/>
        <v>536.07330000000002</v>
      </c>
      <c r="F351" s="6">
        <f t="shared" si="21"/>
        <v>0.98219385296749528</v>
      </c>
      <c r="G351" t="s">
        <v>810</v>
      </c>
      <c r="H351" t="s">
        <v>312</v>
      </c>
      <c r="I351" t="str">
        <f>VLOOKUP(H351,Sheet2!$A$2:$B$459, 2, FALSE)</f>
        <v>LC</v>
      </c>
      <c r="J351">
        <v>526527000</v>
      </c>
      <c r="K351">
        <v>9545400</v>
      </c>
      <c r="L351">
        <v>526.52700000000004</v>
      </c>
      <c r="M351">
        <v>536.07240000000002</v>
      </c>
      <c r="N351" s="6">
        <f t="shared" si="22"/>
        <v>0.98219382307315206</v>
      </c>
      <c r="O351" s="7">
        <f>N351-F351</f>
        <v>-2.9894343223091369E-8</v>
      </c>
    </row>
    <row r="352" spans="1:15" x14ac:dyDescent="0.25">
      <c r="A352" s="1" t="s">
        <v>313</v>
      </c>
      <c r="B352" s="2">
        <v>303855300</v>
      </c>
      <c r="C352" s="2">
        <v>27518400</v>
      </c>
      <c r="D352">
        <f t="shared" si="23"/>
        <v>303.8553</v>
      </c>
      <c r="E352" s="11">
        <f t="shared" si="20"/>
        <v>331.37369999999999</v>
      </c>
      <c r="F352" s="6">
        <f t="shared" si="21"/>
        <v>0.91695659613300629</v>
      </c>
      <c r="G352" t="s">
        <v>811</v>
      </c>
      <c r="H352" t="s">
        <v>313</v>
      </c>
      <c r="I352" t="str">
        <f>VLOOKUP(H352,Sheet2!$A$2:$B$459, 2, FALSE)</f>
        <v>LC</v>
      </c>
      <c r="J352">
        <v>303855300</v>
      </c>
      <c r="K352">
        <v>27518400</v>
      </c>
      <c r="L352">
        <v>303.8553</v>
      </c>
      <c r="M352">
        <v>331.37369999999999</v>
      </c>
      <c r="N352" s="6">
        <f t="shared" si="22"/>
        <v>0.9169565961330064</v>
      </c>
      <c r="O352" s="7">
        <f>N352-F352</f>
        <v>0</v>
      </c>
    </row>
    <row r="353" spans="1:15" x14ac:dyDescent="0.25">
      <c r="A353" s="1" t="s">
        <v>314</v>
      </c>
      <c r="B353" s="2">
        <v>442123200</v>
      </c>
      <c r="C353" s="2">
        <v>6965100</v>
      </c>
      <c r="D353">
        <f t="shared" si="23"/>
        <v>442.1232</v>
      </c>
      <c r="E353" s="11">
        <f t="shared" si="20"/>
        <v>449.0883</v>
      </c>
      <c r="F353" s="6">
        <f t="shared" si="21"/>
        <v>0.98449057791084738</v>
      </c>
      <c r="G353" t="s">
        <v>812</v>
      </c>
      <c r="H353" t="s">
        <v>314</v>
      </c>
      <c r="I353" t="str">
        <f>VLOOKUP(H353,Sheet2!$A$2:$B$459, 2, FALSE)</f>
        <v>LC</v>
      </c>
      <c r="J353">
        <v>442125000</v>
      </c>
      <c r="K353">
        <v>6965100</v>
      </c>
      <c r="L353">
        <v>442.125</v>
      </c>
      <c r="M353">
        <v>449.09010000000001</v>
      </c>
      <c r="N353" s="6">
        <f t="shared" si="22"/>
        <v>0.98449064007423004</v>
      </c>
      <c r="O353" s="7">
        <f>N353-F353</f>
        <v>6.2163382663626976E-8</v>
      </c>
    </row>
    <row r="354" spans="1:15" x14ac:dyDescent="0.25">
      <c r="A354" s="1" t="s">
        <v>317</v>
      </c>
      <c r="B354" s="2">
        <v>565746300</v>
      </c>
      <c r="C354" s="2">
        <v>318600</v>
      </c>
      <c r="D354">
        <f t="shared" si="23"/>
        <v>565.74630000000002</v>
      </c>
      <c r="E354" s="11">
        <f t="shared" si="20"/>
        <v>566.06489999999997</v>
      </c>
      <c r="F354" s="6">
        <f t="shared" si="21"/>
        <v>0.99943716701035512</v>
      </c>
      <c r="G354" t="s">
        <v>813</v>
      </c>
      <c r="H354" t="s">
        <v>317</v>
      </c>
      <c r="I354" t="str">
        <f>VLOOKUP(H354,Sheet2!$A$2:$B$459, 2, FALSE)</f>
        <v>LC</v>
      </c>
      <c r="J354">
        <v>565745400</v>
      </c>
      <c r="K354">
        <v>318600</v>
      </c>
      <c r="L354">
        <v>565.74540000000002</v>
      </c>
      <c r="M354">
        <v>566.06399999999996</v>
      </c>
      <c r="N354" s="6">
        <f t="shared" si="22"/>
        <v>0.99943716611549238</v>
      </c>
      <c r="O354" s="7">
        <f>N354-F354</f>
        <v>-8.9486273946448591E-10</v>
      </c>
    </row>
    <row r="355" spans="1:15" x14ac:dyDescent="0.25">
      <c r="A355" s="1" t="s">
        <v>318</v>
      </c>
      <c r="B355" s="2">
        <v>123074100</v>
      </c>
      <c r="C355" s="2">
        <v>237600</v>
      </c>
      <c r="D355">
        <f t="shared" si="23"/>
        <v>123.0741</v>
      </c>
      <c r="E355" s="11">
        <f t="shared" si="20"/>
        <v>123.3117</v>
      </c>
      <c r="F355" s="6">
        <f t="shared" si="21"/>
        <v>0.99807317553808761</v>
      </c>
      <c r="G355" t="s">
        <v>814</v>
      </c>
      <c r="H355" t="s">
        <v>318</v>
      </c>
      <c r="I355" t="str">
        <f>VLOOKUP(H355,Sheet2!$A$2:$B$459, 2, FALSE)</f>
        <v>LC</v>
      </c>
      <c r="J355">
        <v>123073200</v>
      </c>
      <c r="K355">
        <v>237600</v>
      </c>
      <c r="L355">
        <v>123.0732</v>
      </c>
      <c r="M355">
        <v>123.3108</v>
      </c>
      <c r="N355" s="6">
        <f t="shared" si="22"/>
        <v>0.99807316147490732</v>
      </c>
      <c r="O355" s="7">
        <f>N355-F355</f>
        <v>-1.406318028696063E-8</v>
      </c>
    </row>
    <row r="356" spans="1:15" x14ac:dyDescent="0.25">
      <c r="A356" s="1" t="s">
        <v>166</v>
      </c>
      <c r="B356" s="2">
        <v>2550847500</v>
      </c>
      <c r="C356" s="2">
        <v>600787800</v>
      </c>
      <c r="D356">
        <f t="shared" si="23"/>
        <v>2550.8474999999999</v>
      </c>
      <c r="E356" s="11">
        <f t="shared" si="20"/>
        <v>3151.6352999999999</v>
      </c>
      <c r="F356" s="6">
        <f t="shared" si="21"/>
        <v>0.8093726770987747</v>
      </c>
      <c r="G356" t="s">
        <v>815</v>
      </c>
      <c r="H356" t="s">
        <v>166</v>
      </c>
      <c r="I356" t="str">
        <f>VLOOKUP(H356,Sheet2!$A$2:$B$459, 2, FALSE)</f>
        <v>LC</v>
      </c>
      <c r="J356">
        <v>2550858300</v>
      </c>
      <c r="K356">
        <v>600783300</v>
      </c>
      <c r="L356">
        <v>2550.8582999999999</v>
      </c>
      <c r="M356">
        <v>3151.6415999999999</v>
      </c>
      <c r="N356" s="6">
        <f t="shared" si="22"/>
        <v>0.80937448598216244</v>
      </c>
      <c r="O356" s="7">
        <f>N356-F356</f>
        <v>1.8088833877438759E-6</v>
      </c>
    </row>
    <row r="357" spans="1:15" x14ac:dyDescent="0.25">
      <c r="A357" s="1" t="s">
        <v>167</v>
      </c>
      <c r="B357" s="2">
        <v>735231600</v>
      </c>
      <c r="C357" s="2">
        <v>132836400</v>
      </c>
      <c r="D357">
        <f t="shared" si="23"/>
        <v>735.23159999999996</v>
      </c>
      <c r="E357" s="11">
        <f t="shared" si="20"/>
        <v>868.06799999999998</v>
      </c>
      <c r="F357" s="6">
        <f t="shared" si="21"/>
        <v>0.84697466097126028</v>
      </c>
      <c r="G357" t="s">
        <v>816</v>
      </c>
      <c r="H357" t="s">
        <v>167</v>
      </c>
      <c r="I357" t="str">
        <f>VLOOKUP(H357,Sheet2!$A$2:$B$459, 2, FALSE)</f>
        <v>LC</v>
      </c>
      <c r="J357">
        <v>735228000</v>
      </c>
      <c r="K357">
        <v>132837300</v>
      </c>
      <c r="L357">
        <v>735.22799999999995</v>
      </c>
      <c r="M357">
        <v>868.06529999999998</v>
      </c>
      <c r="N357" s="6">
        <f t="shared" si="22"/>
        <v>0.84697314821822733</v>
      </c>
      <c r="O357" s="7">
        <f>N357-F357</f>
        <v>-1.51275303295062E-6</v>
      </c>
    </row>
    <row r="358" spans="1:15" x14ac:dyDescent="0.25">
      <c r="A358" s="1" t="s">
        <v>168</v>
      </c>
      <c r="B358" s="2">
        <v>888076800</v>
      </c>
      <c r="C358" s="2">
        <v>29417400</v>
      </c>
      <c r="D358">
        <f t="shared" si="23"/>
        <v>888.07680000000005</v>
      </c>
      <c r="E358" s="11">
        <f t="shared" si="20"/>
        <v>917.49419999999998</v>
      </c>
      <c r="F358" s="6">
        <f t="shared" si="21"/>
        <v>0.9679372360065055</v>
      </c>
      <c r="G358" t="s">
        <v>817</v>
      </c>
      <c r="H358" t="s">
        <v>168</v>
      </c>
      <c r="I358" t="str">
        <f>VLOOKUP(H358,Sheet2!$A$2:$B$459, 2, FALSE)</f>
        <v>LC</v>
      </c>
      <c r="J358">
        <v>888073200</v>
      </c>
      <c r="K358">
        <v>29418300</v>
      </c>
      <c r="L358">
        <v>888.07320000000004</v>
      </c>
      <c r="M358">
        <v>917.49149999999997</v>
      </c>
      <c r="N358" s="6">
        <f t="shared" si="22"/>
        <v>0.96793616071647537</v>
      </c>
      <c r="O358" s="7">
        <f>N358-F358</f>
        <v>-1.0752900301280732E-6</v>
      </c>
    </row>
    <row r="359" spans="1:15" x14ac:dyDescent="0.25">
      <c r="A359" s="1" t="s">
        <v>200</v>
      </c>
      <c r="B359" s="2">
        <v>101706300</v>
      </c>
      <c r="C359" s="2">
        <v>86400</v>
      </c>
      <c r="D359">
        <f t="shared" si="23"/>
        <v>101.7063</v>
      </c>
      <c r="E359" s="11">
        <f t="shared" si="20"/>
        <v>101.7927</v>
      </c>
      <c r="F359" s="6">
        <f t="shared" si="21"/>
        <v>0.99915121614811275</v>
      </c>
      <c r="G359" t="s">
        <v>818</v>
      </c>
      <c r="H359" t="s">
        <v>200</v>
      </c>
      <c r="I359" t="str">
        <f>VLOOKUP(H359,Sheet2!$A$2:$B$459, 2, FALSE)</f>
        <v>LC</v>
      </c>
      <c r="J359">
        <v>101706300</v>
      </c>
      <c r="K359">
        <v>86400</v>
      </c>
      <c r="L359">
        <v>101.7063</v>
      </c>
      <c r="M359">
        <v>101.7927</v>
      </c>
      <c r="N359" s="6">
        <f t="shared" si="22"/>
        <v>0.99915121614811275</v>
      </c>
      <c r="O359" s="7">
        <f>N359-F359</f>
        <v>0</v>
      </c>
    </row>
    <row r="360" spans="1:15" x14ac:dyDescent="0.25">
      <c r="A360" s="1" t="s">
        <v>201</v>
      </c>
      <c r="B360" s="2">
        <v>7331324400</v>
      </c>
      <c r="C360" s="2">
        <v>301231800</v>
      </c>
      <c r="D360">
        <f t="shared" si="23"/>
        <v>7331.3244000000004</v>
      </c>
      <c r="E360" s="11">
        <f t="shared" si="20"/>
        <v>7632.5562</v>
      </c>
      <c r="F360" s="6">
        <f t="shared" si="21"/>
        <v>0.96053330075709109</v>
      </c>
      <c r="G360" t="s">
        <v>819</v>
      </c>
      <c r="H360" t="s">
        <v>201</v>
      </c>
      <c r="I360" t="str">
        <f>VLOOKUP(H360,Sheet2!$A$2:$B$459, 2, FALSE)</f>
        <v>LC</v>
      </c>
      <c r="J360">
        <v>7331321700</v>
      </c>
      <c r="K360">
        <v>301231800</v>
      </c>
      <c r="L360">
        <v>7331.3217000000004</v>
      </c>
      <c r="M360">
        <v>7632.5535</v>
      </c>
      <c r="N360" s="6">
        <f t="shared" si="22"/>
        <v>0.96053328679582795</v>
      </c>
      <c r="O360" s="7">
        <f>N360-F360</f>
        <v>-1.3961263145567671E-8</v>
      </c>
    </row>
    <row r="361" spans="1:15" x14ac:dyDescent="0.25">
      <c r="A361" s="1" t="s">
        <v>202</v>
      </c>
      <c r="B361" s="2">
        <v>5237915400</v>
      </c>
      <c r="C361" s="2">
        <v>120069900</v>
      </c>
      <c r="D361">
        <f t="shared" si="23"/>
        <v>5237.9153999999999</v>
      </c>
      <c r="E361" s="11">
        <f t="shared" si="20"/>
        <v>5357.9853000000003</v>
      </c>
      <c r="F361" s="6">
        <f t="shared" si="21"/>
        <v>0.97759047603210114</v>
      </c>
      <c r="G361" t="s">
        <v>820</v>
      </c>
      <c r="H361" t="s">
        <v>202</v>
      </c>
      <c r="I361" t="str">
        <f>VLOOKUP(H361,Sheet2!$A$2:$B$459, 2, FALSE)</f>
        <v>LC</v>
      </c>
      <c r="J361">
        <v>5237919000</v>
      </c>
      <c r="K361">
        <v>120069900</v>
      </c>
      <c r="L361">
        <v>5237.9189999999999</v>
      </c>
      <c r="M361">
        <v>5357.9889000000003</v>
      </c>
      <c r="N361" s="6">
        <f t="shared" si="22"/>
        <v>0.97759049108892326</v>
      </c>
      <c r="O361" s="7">
        <f>N361-F361</f>
        <v>1.5056822122438973E-8</v>
      </c>
    </row>
    <row r="362" spans="1:15" x14ac:dyDescent="0.25">
      <c r="A362" s="1" t="s">
        <v>188</v>
      </c>
      <c r="B362" s="2">
        <v>451978200</v>
      </c>
      <c r="C362" s="2">
        <v>88797600</v>
      </c>
      <c r="D362">
        <f t="shared" si="23"/>
        <v>451.97820000000002</v>
      </c>
      <c r="E362" s="11">
        <f t="shared" si="20"/>
        <v>540.7758</v>
      </c>
      <c r="F362" s="6">
        <f t="shared" si="21"/>
        <v>0.83579590654759328</v>
      </c>
      <c r="G362" t="s">
        <v>821</v>
      </c>
      <c r="H362" t="s">
        <v>188</v>
      </c>
      <c r="I362" t="str">
        <f>VLOOKUP(H362,Sheet2!$A$2:$B$459, 2, FALSE)</f>
        <v>LC</v>
      </c>
      <c r="J362">
        <v>451979100</v>
      </c>
      <c r="K362">
        <v>88797600</v>
      </c>
      <c r="L362">
        <v>451.97910000000002</v>
      </c>
      <c r="M362">
        <v>540.77670000000001</v>
      </c>
      <c r="N362" s="6">
        <f t="shared" si="22"/>
        <v>0.83579617982801402</v>
      </c>
      <c r="O362" s="7">
        <f>N362-F362</f>
        <v>2.7328042073726522E-7</v>
      </c>
    </row>
    <row r="363" spans="1:15" x14ac:dyDescent="0.25">
      <c r="A363" s="1" t="s">
        <v>189</v>
      </c>
      <c r="B363" s="2">
        <v>227673000</v>
      </c>
      <c r="C363" s="2">
        <v>12402000</v>
      </c>
      <c r="D363">
        <f t="shared" si="23"/>
        <v>227.673</v>
      </c>
      <c r="E363" s="11">
        <f t="shared" si="20"/>
        <v>240.07499999999999</v>
      </c>
      <c r="F363" s="6">
        <f t="shared" si="21"/>
        <v>0.94834114339268982</v>
      </c>
      <c r="G363" t="s">
        <v>822</v>
      </c>
      <c r="H363" t="s">
        <v>189</v>
      </c>
      <c r="I363" t="str">
        <f>VLOOKUP(H363,Sheet2!$A$2:$B$459, 2, FALSE)</f>
        <v>LC</v>
      </c>
      <c r="J363">
        <v>227674800</v>
      </c>
      <c r="K363">
        <v>12402900</v>
      </c>
      <c r="L363">
        <v>227.6748</v>
      </c>
      <c r="M363">
        <v>240.07769999999999</v>
      </c>
      <c r="N363" s="6">
        <f t="shared" si="22"/>
        <v>0.94833797558040589</v>
      </c>
      <c r="O363" s="7">
        <f>N363-F363</f>
        <v>-3.1678122839329248E-6</v>
      </c>
    </row>
    <row r="364" spans="1:15" x14ac:dyDescent="0.25">
      <c r="A364" s="1" t="s">
        <v>190</v>
      </c>
      <c r="B364" s="2">
        <v>1379621700</v>
      </c>
      <c r="C364" s="2">
        <v>198839700</v>
      </c>
      <c r="D364">
        <f t="shared" si="23"/>
        <v>1379.6216999999999</v>
      </c>
      <c r="E364" s="11">
        <f t="shared" si="20"/>
        <v>1578.4613999999999</v>
      </c>
      <c r="F364" s="6">
        <f t="shared" si="21"/>
        <v>0.87402941877451046</v>
      </c>
      <c r="G364" t="s">
        <v>823</v>
      </c>
      <c r="H364" t="s">
        <v>190</v>
      </c>
      <c r="I364" t="str">
        <f>VLOOKUP(H364,Sheet2!$A$2:$B$459, 2, FALSE)</f>
        <v>EN</v>
      </c>
      <c r="J364">
        <v>1379624400</v>
      </c>
      <c r="K364">
        <v>198838800</v>
      </c>
      <c r="L364">
        <v>1379.6243999999999</v>
      </c>
      <c r="M364">
        <v>1578.4631999999999</v>
      </c>
      <c r="N364" s="6">
        <f t="shared" si="22"/>
        <v>0.8740301325998604</v>
      </c>
      <c r="O364" s="7">
        <f>N364-F364</f>
        <v>7.1382534994057778E-7</v>
      </c>
    </row>
    <row r="365" spans="1:15" x14ac:dyDescent="0.25">
      <c r="A365" s="1" t="s">
        <v>191</v>
      </c>
      <c r="B365" s="2">
        <v>2520071100</v>
      </c>
      <c r="C365" s="2">
        <v>35120700</v>
      </c>
      <c r="D365">
        <f t="shared" si="23"/>
        <v>2520.0711000000001</v>
      </c>
      <c r="E365" s="11">
        <f t="shared" si="20"/>
        <v>2555.1918000000001</v>
      </c>
      <c r="F365" s="6">
        <f t="shared" si="21"/>
        <v>0.98625516096286781</v>
      </c>
      <c r="G365" t="s">
        <v>824</v>
      </c>
      <c r="H365" t="s">
        <v>191</v>
      </c>
      <c r="I365" t="str">
        <f>VLOOKUP(H365,Sheet2!$A$2:$B$459, 2, FALSE)</f>
        <v>LC</v>
      </c>
      <c r="J365">
        <v>2520067500</v>
      </c>
      <c r="K365">
        <v>35121600</v>
      </c>
      <c r="L365">
        <v>2520.0675000000001</v>
      </c>
      <c r="M365">
        <v>2555.1891000000001</v>
      </c>
      <c r="N365" s="6">
        <f t="shared" si="22"/>
        <v>0.98625479421464346</v>
      </c>
      <c r="O365" s="7">
        <f>N365-F365</f>
        <v>-3.6674822434523691E-7</v>
      </c>
    </row>
    <row r="366" spans="1:15" x14ac:dyDescent="0.25">
      <c r="A366" s="1" t="s">
        <v>192</v>
      </c>
      <c r="B366" s="2">
        <v>772495200</v>
      </c>
      <c r="C366" s="2">
        <v>20800800</v>
      </c>
      <c r="D366">
        <f t="shared" si="23"/>
        <v>772.49519999999995</v>
      </c>
      <c r="E366" s="11">
        <f t="shared" si="20"/>
        <v>793.29600000000005</v>
      </c>
      <c r="F366" s="6">
        <f t="shared" si="21"/>
        <v>0.97377927028498823</v>
      </c>
      <c r="G366" t="s">
        <v>825</v>
      </c>
      <c r="H366" t="s">
        <v>192</v>
      </c>
      <c r="I366" t="str">
        <f>VLOOKUP(H366,Sheet2!$A$2:$B$459, 2, FALSE)</f>
        <v>LC</v>
      </c>
      <c r="J366">
        <v>772500600</v>
      </c>
      <c r="K366">
        <v>20800800</v>
      </c>
      <c r="L366">
        <v>772.50059999999996</v>
      </c>
      <c r="M366">
        <v>793.30139999999994</v>
      </c>
      <c r="N366" s="6">
        <f t="shared" si="22"/>
        <v>0.97377944876940847</v>
      </c>
      <c r="O366" s="7">
        <f>N366-F366</f>
        <v>1.7848442024348543E-7</v>
      </c>
    </row>
    <row r="367" spans="1:15" x14ac:dyDescent="0.25">
      <c r="A367" s="1" t="s">
        <v>193</v>
      </c>
      <c r="B367" s="2">
        <v>557259300</v>
      </c>
      <c r="C367" s="2">
        <v>2130300</v>
      </c>
      <c r="D367">
        <f t="shared" si="23"/>
        <v>557.25930000000005</v>
      </c>
      <c r="E367" s="11">
        <f t="shared" si="20"/>
        <v>559.38959999999997</v>
      </c>
      <c r="F367" s="6">
        <f t="shared" si="21"/>
        <v>0.99619174185576564</v>
      </c>
      <c r="G367" t="s">
        <v>826</v>
      </c>
      <c r="H367" t="s">
        <v>193</v>
      </c>
      <c r="I367" t="str">
        <f>VLOOKUP(H367,Sheet2!$A$2:$B$459, 2, FALSE)</f>
        <v>LC</v>
      </c>
      <c r="J367">
        <v>557256600</v>
      </c>
      <c r="K367">
        <v>2130300</v>
      </c>
      <c r="L367">
        <v>557.25660000000005</v>
      </c>
      <c r="M367">
        <v>559.38689999999997</v>
      </c>
      <c r="N367" s="6">
        <f t="shared" si="22"/>
        <v>0.99619172347439688</v>
      </c>
      <c r="O367" s="7">
        <f>N367-F367</f>
        <v>-1.8381368760422845E-8</v>
      </c>
    </row>
    <row r="368" spans="1:15" x14ac:dyDescent="0.25">
      <c r="A368" s="1" t="s">
        <v>194</v>
      </c>
      <c r="B368" s="2">
        <v>903990600</v>
      </c>
      <c r="C368" s="2">
        <v>24623100</v>
      </c>
      <c r="D368">
        <f t="shared" si="23"/>
        <v>903.99059999999997</v>
      </c>
      <c r="E368" s="11">
        <f t="shared" si="20"/>
        <v>928.61369999999999</v>
      </c>
      <c r="F368" s="6">
        <f t="shared" si="21"/>
        <v>0.97348402247349997</v>
      </c>
      <c r="G368" t="s">
        <v>827</v>
      </c>
      <c r="H368" t="s">
        <v>194</v>
      </c>
      <c r="I368" t="str">
        <f>VLOOKUP(H368,Sheet2!$A$2:$B$459, 2, FALSE)</f>
        <v>LC</v>
      </c>
      <c r="J368">
        <v>903991500</v>
      </c>
      <c r="K368">
        <v>24622200</v>
      </c>
      <c r="L368">
        <v>903.99149999999997</v>
      </c>
      <c r="M368">
        <v>928.61369999999999</v>
      </c>
      <c r="N368" s="6">
        <f t="shared" si="22"/>
        <v>0.9734849916601489</v>
      </c>
      <c r="O368" s="7">
        <f>N368-F368</f>
        <v>9.6918664893586026E-7</v>
      </c>
    </row>
    <row r="369" spans="1:16" x14ac:dyDescent="0.25">
      <c r="A369" s="1" t="s">
        <v>195</v>
      </c>
      <c r="B369" s="2">
        <v>1314571500</v>
      </c>
      <c r="C369" s="2">
        <v>3757500</v>
      </c>
      <c r="D369">
        <f t="shared" si="23"/>
        <v>1314.5715</v>
      </c>
      <c r="E369" s="11">
        <f t="shared" si="20"/>
        <v>1318.329</v>
      </c>
      <c r="F369" s="6">
        <f t="shared" si="21"/>
        <v>0.9971498009980817</v>
      </c>
      <c r="G369" t="s">
        <v>828</v>
      </c>
      <c r="H369" t="s">
        <v>195</v>
      </c>
      <c r="I369" t="str">
        <f>VLOOKUP(H369,Sheet2!$A$2:$B$459, 2, FALSE)</f>
        <v>LC</v>
      </c>
      <c r="J369">
        <v>1314570600</v>
      </c>
      <c r="K369">
        <v>3757500</v>
      </c>
      <c r="L369">
        <v>1314.5706</v>
      </c>
      <c r="M369">
        <v>1318.3280999999999</v>
      </c>
      <c r="N369" s="6">
        <f t="shared" si="22"/>
        <v>0.99714979905229972</v>
      </c>
      <c r="O369" s="7">
        <f>N369-F369</f>
        <v>-1.9457819799839626E-9</v>
      </c>
    </row>
    <row r="370" spans="1:16" x14ac:dyDescent="0.25">
      <c r="A370" s="1" t="s">
        <v>196</v>
      </c>
      <c r="B370" s="2">
        <v>6935355900</v>
      </c>
      <c r="C370" s="2">
        <v>52925400</v>
      </c>
      <c r="D370">
        <f t="shared" si="23"/>
        <v>6935.3558999999996</v>
      </c>
      <c r="E370" s="11">
        <f t="shared" si="20"/>
        <v>6988.2812999999996</v>
      </c>
      <c r="F370" s="6">
        <f t="shared" si="21"/>
        <v>0.99242654985854672</v>
      </c>
      <c r="G370" t="s">
        <v>829</v>
      </c>
      <c r="H370" t="s">
        <v>196</v>
      </c>
      <c r="I370" t="str">
        <f>VLOOKUP(H370,Sheet2!$A$2:$B$459, 2, FALSE)</f>
        <v>LC</v>
      </c>
      <c r="J370">
        <v>6935355900</v>
      </c>
      <c r="K370">
        <v>52925400</v>
      </c>
      <c r="L370">
        <v>6935.3558999999996</v>
      </c>
      <c r="M370">
        <v>6988.2812999999996</v>
      </c>
      <c r="N370" s="6">
        <f t="shared" si="22"/>
        <v>0.99242654985854672</v>
      </c>
      <c r="O370" s="7">
        <f>N370-F370</f>
        <v>0</v>
      </c>
    </row>
    <row r="371" spans="1:16" x14ac:dyDescent="0.25">
      <c r="A371" s="1" t="s">
        <v>197</v>
      </c>
      <c r="B371" s="2">
        <v>4683022200</v>
      </c>
      <c r="C371" s="2">
        <v>31460400</v>
      </c>
      <c r="D371">
        <f t="shared" si="23"/>
        <v>4683.0222000000003</v>
      </c>
      <c r="E371" s="11">
        <f t="shared" si="20"/>
        <v>4714.4826000000003</v>
      </c>
      <c r="F371" s="6">
        <f t="shared" si="21"/>
        <v>0.99332686051275276</v>
      </c>
      <c r="G371" t="s">
        <v>830</v>
      </c>
      <c r="H371" t="s">
        <v>197</v>
      </c>
      <c r="I371" t="str">
        <f>VLOOKUP(H371,Sheet2!$A$2:$B$459, 2, FALSE)</f>
        <v>LC</v>
      </c>
      <c r="J371">
        <v>4683019500</v>
      </c>
      <c r="K371">
        <v>31460400</v>
      </c>
      <c r="L371">
        <v>4683.0195000000003</v>
      </c>
      <c r="M371">
        <v>4714.4799000000003</v>
      </c>
      <c r="N371" s="6">
        <f t="shared" si="22"/>
        <v>0.99332685669102128</v>
      </c>
      <c r="O371" s="7">
        <f>N371-F371</f>
        <v>-3.8217314868305152E-9</v>
      </c>
    </row>
    <row r="372" spans="1:16" x14ac:dyDescent="0.25">
      <c r="A372" s="1" t="s">
        <v>198</v>
      </c>
      <c r="B372" s="2">
        <v>501740100</v>
      </c>
      <c r="C372" s="2">
        <v>151677000</v>
      </c>
      <c r="D372">
        <f t="shared" si="23"/>
        <v>501.74009999999998</v>
      </c>
      <c r="E372" s="11">
        <f t="shared" si="20"/>
        <v>653.4171</v>
      </c>
      <c r="F372" s="6">
        <f t="shared" si="21"/>
        <v>0.76787108877315879</v>
      </c>
      <c r="G372" t="s">
        <v>831</v>
      </c>
      <c r="H372" t="s">
        <v>198</v>
      </c>
      <c r="I372" t="str">
        <f>VLOOKUP(H372,Sheet2!$A$2:$B$459, 2, FALSE)</f>
        <v>LC</v>
      </c>
      <c r="J372">
        <v>501740100</v>
      </c>
      <c r="K372">
        <v>151676100</v>
      </c>
      <c r="L372">
        <v>501.74009999999998</v>
      </c>
      <c r="M372">
        <v>653.4162</v>
      </c>
      <c r="N372" s="6">
        <f t="shared" si="22"/>
        <v>0.76787214642061208</v>
      </c>
      <c r="O372" s="7">
        <f>N372-F372</f>
        <v>1.0576474532841829E-6</v>
      </c>
    </row>
    <row r="373" spans="1:16" x14ac:dyDescent="0.25">
      <c r="A373" s="1" t="s">
        <v>199</v>
      </c>
      <c r="B373" s="2">
        <v>3943930500</v>
      </c>
      <c r="C373" s="2">
        <v>165102300</v>
      </c>
      <c r="D373">
        <f t="shared" si="23"/>
        <v>3943.9304999999999</v>
      </c>
      <c r="E373" s="11">
        <f t="shared" si="20"/>
        <v>4109.0328</v>
      </c>
      <c r="F373" s="6">
        <f t="shared" si="21"/>
        <v>0.95981966851177236</v>
      </c>
      <c r="G373" t="s">
        <v>832</v>
      </c>
      <c r="H373" t="s">
        <v>199</v>
      </c>
      <c r="I373" t="str">
        <f>VLOOKUP(H373,Sheet2!$A$2:$B$459, 2, FALSE)</f>
        <v>LC</v>
      </c>
      <c r="J373">
        <v>3943928700</v>
      </c>
      <c r="K373">
        <v>165101400</v>
      </c>
      <c r="L373">
        <v>3943.9286999999999</v>
      </c>
      <c r="M373">
        <v>4109.0300999999999</v>
      </c>
      <c r="N373" s="6">
        <f t="shared" si="22"/>
        <v>0.95981986113949369</v>
      </c>
      <c r="O373" s="7">
        <f>N373-F373</f>
        <v>1.9262772132933037E-7</v>
      </c>
    </row>
    <row r="374" spans="1:16" x14ac:dyDescent="0.25">
      <c r="A374" s="1" t="s">
        <v>395</v>
      </c>
      <c r="B374" s="2">
        <v>5155835400</v>
      </c>
      <c r="C374" s="2">
        <v>1489474800</v>
      </c>
      <c r="D374">
        <f t="shared" si="23"/>
        <v>5155.8353999999999</v>
      </c>
      <c r="E374" s="11">
        <f t="shared" si="20"/>
        <v>6645.3101999999999</v>
      </c>
      <c r="F374" s="6">
        <f t="shared" si="21"/>
        <v>0.77586075665813159</v>
      </c>
      <c r="G374" t="s">
        <v>833</v>
      </c>
      <c r="H374" t="s">
        <v>395</v>
      </c>
      <c r="I374" t="str">
        <f>VLOOKUP(H374,Sheet2!$A$2:$B$459, 2, FALSE)</f>
        <v>LC</v>
      </c>
      <c r="J374">
        <v>7662321000</v>
      </c>
      <c r="K374">
        <v>2000927700</v>
      </c>
      <c r="L374">
        <v>7662.3209999999999</v>
      </c>
      <c r="M374">
        <v>9663.2487000000001</v>
      </c>
      <c r="N374" s="6">
        <f t="shared" si="22"/>
        <v>0.7929342644363484</v>
      </c>
      <c r="O374" s="7">
        <f>N374-F374</f>
        <v>1.7073507778216812E-2</v>
      </c>
    </row>
    <row r="375" spans="1:16" x14ac:dyDescent="0.25">
      <c r="A375" s="1" t="s">
        <v>396</v>
      </c>
      <c r="B375" s="2">
        <v>970775100</v>
      </c>
      <c r="C375" s="2">
        <v>471330000</v>
      </c>
      <c r="D375">
        <f t="shared" si="23"/>
        <v>970.77509999999995</v>
      </c>
      <c r="E375" s="11">
        <f t="shared" si="20"/>
        <v>1442.1051</v>
      </c>
      <c r="F375" s="6">
        <f t="shared" si="21"/>
        <v>0.67316529148950377</v>
      </c>
      <c r="G375" t="s">
        <v>834</v>
      </c>
      <c r="H375" t="s">
        <v>396</v>
      </c>
      <c r="I375" t="str">
        <f>VLOOKUP(H375,Sheet2!$A$2:$B$459, 2, FALSE)</f>
        <v>LC</v>
      </c>
      <c r="J375">
        <v>702593100</v>
      </c>
      <c r="K375">
        <v>322404300</v>
      </c>
      <c r="L375">
        <v>702.59310000000005</v>
      </c>
      <c r="M375">
        <v>1024.9974</v>
      </c>
      <c r="N375" s="6">
        <f t="shared" si="22"/>
        <v>0.68545842165063064</v>
      </c>
      <c r="O375" s="7">
        <f>N375-F375</f>
        <v>1.2293130161126875E-2</v>
      </c>
    </row>
    <row r="376" spans="1:16" s="16" customFormat="1" x14ac:dyDescent="0.25">
      <c r="A376" s="14" t="s">
        <v>337</v>
      </c>
      <c r="B376" s="15">
        <v>2523068100</v>
      </c>
      <c r="C376" s="15">
        <v>762489000</v>
      </c>
      <c r="D376" s="16">
        <f t="shared" si="23"/>
        <v>2523.0681</v>
      </c>
      <c r="E376" s="17">
        <f t="shared" si="20"/>
        <v>3285.5571</v>
      </c>
      <c r="F376" s="18">
        <f t="shared" si="21"/>
        <v>0.76792702826561743</v>
      </c>
      <c r="G376" s="16" t="s">
        <v>835</v>
      </c>
      <c r="H376" s="16" t="s">
        <v>337</v>
      </c>
      <c r="I376" t="str">
        <f>VLOOKUP(H376,Sheet2!$A$2:$B$459, 2, FALSE)</f>
        <v>LC</v>
      </c>
      <c r="J376" s="16">
        <v>1438996500</v>
      </c>
      <c r="K376" s="16">
        <v>578812500</v>
      </c>
      <c r="L376" s="16">
        <v>1438.9965</v>
      </c>
      <c r="M376" s="16">
        <v>2017.809</v>
      </c>
      <c r="N376" s="18">
        <f t="shared" si="22"/>
        <v>0.71314802342540839</v>
      </c>
      <c r="O376" s="19">
        <f>N376-F376</f>
        <v>-5.4779004840209033E-2</v>
      </c>
      <c r="P376" s="16" t="s">
        <v>936</v>
      </c>
    </row>
    <row r="377" spans="1:16" x14ac:dyDescent="0.25">
      <c r="A377" s="1" t="s">
        <v>397</v>
      </c>
      <c r="B377" s="2">
        <v>11095737300</v>
      </c>
      <c r="C377" s="2">
        <v>6288378300</v>
      </c>
      <c r="D377">
        <f t="shared" si="23"/>
        <v>11095.737300000001</v>
      </c>
      <c r="E377" s="11">
        <f t="shared" si="20"/>
        <v>17384.115600000001</v>
      </c>
      <c r="F377" s="6">
        <f t="shared" si="21"/>
        <v>0.63826872504230237</v>
      </c>
      <c r="G377" t="s">
        <v>836</v>
      </c>
      <c r="H377" t="s">
        <v>397</v>
      </c>
      <c r="I377" t="str">
        <f>VLOOKUP(H377,Sheet2!$A$2:$B$459, 2, FALSE)</f>
        <v>LC</v>
      </c>
      <c r="J377">
        <v>11010857400</v>
      </c>
      <c r="K377">
        <v>6244372800</v>
      </c>
      <c r="L377">
        <v>11010.857400000001</v>
      </c>
      <c r="M377">
        <v>17255.230200000002</v>
      </c>
      <c r="N377" s="6">
        <f t="shared" si="22"/>
        <v>0.63811709680929085</v>
      </c>
      <c r="O377" s="7">
        <f>N377-F377</f>
        <v>-1.5162823301151374E-4</v>
      </c>
    </row>
    <row r="378" spans="1:16" x14ac:dyDescent="0.25">
      <c r="A378" s="1" t="s">
        <v>398</v>
      </c>
      <c r="B378" s="2">
        <v>1929952800</v>
      </c>
      <c r="C378" s="2">
        <v>136377000</v>
      </c>
      <c r="D378">
        <f t="shared" si="23"/>
        <v>1929.9528</v>
      </c>
      <c r="E378" s="11">
        <f t="shared" si="20"/>
        <v>2066.3298</v>
      </c>
      <c r="F378" s="6">
        <f t="shared" si="21"/>
        <v>0.93400037109274614</v>
      </c>
      <c r="G378" t="s">
        <v>837</v>
      </c>
      <c r="H378" t="s">
        <v>398</v>
      </c>
      <c r="I378" t="str">
        <f>VLOOKUP(H378,Sheet2!$A$2:$B$459, 2, FALSE)</f>
        <v>LC</v>
      </c>
      <c r="J378">
        <v>1929956400</v>
      </c>
      <c r="K378">
        <v>136377900</v>
      </c>
      <c r="L378">
        <v>1929.9564</v>
      </c>
      <c r="M378">
        <v>2066.3343</v>
      </c>
      <c r="N378" s="6">
        <f t="shared" si="22"/>
        <v>0.93400007927081308</v>
      </c>
      <c r="O378" s="7">
        <f>N378-F378</f>
        <v>-2.9182193306276361E-7</v>
      </c>
    </row>
    <row r="379" spans="1:16" x14ac:dyDescent="0.25">
      <c r="A379" s="1" t="s">
        <v>399</v>
      </c>
      <c r="B379" s="2">
        <v>448409700</v>
      </c>
      <c r="C379" s="2">
        <v>311534100</v>
      </c>
      <c r="D379">
        <f t="shared" si="23"/>
        <v>448.40969999999999</v>
      </c>
      <c r="E379" s="11">
        <f t="shared" si="20"/>
        <v>759.94380000000001</v>
      </c>
      <c r="F379" s="6">
        <f t="shared" si="21"/>
        <v>0.59005639627561934</v>
      </c>
      <c r="G379" t="s">
        <v>838</v>
      </c>
      <c r="H379" t="s">
        <v>399</v>
      </c>
      <c r="I379" t="str">
        <f>VLOOKUP(H379,Sheet2!$A$2:$B$459, 2, FALSE)</f>
        <v>LC</v>
      </c>
      <c r="J379">
        <v>448409700</v>
      </c>
      <c r="K379">
        <v>311533200</v>
      </c>
      <c r="L379">
        <v>448.40969999999999</v>
      </c>
      <c r="M379">
        <v>759.94290000000001</v>
      </c>
      <c r="N379" s="6">
        <f t="shared" si="22"/>
        <v>0.59005709507911708</v>
      </c>
      <c r="O379" s="7">
        <f>N379-F379</f>
        <v>6.9880349773399075E-7</v>
      </c>
    </row>
    <row r="380" spans="1:16" s="16" customFormat="1" x14ac:dyDescent="0.25">
      <c r="A380" s="14" t="s">
        <v>400</v>
      </c>
      <c r="B380" s="15">
        <v>2958985800</v>
      </c>
      <c r="C380" s="15">
        <v>4239195300</v>
      </c>
      <c r="D380" s="16">
        <f t="shared" si="23"/>
        <v>2958.9857999999999</v>
      </c>
      <c r="E380" s="17">
        <f t="shared" si="20"/>
        <v>7198.1810999999998</v>
      </c>
      <c r="F380" s="18">
        <f t="shared" si="21"/>
        <v>0.41107409759390467</v>
      </c>
      <c r="G380" s="16" t="s">
        <v>839</v>
      </c>
      <c r="H380" s="16" t="s">
        <v>400</v>
      </c>
      <c r="I380" t="str">
        <f>VLOOKUP(H380,Sheet2!$A$2:$B$459, 2, FALSE)</f>
        <v>VU</v>
      </c>
      <c r="J380" s="16">
        <v>3996301500</v>
      </c>
      <c r="K380" s="16">
        <v>4932108900</v>
      </c>
      <c r="L380" s="16">
        <v>3996.3015</v>
      </c>
      <c r="M380" s="16">
        <v>8928.4104000000007</v>
      </c>
      <c r="N380" s="18">
        <f t="shared" si="22"/>
        <v>0.44759384044443118</v>
      </c>
      <c r="O380" s="19">
        <f>N380-F380</f>
        <v>3.6519742850526504E-2</v>
      </c>
      <c r="P380" s="8" t="s">
        <v>968</v>
      </c>
    </row>
    <row r="381" spans="1:16" s="16" customFormat="1" x14ac:dyDescent="0.25">
      <c r="A381" s="14" t="s">
        <v>401</v>
      </c>
      <c r="B381" s="15">
        <v>9863814600</v>
      </c>
      <c r="C381" s="15">
        <v>2210166900</v>
      </c>
      <c r="D381" s="16">
        <f t="shared" si="23"/>
        <v>9863.8145999999997</v>
      </c>
      <c r="E381" s="17">
        <f t="shared" si="20"/>
        <v>12073.9815</v>
      </c>
      <c r="F381" s="18">
        <f t="shared" si="21"/>
        <v>0.81694796368538414</v>
      </c>
      <c r="G381" s="16" t="s">
        <v>840</v>
      </c>
      <c r="H381" s="16" t="s">
        <v>401</v>
      </c>
      <c r="I381" t="str">
        <f>VLOOKUP(H381,Sheet2!$A$2:$B$459, 2, FALSE)</f>
        <v>LC</v>
      </c>
      <c r="J381" s="16">
        <v>6010173000</v>
      </c>
      <c r="K381" s="16">
        <v>483972300</v>
      </c>
      <c r="L381" s="16">
        <v>6010.1729999999998</v>
      </c>
      <c r="M381" s="16">
        <v>6494.1453000000001</v>
      </c>
      <c r="N381" s="18">
        <f t="shared" si="22"/>
        <v>0.92547559722755202</v>
      </c>
      <c r="O381" s="19">
        <f>N381-F381</f>
        <v>0.10852763354216788</v>
      </c>
      <c r="P381" s="16" t="s">
        <v>937</v>
      </c>
    </row>
    <row r="382" spans="1:16" x14ac:dyDescent="0.25">
      <c r="A382" s="1" t="s">
        <v>402</v>
      </c>
      <c r="B382" s="2">
        <v>8256757500</v>
      </c>
      <c r="C382" s="2">
        <v>644361300</v>
      </c>
      <c r="D382">
        <f t="shared" si="23"/>
        <v>8256.7574999999997</v>
      </c>
      <c r="E382" s="11">
        <f t="shared" si="20"/>
        <v>8901.1188000000002</v>
      </c>
      <c r="F382" s="6">
        <f t="shared" si="21"/>
        <v>0.92760895405642718</v>
      </c>
      <c r="G382" t="s">
        <v>841</v>
      </c>
      <c r="H382" t="s">
        <v>402</v>
      </c>
      <c r="I382" t="str">
        <f>VLOOKUP(H382,Sheet2!$A$2:$B$459, 2, FALSE)</f>
        <v>LC</v>
      </c>
      <c r="J382">
        <v>8187265800</v>
      </c>
      <c r="K382">
        <v>636275700</v>
      </c>
      <c r="L382">
        <v>8187.2658000000001</v>
      </c>
      <c r="M382">
        <v>8823.5414999999994</v>
      </c>
      <c r="N382" s="6">
        <f t="shared" si="22"/>
        <v>0.92788885279227173</v>
      </c>
      <c r="O382" s="7">
        <f>N382-F382</f>
        <v>2.798987358445526E-4</v>
      </c>
    </row>
    <row r="383" spans="1:16" x14ac:dyDescent="0.25">
      <c r="A383" s="1" t="s">
        <v>403</v>
      </c>
      <c r="B383" s="2">
        <v>5157854100</v>
      </c>
      <c r="C383" s="2">
        <v>1338533100</v>
      </c>
      <c r="D383">
        <f t="shared" si="23"/>
        <v>5157.8540999999996</v>
      </c>
      <c r="E383" s="11">
        <f t="shared" si="20"/>
        <v>6496.3872000000001</v>
      </c>
      <c r="F383" s="6">
        <f t="shared" si="21"/>
        <v>0.79395730907172524</v>
      </c>
      <c r="G383" t="s">
        <v>842</v>
      </c>
      <c r="H383" t="s">
        <v>403</v>
      </c>
      <c r="I383" t="str">
        <f>VLOOKUP(H383,Sheet2!$A$2:$B$459, 2, FALSE)</f>
        <v>LC</v>
      </c>
      <c r="J383">
        <v>5157856800</v>
      </c>
      <c r="K383">
        <v>1338533100</v>
      </c>
      <c r="L383">
        <v>5157.8567999999996</v>
      </c>
      <c r="M383">
        <v>6496.3899000000001</v>
      </c>
      <c r="N383" s="6">
        <f t="shared" si="22"/>
        <v>0.79395739470625049</v>
      </c>
      <c r="O383" s="7">
        <f>N383-F383</f>
        <v>8.5634525248678983E-8</v>
      </c>
    </row>
    <row r="384" spans="1:16" x14ac:dyDescent="0.25">
      <c r="A384" s="1" t="s">
        <v>404</v>
      </c>
      <c r="B384" s="2">
        <v>10749168000</v>
      </c>
      <c r="C384" s="2">
        <v>1262808000</v>
      </c>
      <c r="D384">
        <f t="shared" si="23"/>
        <v>10749.168</v>
      </c>
      <c r="E384" s="11">
        <f t="shared" si="20"/>
        <v>12011.976000000001</v>
      </c>
      <c r="F384" s="6">
        <f t="shared" si="21"/>
        <v>0.89487091882301462</v>
      </c>
      <c r="G384" t="s">
        <v>843</v>
      </c>
      <c r="H384" t="s">
        <v>404</v>
      </c>
      <c r="I384" t="str">
        <f>VLOOKUP(H384,Sheet2!$A$2:$B$459, 2, FALSE)</f>
        <v>LC</v>
      </c>
      <c r="J384">
        <v>10749175200</v>
      </c>
      <c r="K384">
        <v>1262808900</v>
      </c>
      <c r="L384">
        <v>10749.1752</v>
      </c>
      <c r="M384">
        <v>12011.9841</v>
      </c>
      <c r="N384" s="6">
        <f t="shared" si="22"/>
        <v>0.89487091478917291</v>
      </c>
      <c r="O384" s="7">
        <f>N384-F384</f>
        <v>-4.0338417051088982E-9</v>
      </c>
    </row>
    <row r="385" spans="1:16" x14ac:dyDescent="0.25">
      <c r="A385" s="1" t="s">
        <v>405</v>
      </c>
      <c r="B385" s="2">
        <v>1075666500</v>
      </c>
      <c r="C385" s="2">
        <v>31795200</v>
      </c>
      <c r="D385">
        <f t="shared" si="23"/>
        <v>1075.6665</v>
      </c>
      <c r="E385" s="11">
        <f t="shared" si="20"/>
        <v>1107.4617000000001</v>
      </c>
      <c r="F385" s="6">
        <f t="shared" si="21"/>
        <v>0.97129002294165112</v>
      </c>
      <c r="G385" t="s">
        <v>844</v>
      </c>
      <c r="H385" t="s">
        <v>405</v>
      </c>
      <c r="I385" t="str">
        <f>VLOOKUP(H385,Sheet2!$A$2:$B$459, 2, FALSE)</f>
        <v>LC</v>
      </c>
      <c r="J385">
        <v>949574700</v>
      </c>
      <c r="K385">
        <v>24442200</v>
      </c>
      <c r="L385">
        <v>949.57470000000001</v>
      </c>
      <c r="M385">
        <v>974.01689999999996</v>
      </c>
      <c r="N385" s="6">
        <f t="shared" si="22"/>
        <v>0.97490577422219271</v>
      </c>
      <c r="O385" s="7">
        <f>N385-F385</f>
        <v>3.6157512805415903E-3</v>
      </c>
    </row>
    <row r="386" spans="1:16" x14ac:dyDescent="0.25">
      <c r="A386" s="1" t="s">
        <v>406</v>
      </c>
      <c r="B386" s="2">
        <v>6367797900</v>
      </c>
      <c r="C386" s="2">
        <v>3743149500</v>
      </c>
      <c r="D386">
        <f t="shared" si="23"/>
        <v>6367.7978999999996</v>
      </c>
      <c r="E386" s="11">
        <f t="shared" si="20"/>
        <v>10110.947399999999</v>
      </c>
      <c r="F386" s="6">
        <f t="shared" si="21"/>
        <v>0.62979240699046657</v>
      </c>
      <c r="G386" t="s">
        <v>845</v>
      </c>
      <c r="H386" t="s">
        <v>406</v>
      </c>
      <c r="I386" t="str">
        <f>VLOOKUP(H386,Sheet2!$A$2:$B$459, 2, FALSE)</f>
        <v>LC</v>
      </c>
      <c r="J386">
        <v>6367797000</v>
      </c>
      <c r="K386">
        <v>3743149500</v>
      </c>
      <c r="L386">
        <v>6367.7969999999996</v>
      </c>
      <c r="M386">
        <v>10110.9465</v>
      </c>
      <c r="N386" s="6">
        <f t="shared" si="22"/>
        <v>0.62979237403738608</v>
      </c>
      <c r="O386" s="7">
        <f>N386-F386</f>
        <v>-3.295308048656409E-8</v>
      </c>
    </row>
    <row r="387" spans="1:16" x14ac:dyDescent="0.25">
      <c r="A387" s="1" t="s">
        <v>407</v>
      </c>
      <c r="B387" s="2">
        <v>3076114500</v>
      </c>
      <c r="C387" s="2">
        <v>1071621900</v>
      </c>
      <c r="D387">
        <f t="shared" si="23"/>
        <v>3076.1145000000001</v>
      </c>
      <c r="E387" s="11">
        <f t="shared" ref="E387:E450" si="24">(B387+C387)/1000000</f>
        <v>4147.7363999999998</v>
      </c>
      <c r="F387" s="6">
        <f t="shared" ref="F387:F450" si="25">B387/(B387+C387)</f>
        <v>0.74163693237593398</v>
      </c>
      <c r="G387" t="s">
        <v>846</v>
      </c>
      <c r="H387" t="s">
        <v>407</v>
      </c>
      <c r="I387" t="str">
        <f>VLOOKUP(H387,Sheet2!$A$2:$B$459, 2, FALSE)</f>
        <v>LC</v>
      </c>
      <c r="J387">
        <v>3076334100</v>
      </c>
      <c r="K387">
        <v>1071666900</v>
      </c>
      <c r="L387">
        <v>3076.3341</v>
      </c>
      <c r="M387">
        <v>4148.0010000000002</v>
      </c>
      <c r="N387" s="6">
        <f t="shared" ref="N387:N450" si="26">L387/M387</f>
        <v>0.74164256469562084</v>
      </c>
      <c r="O387" s="7">
        <f>N387-F387</f>
        <v>5.6323196868657277E-6</v>
      </c>
    </row>
    <row r="388" spans="1:16" s="16" customFormat="1" x14ac:dyDescent="0.25">
      <c r="A388" s="14" t="s">
        <v>408</v>
      </c>
      <c r="B388" s="15">
        <v>537300</v>
      </c>
      <c r="C388" s="15">
        <v>65700</v>
      </c>
      <c r="D388" s="16">
        <f t="shared" ref="D388:D451" si="27">B388/1000000</f>
        <v>0.5373</v>
      </c>
      <c r="E388" s="17">
        <f t="shared" si="24"/>
        <v>0.60299999999999998</v>
      </c>
      <c r="F388" s="18">
        <f t="shared" si="25"/>
        <v>0.89104477611940303</v>
      </c>
      <c r="G388" s="16" t="s">
        <v>847</v>
      </c>
      <c r="H388" s="16" t="s">
        <v>408</v>
      </c>
      <c r="I388" t="str">
        <f>VLOOKUP(H388,Sheet2!$A$2:$B$459, 2, FALSE)</f>
        <v>LC</v>
      </c>
      <c r="J388" s="16">
        <v>315900</v>
      </c>
      <c r="K388" s="16">
        <v>19800</v>
      </c>
      <c r="L388" s="16">
        <v>0.31590000000000001</v>
      </c>
      <c r="M388" s="16">
        <v>0.3357</v>
      </c>
      <c r="N388" s="18">
        <f t="shared" si="26"/>
        <v>0.94101876675603224</v>
      </c>
      <c r="O388" s="19">
        <f>N388-F388</f>
        <v>4.9973990636629217E-2</v>
      </c>
      <c r="P388" s="16" t="s">
        <v>938</v>
      </c>
    </row>
    <row r="389" spans="1:16" x14ac:dyDescent="0.25">
      <c r="A389" s="1" t="s">
        <v>409</v>
      </c>
      <c r="B389" s="2">
        <v>2565956700</v>
      </c>
      <c r="C389" s="2">
        <v>1879346700</v>
      </c>
      <c r="D389">
        <f t="shared" si="27"/>
        <v>2565.9567000000002</v>
      </c>
      <c r="E389" s="11">
        <f t="shared" si="24"/>
        <v>4445.3033999999998</v>
      </c>
      <c r="F389" s="6">
        <f t="shared" si="25"/>
        <v>0.57722869939541133</v>
      </c>
      <c r="G389" t="s">
        <v>848</v>
      </c>
      <c r="H389" t="s">
        <v>409</v>
      </c>
      <c r="I389" t="str">
        <f>VLOOKUP(H389,Sheet2!$A$2:$B$459, 2, FALSE)</f>
        <v>LC</v>
      </c>
      <c r="J389">
        <v>2565956700</v>
      </c>
      <c r="K389">
        <v>1879347600</v>
      </c>
      <c r="L389">
        <v>2565.9567000000002</v>
      </c>
      <c r="M389">
        <v>4445.3042999999998</v>
      </c>
      <c r="N389" s="6">
        <f t="shared" si="26"/>
        <v>0.57722858252920961</v>
      </c>
      <c r="O389" s="7">
        <f>N389-F389</f>
        <v>-1.16866201715915E-7</v>
      </c>
    </row>
    <row r="390" spans="1:16" x14ac:dyDescent="0.25">
      <c r="A390" s="1" t="s">
        <v>410</v>
      </c>
      <c r="B390" s="2">
        <v>599022000</v>
      </c>
      <c r="C390" s="2">
        <v>67872600</v>
      </c>
      <c r="D390">
        <f t="shared" si="27"/>
        <v>599.02200000000005</v>
      </c>
      <c r="E390" s="11">
        <f t="shared" si="24"/>
        <v>666.89459999999997</v>
      </c>
      <c r="F390" s="6">
        <f t="shared" si="25"/>
        <v>0.89822589656596408</v>
      </c>
      <c r="G390" t="s">
        <v>849</v>
      </c>
      <c r="H390" t="s">
        <v>410</v>
      </c>
      <c r="I390" t="str">
        <f>VLOOKUP(H390,Sheet2!$A$2:$B$459, 2, FALSE)</f>
        <v>LC</v>
      </c>
      <c r="J390">
        <v>599023800</v>
      </c>
      <c r="K390">
        <v>67871700</v>
      </c>
      <c r="L390">
        <v>599.02380000000005</v>
      </c>
      <c r="M390">
        <v>666.89549999999997</v>
      </c>
      <c r="N390" s="6">
        <f t="shared" si="26"/>
        <v>0.89822738345063069</v>
      </c>
      <c r="O390" s="7">
        <f>N390-F390</f>
        <v>1.4868846666127311E-6</v>
      </c>
    </row>
    <row r="391" spans="1:16" x14ac:dyDescent="0.25">
      <c r="A391" s="1" t="s">
        <v>411</v>
      </c>
      <c r="B391" s="2">
        <v>828915300</v>
      </c>
      <c r="C391" s="2">
        <v>62462700</v>
      </c>
      <c r="D391">
        <f t="shared" si="27"/>
        <v>828.9153</v>
      </c>
      <c r="E391" s="11">
        <f t="shared" si="24"/>
        <v>891.37800000000004</v>
      </c>
      <c r="F391" s="6">
        <f t="shared" si="25"/>
        <v>0.92992568809192055</v>
      </c>
      <c r="G391" t="s">
        <v>850</v>
      </c>
      <c r="H391" t="s">
        <v>411</v>
      </c>
      <c r="I391" t="str">
        <f>VLOOKUP(H391,Sheet2!$A$2:$B$459, 2, FALSE)</f>
        <v>LC</v>
      </c>
      <c r="J391">
        <v>828914400</v>
      </c>
      <c r="K391">
        <v>62462700</v>
      </c>
      <c r="L391">
        <v>828.9144</v>
      </c>
      <c r="M391">
        <v>891.37710000000004</v>
      </c>
      <c r="N391" s="6">
        <f t="shared" si="26"/>
        <v>0.92992561733973189</v>
      </c>
      <c r="O391" s="7">
        <f>N391-F391</f>
        <v>-7.0752188663369964E-8</v>
      </c>
    </row>
    <row r="392" spans="1:16" x14ac:dyDescent="0.25">
      <c r="A392" s="1" t="s">
        <v>412</v>
      </c>
      <c r="B392" s="2">
        <v>1760235300</v>
      </c>
      <c r="C392" s="2">
        <v>239741100</v>
      </c>
      <c r="D392">
        <f t="shared" si="27"/>
        <v>1760.2353000000001</v>
      </c>
      <c r="E392" s="11">
        <f t="shared" si="24"/>
        <v>1999.9764</v>
      </c>
      <c r="F392" s="6">
        <f t="shared" si="25"/>
        <v>0.88012803551081897</v>
      </c>
      <c r="G392" t="s">
        <v>851</v>
      </c>
      <c r="H392" t="s">
        <v>412</v>
      </c>
      <c r="I392" t="str">
        <f>VLOOKUP(H392,Sheet2!$A$2:$B$459, 2, FALSE)</f>
        <v>LC</v>
      </c>
      <c r="J392">
        <v>1760240700</v>
      </c>
      <c r="K392">
        <v>239741100</v>
      </c>
      <c r="L392">
        <v>1760.2407000000001</v>
      </c>
      <c r="M392">
        <v>1999.9818</v>
      </c>
      <c r="N392" s="6">
        <f t="shared" si="26"/>
        <v>0.88012835916806842</v>
      </c>
      <c r="O392" s="7">
        <f>N392-F392</f>
        <v>3.2365724944583008E-7</v>
      </c>
    </row>
    <row r="393" spans="1:16" x14ac:dyDescent="0.25">
      <c r="A393" s="1" t="s">
        <v>413</v>
      </c>
      <c r="B393" s="2">
        <v>1172679300</v>
      </c>
      <c r="C393" s="2">
        <v>1350160200</v>
      </c>
      <c r="D393">
        <f t="shared" si="27"/>
        <v>1172.6793</v>
      </c>
      <c r="E393" s="11">
        <f t="shared" si="24"/>
        <v>2522.8395</v>
      </c>
      <c r="F393" s="6">
        <f t="shared" si="25"/>
        <v>0.46482517020999553</v>
      </c>
      <c r="G393" t="s">
        <v>852</v>
      </c>
      <c r="H393" t="s">
        <v>413</v>
      </c>
      <c r="I393" t="str">
        <f>VLOOKUP(H393,Sheet2!$A$2:$B$459, 2, FALSE)</f>
        <v>EN</v>
      </c>
      <c r="J393">
        <v>1172679300</v>
      </c>
      <c r="K393">
        <v>1350160200</v>
      </c>
      <c r="L393">
        <v>1172.6793</v>
      </c>
      <c r="M393">
        <v>2522.8395</v>
      </c>
      <c r="N393" s="6">
        <f t="shared" si="26"/>
        <v>0.46482517020999553</v>
      </c>
      <c r="O393" s="7">
        <f>N393-F393</f>
        <v>0</v>
      </c>
    </row>
    <row r="394" spans="1:16" x14ac:dyDescent="0.25">
      <c r="A394" s="1" t="s">
        <v>414</v>
      </c>
      <c r="B394" s="2">
        <v>1809009000</v>
      </c>
      <c r="C394" s="2">
        <v>507152700</v>
      </c>
      <c r="D394">
        <f t="shared" si="27"/>
        <v>1809.009</v>
      </c>
      <c r="E394" s="11">
        <f t="shared" si="24"/>
        <v>2316.1617000000001</v>
      </c>
      <c r="F394" s="6">
        <f t="shared" si="25"/>
        <v>0.78103743793017555</v>
      </c>
      <c r="G394" t="s">
        <v>853</v>
      </c>
      <c r="H394" t="s">
        <v>414</v>
      </c>
      <c r="I394" t="str">
        <f>VLOOKUP(H394,Sheet2!$A$2:$B$459, 2, FALSE)</f>
        <v>LC</v>
      </c>
      <c r="J394">
        <v>1809008100</v>
      </c>
      <c r="K394">
        <v>507152700</v>
      </c>
      <c r="L394">
        <v>1809.0081</v>
      </c>
      <c r="M394">
        <v>2316.1608000000001</v>
      </c>
      <c r="N394" s="6">
        <f t="shared" si="26"/>
        <v>0.78103735284700437</v>
      </c>
      <c r="O394" s="7">
        <f>N394-F394</f>
        <v>-8.5083171175170946E-8</v>
      </c>
    </row>
    <row r="395" spans="1:16" x14ac:dyDescent="0.25">
      <c r="A395" s="3" t="s">
        <v>457</v>
      </c>
      <c r="B395" s="4">
        <v>374109300</v>
      </c>
      <c r="C395" s="4">
        <v>14071500</v>
      </c>
      <c r="D395" s="5">
        <f t="shared" si="27"/>
        <v>374.10930000000002</v>
      </c>
      <c r="E395" s="11">
        <f t="shared" si="24"/>
        <v>388.18079999999998</v>
      </c>
      <c r="F395" s="6">
        <f t="shared" si="25"/>
        <v>0.96375013911043517</v>
      </c>
      <c r="I395" t="e">
        <f>VLOOKUP(H395,Sheet2!$A$2:$B$459, 2, FALSE)</f>
        <v>#N/A</v>
      </c>
      <c r="N395" s="6" t="e">
        <f t="shared" si="26"/>
        <v>#DIV/0!</v>
      </c>
      <c r="O395" s="7" t="e">
        <f>N395-F395</f>
        <v>#DIV/0!</v>
      </c>
    </row>
    <row r="396" spans="1:16" x14ac:dyDescent="0.25">
      <c r="A396" s="1" t="s">
        <v>462</v>
      </c>
      <c r="B396" s="2">
        <v>863158500</v>
      </c>
      <c r="C396" s="2">
        <v>468124200</v>
      </c>
      <c r="D396">
        <f t="shared" si="27"/>
        <v>863.1585</v>
      </c>
      <c r="E396" s="11">
        <f t="shared" si="24"/>
        <v>1331.2827</v>
      </c>
      <c r="F396" s="6">
        <f t="shared" si="25"/>
        <v>0.64836604576924195</v>
      </c>
      <c r="G396" t="s">
        <v>854</v>
      </c>
      <c r="H396" t="s">
        <v>462</v>
      </c>
      <c r="I396" t="str">
        <f>VLOOKUP(H396,Sheet2!$A$2:$B$459, 2, FALSE)</f>
        <v>LC</v>
      </c>
      <c r="J396">
        <v>2852045100</v>
      </c>
      <c r="K396">
        <v>1276062300</v>
      </c>
      <c r="L396">
        <v>2852.0450999999998</v>
      </c>
      <c r="M396">
        <v>4128.1073999999999</v>
      </c>
      <c r="N396" s="6">
        <f t="shared" si="26"/>
        <v>0.6908844232105007</v>
      </c>
      <c r="O396" s="7">
        <f>N396-F396</f>
        <v>4.2518377441258748E-2</v>
      </c>
      <c r="P396" t="s">
        <v>939</v>
      </c>
    </row>
    <row r="397" spans="1:16" x14ac:dyDescent="0.25">
      <c r="A397" s="1" t="s">
        <v>458</v>
      </c>
      <c r="B397" s="2">
        <v>3612780900</v>
      </c>
      <c r="C397" s="2">
        <v>506793600</v>
      </c>
      <c r="D397">
        <f t="shared" si="27"/>
        <v>3612.7809000000002</v>
      </c>
      <c r="E397" s="11">
        <f t="shared" si="24"/>
        <v>4119.5744999999997</v>
      </c>
      <c r="F397" s="6">
        <f t="shared" si="25"/>
        <v>0.87697913947180706</v>
      </c>
      <c r="G397" t="s">
        <v>855</v>
      </c>
      <c r="H397" t="s">
        <v>458</v>
      </c>
      <c r="I397" t="str">
        <f>VLOOKUP(H397,Sheet2!$A$2:$B$459, 2, FALSE)</f>
        <v>LC</v>
      </c>
      <c r="J397">
        <v>2329173900</v>
      </c>
      <c r="K397">
        <v>317316600</v>
      </c>
      <c r="L397">
        <v>2329.1738999999998</v>
      </c>
      <c r="M397">
        <v>2646.4904999999999</v>
      </c>
      <c r="N397" s="6">
        <f t="shared" si="26"/>
        <v>0.88009909727618518</v>
      </c>
      <c r="O397" s="7">
        <f>N397-F397</f>
        <v>3.1199578043781262E-3</v>
      </c>
    </row>
    <row r="398" spans="1:16" x14ac:dyDescent="0.25">
      <c r="A398" s="1" t="s">
        <v>460</v>
      </c>
      <c r="B398" s="2">
        <v>359699400</v>
      </c>
      <c r="C398" s="2">
        <v>7487100</v>
      </c>
      <c r="D398">
        <f t="shared" si="27"/>
        <v>359.69940000000003</v>
      </c>
      <c r="E398" s="11">
        <f t="shared" si="24"/>
        <v>367.18650000000002</v>
      </c>
      <c r="F398" s="6">
        <f t="shared" si="25"/>
        <v>0.97960954446854664</v>
      </c>
      <c r="G398" t="s">
        <v>856</v>
      </c>
      <c r="H398" t="s">
        <v>460</v>
      </c>
      <c r="I398" t="str">
        <f>VLOOKUP(H398,Sheet2!$A$2:$B$459, 2, FALSE)</f>
        <v>LC</v>
      </c>
      <c r="J398">
        <v>418951800</v>
      </c>
      <c r="K398">
        <v>16027200</v>
      </c>
      <c r="L398">
        <v>418.95179999999999</v>
      </c>
      <c r="M398">
        <v>434.97899999999998</v>
      </c>
      <c r="N398" s="6">
        <f t="shared" si="26"/>
        <v>0.96315408330057317</v>
      </c>
      <c r="O398" s="7">
        <f>N398-F398</f>
        <v>-1.6455461167973473E-2</v>
      </c>
    </row>
    <row r="399" spans="1:16" x14ac:dyDescent="0.25">
      <c r="A399" s="1" t="s">
        <v>415</v>
      </c>
      <c r="B399" s="2">
        <v>741557700</v>
      </c>
      <c r="C399" s="2">
        <v>1543504500</v>
      </c>
      <c r="D399">
        <f t="shared" si="27"/>
        <v>741.55769999999995</v>
      </c>
      <c r="E399" s="11">
        <f t="shared" si="24"/>
        <v>2285.0621999999998</v>
      </c>
      <c r="F399" s="6">
        <f t="shared" si="25"/>
        <v>0.32452407641244951</v>
      </c>
      <c r="G399" t="s">
        <v>857</v>
      </c>
      <c r="H399" t="s">
        <v>415</v>
      </c>
      <c r="I399" t="str">
        <f>VLOOKUP(H399,Sheet2!$A$2:$B$459, 2, FALSE)</f>
        <v>EN</v>
      </c>
      <c r="J399">
        <v>878466600</v>
      </c>
      <c r="K399">
        <v>1650225600</v>
      </c>
      <c r="L399">
        <v>878.46659999999997</v>
      </c>
      <c r="M399">
        <v>2528.6922</v>
      </c>
      <c r="N399" s="6">
        <f t="shared" si="26"/>
        <v>0.34739957674563948</v>
      </c>
      <c r="O399" s="7">
        <f>N399-F399</f>
        <v>2.2875500333189969E-2</v>
      </c>
    </row>
    <row r="400" spans="1:16" x14ac:dyDescent="0.25">
      <c r="A400" s="1" t="s">
        <v>416</v>
      </c>
      <c r="B400" s="2">
        <v>369962100</v>
      </c>
      <c r="C400" s="2">
        <v>121405500</v>
      </c>
      <c r="D400">
        <f t="shared" si="27"/>
        <v>369.96210000000002</v>
      </c>
      <c r="E400" s="11">
        <f t="shared" si="24"/>
        <v>491.36759999999998</v>
      </c>
      <c r="F400" s="6">
        <f t="shared" si="25"/>
        <v>0.75292326966613188</v>
      </c>
      <c r="G400" t="s">
        <v>858</v>
      </c>
      <c r="H400" t="s">
        <v>416</v>
      </c>
      <c r="I400" t="str">
        <f>VLOOKUP(H400,Sheet2!$A$2:$B$459, 2, FALSE)</f>
        <v>LC</v>
      </c>
      <c r="J400">
        <v>216835200</v>
      </c>
      <c r="K400">
        <v>43267500</v>
      </c>
      <c r="L400">
        <v>216.83519999999999</v>
      </c>
      <c r="M400">
        <v>260.10270000000003</v>
      </c>
      <c r="N400" s="6">
        <f t="shared" si="26"/>
        <v>0.83365224582443764</v>
      </c>
      <c r="O400" s="7">
        <f>N400-F400</f>
        <v>8.0728976158305765E-2</v>
      </c>
      <c r="P400" t="s">
        <v>940</v>
      </c>
    </row>
    <row r="401" spans="1:16" x14ac:dyDescent="0.25">
      <c r="A401" s="1" t="s">
        <v>417</v>
      </c>
      <c r="B401" s="2">
        <v>859737600</v>
      </c>
      <c r="C401" s="2">
        <v>973550700</v>
      </c>
      <c r="D401">
        <f t="shared" si="27"/>
        <v>859.73760000000004</v>
      </c>
      <c r="E401" s="11">
        <f t="shared" si="24"/>
        <v>1833.2882999999999</v>
      </c>
      <c r="F401" s="6">
        <f t="shared" si="25"/>
        <v>0.46895930116392498</v>
      </c>
      <c r="G401" t="s">
        <v>859</v>
      </c>
      <c r="H401" t="s">
        <v>417</v>
      </c>
      <c r="I401" t="str">
        <f>VLOOKUP(H401,Sheet2!$A$2:$B$459, 2, FALSE)</f>
        <v>LC</v>
      </c>
      <c r="J401">
        <v>1890588600</v>
      </c>
      <c r="K401">
        <v>1010223000</v>
      </c>
      <c r="L401">
        <v>1890.5886</v>
      </c>
      <c r="M401">
        <v>2900.8116</v>
      </c>
      <c r="N401" s="6">
        <f t="shared" si="26"/>
        <v>0.65174470482674574</v>
      </c>
      <c r="O401" s="7">
        <f>N401-F401</f>
        <v>0.18278540366282076</v>
      </c>
      <c r="P401" s="8" t="s">
        <v>959</v>
      </c>
    </row>
    <row r="402" spans="1:16" x14ac:dyDescent="0.25">
      <c r="A402" s="1" t="s">
        <v>418</v>
      </c>
      <c r="B402" s="2">
        <v>2596780800</v>
      </c>
      <c r="C402" s="2">
        <v>506935800</v>
      </c>
      <c r="D402">
        <f t="shared" si="27"/>
        <v>2596.7808</v>
      </c>
      <c r="E402" s="11">
        <f t="shared" si="24"/>
        <v>3103.7166000000002</v>
      </c>
      <c r="F402" s="6">
        <f t="shared" si="25"/>
        <v>0.83666814167247094</v>
      </c>
      <c r="G402" t="s">
        <v>860</v>
      </c>
      <c r="H402" t="s">
        <v>418</v>
      </c>
      <c r="I402" t="str">
        <f>VLOOKUP(H402,Sheet2!$A$2:$B$459, 2, FALSE)</f>
        <v>LC</v>
      </c>
      <c r="J402">
        <v>1600929900</v>
      </c>
      <c r="K402">
        <v>429984000</v>
      </c>
      <c r="L402">
        <v>1600.9299000000001</v>
      </c>
      <c r="M402">
        <v>2030.9139</v>
      </c>
      <c r="N402" s="6">
        <f t="shared" si="26"/>
        <v>0.78828053715127955</v>
      </c>
      <c r="O402" s="7">
        <f>N402-F402</f>
        <v>-4.8387604521191396E-2</v>
      </c>
      <c r="P402" t="s">
        <v>941</v>
      </c>
    </row>
    <row r="403" spans="1:16" x14ac:dyDescent="0.25">
      <c r="A403" s="1" t="s">
        <v>338</v>
      </c>
      <c r="B403" s="2">
        <v>12054546000</v>
      </c>
      <c r="C403" s="2">
        <v>3372383700</v>
      </c>
      <c r="D403">
        <f t="shared" si="27"/>
        <v>12054.546</v>
      </c>
      <c r="E403" s="11">
        <f t="shared" si="24"/>
        <v>15426.929700000001</v>
      </c>
      <c r="F403" s="6">
        <f t="shared" si="25"/>
        <v>0.7813963137460852</v>
      </c>
      <c r="G403" t="s">
        <v>861</v>
      </c>
      <c r="H403" t="s">
        <v>338</v>
      </c>
      <c r="I403" t="str">
        <f>VLOOKUP(H403,Sheet2!$A$2:$B$459, 2, FALSE)</f>
        <v>LC</v>
      </c>
      <c r="J403">
        <v>8880417000</v>
      </c>
      <c r="K403">
        <v>5502338100</v>
      </c>
      <c r="L403">
        <v>8880.4169999999995</v>
      </c>
      <c r="M403">
        <v>14382.7551</v>
      </c>
      <c r="N403" s="6">
        <f t="shared" si="26"/>
        <v>0.61743504205254796</v>
      </c>
      <c r="O403" s="7">
        <f>N403-F403</f>
        <v>-0.16396127169353725</v>
      </c>
      <c r="P403" t="s">
        <v>942</v>
      </c>
    </row>
    <row r="404" spans="1:16" x14ac:dyDescent="0.25">
      <c r="A404" s="1" t="s">
        <v>294</v>
      </c>
      <c r="B404" s="2">
        <v>5557662000</v>
      </c>
      <c r="C404" s="2">
        <v>281236500</v>
      </c>
      <c r="D404">
        <f t="shared" si="27"/>
        <v>5557.6620000000003</v>
      </c>
      <c r="E404" s="11">
        <f t="shared" si="24"/>
        <v>5838.8985000000002</v>
      </c>
      <c r="F404" s="6">
        <f t="shared" si="25"/>
        <v>0.95183398033036537</v>
      </c>
      <c r="G404" t="s">
        <v>862</v>
      </c>
      <c r="H404" t="s">
        <v>294</v>
      </c>
      <c r="I404" t="str">
        <f>VLOOKUP(H404,Sheet2!$A$2:$B$459, 2, FALSE)</f>
        <v>LC</v>
      </c>
      <c r="J404">
        <v>4279600800</v>
      </c>
      <c r="K404">
        <v>82059300</v>
      </c>
      <c r="L404">
        <v>4279.6008000000002</v>
      </c>
      <c r="M404">
        <v>4361.6601000000001</v>
      </c>
      <c r="N404" s="6">
        <f t="shared" si="26"/>
        <v>0.98118622310803172</v>
      </c>
      <c r="O404" s="7">
        <f>N404-F404</f>
        <v>2.9352242777666349E-2</v>
      </c>
    </row>
    <row r="405" spans="1:16" x14ac:dyDescent="0.25">
      <c r="A405" s="1" t="s">
        <v>295</v>
      </c>
      <c r="B405" s="2">
        <v>13637415600</v>
      </c>
      <c r="C405" s="2">
        <v>248417100</v>
      </c>
      <c r="D405">
        <f t="shared" si="27"/>
        <v>13637.4156</v>
      </c>
      <c r="E405" s="11">
        <f t="shared" si="24"/>
        <v>13885.832700000001</v>
      </c>
      <c r="F405" s="6">
        <f t="shared" si="25"/>
        <v>0.98211003219129955</v>
      </c>
      <c r="G405" t="s">
        <v>863</v>
      </c>
      <c r="H405" t="s">
        <v>295</v>
      </c>
      <c r="I405" t="str">
        <f>VLOOKUP(H405,Sheet2!$A$2:$B$459, 2, FALSE)</f>
        <v>LC</v>
      </c>
      <c r="J405">
        <v>21818539800</v>
      </c>
      <c r="K405">
        <v>947348100</v>
      </c>
      <c r="L405">
        <v>21818.539799999999</v>
      </c>
      <c r="M405">
        <v>22765.887900000002</v>
      </c>
      <c r="N405" s="6">
        <f t="shared" si="26"/>
        <v>0.95838738624378439</v>
      </c>
      <c r="O405" s="7">
        <f>N405-F405</f>
        <v>-2.3722645947515164E-2</v>
      </c>
    </row>
    <row r="406" spans="1:16" x14ac:dyDescent="0.25">
      <c r="A406" s="1" t="s">
        <v>296</v>
      </c>
      <c r="B406" s="2">
        <v>7290403200</v>
      </c>
      <c r="C406" s="2">
        <v>162197100</v>
      </c>
      <c r="D406">
        <f t="shared" si="27"/>
        <v>7290.4031999999997</v>
      </c>
      <c r="E406" s="11">
        <f t="shared" si="24"/>
        <v>7452.6003000000001</v>
      </c>
      <c r="F406" s="6">
        <f t="shared" si="25"/>
        <v>0.97823617348699088</v>
      </c>
      <c r="G406" t="s">
        <v>864</v>
      </c>
      <c r="H406" t="s">
        <v>296</v>
      </c>
      <c r="I406" t="str">
        <f>VLOOKUP(H406,Sheet2!$A$2:$B$459, 2, FALSE)</f>
        <v>LC</v>
      </c>
      <c r="J406">
        <v>7290406800</v>
      </c>
      <c r="K406">
        <v>162197100</v>
      </c>
      <c r="L406">
        <v>7290.4067999999997</v>
      </c>
      <c r="M406">
        <v>7452.6039000000001</v>
      </c>
      <c r="N406" s="6">
        <f t="shared" si="26"/>
        <v>0.97823618400006473</v>
      </c>
      <c r="O406" s="7">
        <f>N406-F406</f>
        <v>1.0513073855911159E-8</v>
      </c>
    </row>
    <row r="407" spans="1:16" x14ac:dyDescent="0.25">
      <c r="A407" s="1" t="s">
        <v>297</v>
      </c>
      <c r="B407" s="2">
        <v>8440967700</v>
      </c>
      <c r="C407" s="2">
        <v>76862700</v>
      </c>
      <c r="D407">
        <f t="shared" si="27"/>
        <v>8440.9676999999992</v>
      </c>
      <c r="E407" s="11">
        <f t="shared" si="24"/>
        <v>8517.8304000000007</v>
      </c>
      <c r="F407" s="6">
        <f t="shared" si="25"/>
        <v>0.99097625846130954</v>
      </c>
      <c r="G407" t="s">
        <v>865</v>
      </c>
      <c r="H407" t="s">
        <v>297</v>
      </c>
      <c r="I407" t="str">
        <f>VLOOKUP(H407,Sheet2!$A$2:$B$459, 2, FALSE)</f>
        <v>LC</v>
      </c>
      <c r="J407">
        <v>8440969500</v>
      </c>
      <c r="K407">
        <v>76862700</v>
      </c>
      <c r="L407">
        <v>8440.9694999999992</v>
      </c>
      <c r="M407">
        <v>8517.8322000000007</v>
      </c>
      <c r="N407" s="6">
        <f t="shared" si="26"/>
        <v>0.99097626036821884</v>
      </c>
      <c r="O407" s="7">
        <f>N407-F407</f>
        <v>1.9069092971335522E-9</v>
      </c>
    </row>
    <row r="408" spans="1:16" x14ac:dyDescent="0.25">
      <c r="A408" s="1" t="s">
        <v>298</v>
      </c>
      <c r="B408" s="2">
        <v>888007500</v>
      </c>
      <c r="C408" s="2">
        <v>41202900</v>
      </c>
      <c r="D408">
        <f t="shared" si="27"/>
        <v>888.00750000000005</v>
      </c>
      <c r="E408" s="11">
        <f t="shared" si="24"/>
        <v>929.21040000000005</v>
      </c>
      <c r="F408" s="6">
        <f t="shared" si="25"/>
        <v>0.95565815879805049</v>
      </c>
      <c r="G408" t="s">
        <v>866</v>
      </c>
      <c r="H408" t="s">
        <v>298</v>
      </c>
      <c r="I408" t="str">
        <f>VLOOKUP(H408,Sheet2!$A$2:$B$459, 2, FALSE)</f>
        <v>LC</v>
      </c>
      <c r="J408">
        <v>888007500</v>
      </c>
      <c r="K408">
        <v>41202900</v>
      </c>
      <c r="L408">
        <v>888.00750000000005</v>
      </c>
      <c r="M408">
        <v>929.21040000000005</v>
      </c>
      <c r="N408" s="6">
        <f t="shared" si="26"/>
        <v>0.95565815879805049</v>
      </c>
      <c r="O408" s="7">
        <f>N408-F408</f>
        <v>0</v>
      </c>
    </row>
    <row r="409" spans="1:16" x14ac:dyDescent="0.25">
      <c r="A409" s="1" t="s">
        <v>299</v>
      </c>
      <c r="B409" s="2">
        <v>1618248600</v>
      </c>
      <c r="C409" s="2">
        <v>2618100</v>
      </c>
      <c r="D409">
        <f t="shared" si="27"/>
        <v>1618.2485999999999</v>
      </c>
      <c r="E409" s="11">
        <f t="shared" si="24"/>
        <v>1620.8667</v>
      </c>
      <c r="F409" s="6">
        <f t="shared" si="25"/>
        <v>0.99838475304600927</v>
      </c>
      <c r="G409" t="s">
        <v>867</v>
      </c>
      <c r="H409" t="s">
        <v>299</v>
      </c>
      <c r="I409" t="str">
        <f>VLOOKUP(H409,Sheet2!$A$2:$B$459, 2, FALSE)</f>
        <v>LC</v>
      </c>
      <c r="J409">
        <v>1618249500</v>
      </c>
      <c r="K409">
        <v>2618100</v>
      </c>
      <c r="L409">
        <v>1618.2494999999999</v>
      </c>
      <c r="M409">
        <v>1620.8676</v>
      </c>
      <c r="N409" s="6">
        <f t="shared" si="26"/>
        <v>0.99838475394288828</v>
      </c>
      <c r="O409" s="7">
        <f>N409-F409</f>
        <v>8.9687901549950766E-10</v>
      </c>
    </row>
    <row r="410" spans="1:16" x14ac:dyDescent="0.25">
      <c r="A410" s="1" t="s">
        <v>300</v>
      </c>
      <c r="B410" s="2">
        <v>7910826300</v>
      </c>
      <c r="C410" s="2">
        <v>7746300</v>
      </c>
      <c r="D410">
        <f t="shared" si="27"/>
        <v>7910.8262999999997</v>
      </c>
      <c r="E410" s="11">
        <f t="shared" si="24"/>
        <v>7918.5726000000004</v>
      </c>
      <c r="F410" s="6">
        <f t="shared" si="25"/>
        <v>0.99902175551184569</v>
      </c>
      <c r="G410" t="s">
        <v>868</v>
      </c>
      <c r="H410" t="s">
        <v>300</v>
      </c>
      <c r="I410" t="str">
        <f>VLOOKUP(H410,Sheet2!$A$2:$B$459, 2, FALSE)</f>
        <v>LC</v>
      </c>
      <c r="J410">
        <v>7910826300</v>
      </c>
      <c r="K410">
        <v>7746300</v>
      </c>
      <c r="L410">
        <v>7910.8262999999997</v>
      </c>
      <c r="M410">
        <v>7918.5726000000004</v>
      </c>
      <c r="N410" s="6">
        <f t="shared" si="26"/>
        <v>0.99902175551184558</v>
      </c>
      <c r="O410" s="7">
        <f>N410-F410</f>
        <v>0</v>
      </c>
    </row>
    <row r="411" spans="1:16" x14ac:dyDescent="0.25">
      <c r="A411" s="3" t="s">
        <v>341</v>
      </c>
      <c r="B411" s="4">
        <v>3792154500</v>
      </c>
      <c r="C411" s="4">
        <v>3405152700</v>
      </c>
      <c r="D411" s="5">
        <f t="shared" si="27"/>
        <v>3792.1545000000001</v>
      </c>
      <c r="E411" s="11">
        <f t="shared" si="24"/>
        <v>7197.3072000000002</v>
      </c>
      <c r="F411" s="6">
        <f t="shared" si="25"/>
        <v>0.52688518005734142</v>
      </c>
      <c r="I411" t="e">
        <f>VLOOKUP(H411,Sheet2!$A$2:$B$459, 2, FALSE)</f>
        <v>#N/A</v>
      </c>
      <c r="N411" s="6" t="e">
        <f t="shared" si="26"/>
        <v>#DIV/0!</v>
      </c>
      <c r="O411" s="7" t="e">
        <f>N411-F411</f>
        <v>#DIV/0!</v>
      </c>
    </row>
    <row r="412" spans="1:16" x14ac:dyDescent="0.25">
      <c r="A412" s="3" t="s">
        <v>339</v>
      </c>
      <c r="B412" s="4">
        <v>955860300</v>
      </c>
      <c r="C412" s="4">
        <v>43709400</v>
      </c>
      <c r="D412" s="5">
        <f t="shared" si="27"/>
        <v>955.86030000000005</v>
      </c>
      <c r="E412" s="11">
        <f t="shared" si="24"/>
        <v>999.56970000000001</v>
      </c>
      <c r="F412" s="6">
        <f t="shared" si="25"/>
        <v>0.95627178374854704</v>
      </c>
      <c r="I412" t="e">
        <f>VLOOKUP(H412,Sheet2!$A$2:$B$459, 2, FALSE)</f>
        <v>#N/A</v>
      </c>
      <c r="N412" s="6" t="e">
        <f t="shared" si="26"/>
        <v>#DIV/0!</v>
      </c>
      <c r="O412" s="7" t="e">
        <f>N412-F412</f>
        <v>#DIV/0!</v>
      </c>
    </row>
    <row r="413" spans="1:16" x14ac:dyDescent="0.25">
      <c r="A413" s="1" t="s">
        <v>340</v>
      </c>
      <c r="B413" s="2">
        <v>3450615300</v>
      </c>
      <c r="C413" s="2">
        <v>1002178800</v>
      </c>
      <c r="D413">
        <f t="shared" si="27"/>
        <v>3450.6152999999999</v>
      </c>
      <c r="E413" s="11">
        <f t="shared" si="24"/>
        <v>4452.7941000000001</v>
      </c>
      <c r="F413" s="6">
        <f t="shared" si="25"/>
        <v>0.77493259793889868</v>
      </c>
      <c r="G413" t="s">
        <v>869</v>
      </c>
      <c r="H413" t="s">
        <v>340</v>
      </c>
      <c r="I413" t="str">
        <f>VLOOKUP(H413,Sheet2!$A$2:$B$459, 2, FALSE)</f>
        <v>LC</v>
      </c>
      <c r="J413">
        <v>1895122800</v>
      </c>
      <c r="K413">
        <v>1326046500</v>
      </c>
      <c r="L413">
        <v>1895.1228000000001</v>
      </c>
      <c r="M413">
        <v>3221.1693</v>
      </c>
      <c r="N413" s="6">
        <f t="shared" si="26"/>
        <v>0.58833380785045974</v>
      </c>
      <c r="O413" s="7">
        <f>N413-F413</f>
        <v>-0.18659879008843894</v>
      </c>
      <c r="P413" t="s">
        <v>942</v>
      </c>
    </row>
    <row r="414" spans="1:16" x14ac:dyDescent="0.25">
      <c r="A414" s="1" t="s">
        <v>464</v>
      </c>
      <c r="B414" s="2">
        <v>589170600</v>
      </c>
      <c r="C414" s="2">
        <v>777755700</v>
      </c>
      <c r="D414">
        <f t="shared" si="27"/>
        <v>589.17060000000004</v>
      </c>
      <c r="E414" s="11">
        <f t="shared" si="24"/>
        <v>1366.9263000000001</v>
      </c>
      <c r="F414" s="6">
        <f t="shared" si="25"/>
        <v>0.43101855601139577</v>
      </c>
      <c r="G414" t="s">
        <v>870</v>
      </c>
      <c r="H414" t="s">
        <v>464</v>
      </c>
      <c r="I414" t="str">
        <f>VLOOKUP(H414,Sheet2!$A$2:$B$459, 2, FALSE)</f>
        <v>VU</v>
      </c>
      <c r="J414">
        <v>988813800</v>
      </c>
      <c r="K414">
        <v>1038710700</v>
      </c>
      <c r="L414">
        <v>988.81380000000001</v>
      </c>
      <c r="M414">
        <v>2027.5245</v>
      </c>
      <c r="N414" s="6">
        <f t="shared" si="26"/>
        <v>0.4876951178641738</v>
      </c>
      <c r="O414" s="7">
        <f>N414-F414</f>
        <v>5.6676561852778029E-2</v>
      </c>
      <c r="P414" s="8" t="s">
        <v>969</v>
      </c>
    </row>
    <row r="415" spans="1:16" x14ac:dyDescent="0.25">
      <c r="A415" s="1" t="s">
        <v>301</v>
      </c>
      <c r="B415" s="2">
        <v>12576412800</v>
      </c>
      <c r="C415" s="2">
        <v>4073457600</v>
      </c>
      <c r="D415">
        <f t="shared" si="27"/>
        <v>12576.4128</v>
      </c>
      <c r="E415" s="11">
        <f t="shared" si="24"/>
        <v>16649.8704</v>
      </c>
      <c r="F415" s="6">
        <f t="shared" si="25"/>
        <v>0.75534598755795723</v>
      </c>
      <c r="G415" t="s">
        <v>871</v>
      </c>
      <c r="H415" t="s">
        <v>301</v>
      </c>
      <c r="I415" t="str">
        <f>VLOOKUP(H415,Sheet2!$A$2:$B$459, 2, FALSE)</f>
        <v>LC</v>
      </c>
      <c r="J415">
        <v>14207481000</v>
      </c>
      <c r="K415">
        <v>5385740400</v>
      </c>
      <c r="L415">
        <v>14207.481</v>
      </c>
      <c r="M415">
        <v>19593.221399999999</v>
      </c>
      <c r="N415" s="6">
        <f t="shared" si="26"/>
        <v>0.72512226090600906</v>
      </c>
      <c r="O415" s="7">
        <f>N415-F415</f>
        <v>-3.0223726651948168E-2</v>
      </c>
    </row>
    <row r="416" spans="1:16" x14ac:dyDescent="0.25">
      <c r="A416" s="1" t="s">
        <v>302</v>
      </c>
      <c r="B416" s="2">
        <v>1419201900</v>
      </c>
      <c r="C416" s="2">
        <v>38603700</v>
      </c>
      <c r="D416">
        <f t="shared" si="27"/>
        <v>1419.2019</v>
      </c>
      <c r="E416" s="11">
        <f t="shared" si="24"/>
        <v>1457.8055999999999</v>
      </c>
      <c r="F416" s="6">
        <f t="shared" si="25"/>
        <v>0.97351930874733916</v>
      </c>
      <c r="G416" t="s">
        <v>872</v>
      </c>
      <c r="H416" t="s">
        <v>302</v>
      </c>
      <c r="I416" t="str">
        <f>VLOOKUP(H416,Sheet2!$A$2:$B$459, 2, FALSE)</f>
        <v>LC</v>
      </c>
      <c r="J416">
        <v>1419201000</v>
      </c>
      <c r="K416">
        <v>38604600</v>
      </c>
      <c r="L416">
        <v>1419.201</v>
      </c>
      <c r="M416">
        <v>1457.8055999999999</v>
      </c>
      <c r="N416" s="6">
        <f t="shared" si="26"/>
        <v>0.97351869138107305</v>
      </c>
      <c r="O416" s="7">
        <f>N416-F416</f>
        <v>-6.1736626610908729E-7</v>
      </c>
    </row>
    <row r="417" spans="1:15" x14ac:dyDescent="0.25">
      <c r="A417" s="1" t="s">
        <v>303</v>
      </c>
      <c r="B417" s="2">
        <v>4259383200</v>
      </c>
      <c r="C417" s="2">
        <v>1054467900</v>
      </c>
      <c r="D417">
        <f t="shared" si="27"/>
        <v>4259.3832000000002</v>
      </c>
      <c r="E417" s="11">
        <f t="shared" si="24"/>
        <v>5313.8510999999999</v>
      </c>
      <c r="F417" s="6">
        <f t="shared" si="25"/>
        <v>0.80156239229209869</v>
      </c>
      <c r="G417" t="s">
        <v>873</v>
      </c>
      <c r="H417" t="s">
        <v>303</v>
      </c>
      <c r="I417" t="str">
        <f>VLOOKUP(H417,Sheet2!$A$2:$B$459, 2, FALSE)</f>
        <v>LC</v>
      </c>
      <c r="J417">
        <v>4102007400</v>
      </c>
      <c r="K417">
        <v>936910800</v>
      </c>
      <c r="L417">
        <v>4102.0074000000004</v>
      </c>
      <c r="M417">
        <v>5038.9182000000001</v>
      </c>
      <c r="N417" s="6">
        <f t="shared" si="26"/>
        <v>0.81406509039976083</v>
      </c>
      <c r="O417" s="7">
        <f>N417-F417</f>
        <v>1.2502698107662136E-2</v>
      </c>
    </row>
    <row r="418" spans="1:15" x14ac:dyDescent="0.25">
      <c r="A418" s="1" t="s">
        <v>304</v>
      </c>
      <c r="B418" s="2">
        <v>13159292400</v>
      </c>
      <c r="C418" s="2">
        <v>201258900</v>
      </c>
      <c r="D418">
        <f t="shared" si="27"/>
        <v>13159.2924</v>
      </c>
      <c r="E418" s="11">
        <f t="shared" si="24"/>
        <v>13360.551299999999</v>
      </c>
      <c r="F418" s="6">
        <f t="shared" si="25"/>
        <v>0.98493633267962533</v>
      </c>
      <c r="G418" t="s">
        <v>874</v>
      </c>
      <c r="H418" t="s">
        <v>304</v>
      </c>
      <c r="I418" t="str">
        <f>VLOOKUP(H418,Sheet2!$A$2:$B$459, 2, FALSE)</f>
        <v>LC</v>
      </c>
      <c r="J418">
        <v>15096217500</v>
      </c>
      <c r="K418">
        <v>386653500</v>
      </c>
      <c r="L418">
        <v>15096.217500000001</v>
      </c>
      <c r="M418">
        <v>15482.870999999999</v>
      </c>
      <c r="N418" s="6">
        <f t="shared" si="26"/>
        <v>0.97502701533843439</v>
      </c>
      <c r="O418" s="7">
        <f>N418-F418</f>
        <v>-9.9093173411909374E-3</v>
      </c>
    </row>
    <row r="419" spans="1:15" x14ac:dyDescent="0.25">
      <c r="A419" s="1" t="s">
        <v>305</v>
      </c>
      <c r="B419" s="2">
        <v>3248302500</v>
      </c>
      <c r="C419" s="2">
        <v>115211700</v>
      </c>
      <c r="D419">
        <f t="shared" si="27"/>
        <v>3248.3024999999998</v>
      </c>
      <c r="E419" s="11">
        <f t="shared" si="24"/>
        <v>3363.5142000000001</v>
      </c>
      <c r="F419" s="6">
        <f t="shared" si="25"/>
        <v>0.96574662892756624</v>
      </c>
      <c r="G419" t="s">
        <v>875</v>
      </c>
      <c r="H419" t="s">
        <v>305</v>
      </c>
      <c r="I419" t="str">
        <f>VLOOKUP(H419,Sheet2!$A$2:$B$459, 2, FALSE)</f>
        <v>LC</v>
      </c>
      <c r="J419">
        <v>3754604700</v>
      </c>
      <c r="K419">
        <v>193397400</v>
      </c>
      <c r="L419">
        <v>3754.6046999999999</v>
      </c>
      <c r="M419">
        <v>3948.0021000000002</v>
      </c>
      <c r="N419" s="6">
        <f t="shared" si="26"/>
        <v>0.95101385584369358</v>
      </c>
      <c r="O419" s="7">
        <f>N419-F419</f>
        <v>-1.4732773083872663E-2</v>
      </c>
    </row>
    <row r="420" spans="1:15" x14ac:dyDescent="0.25">
      <c r="A420" s="1" t="s">
        <v>306</v>
      </c>
      <c r="B420" s="2">
        <v>5541031800</v>
      </c>
      <c r="C420" s="2">
        <v>238557600</v>
      </c>
      <c r="D420">
        <f t="shared" si="27"/>
        <v>5541.0317999999997</v>
      </c>
      <c r="E420" s="11">
        <f t="shared" si="24"/>
        <v>5779.5893999999998</v>
      </c>
      <c r="F420" s="6">
        <f t="shared" si="25"/>
        <v>0.95872412666546869</v>
      </c>
      <c r="G420" t="s">
        <v>876</v>
      </c>
      <c r="H420" t="s">
        <v>306</v>
      </c>
      <c r="I420" t="str">
        <f>VLOOKUP(H420,Sheet2!$A$2:$B$459, 2, FALSE)</f>
        <v>LC</v>
      </c>
      <c r="J420">
        <v>5562651600</v>
      </c>
      <c r="K420">
        <v>238558500</v>
      </c>
      <c r="L420">
        <v>5562.6516000000001</v>
      </c>
      <c r="M420">
        <v>5801.2101000000002</v>
      </c>
      <c r="N420" s="6">
        <f t="shared" si="26"/>
        <v>0.95887780378786835</v>
      </c>
      <c r="O420" s="7">
        <f>N420-F420</f>
        <v>1.5367712239966469E-4</v>
      </c>
    </row>
    <row r="421" spans="1:15" x14ac:dyDescent="0.25">
      <c r="A421" s="1" t="s">
        <v>307</v>
      </c>
      <c r="B421" s="2">
        <v>37027974600</v>
      </c>
      <c r="C421" s="2">
        <v>35429400</v>
      </c>
      <c r="D421">
        <f t="shared" si="27"/>
        <v>37027.974600000001</v>
      </c>
      <c r="E421" s="11">
        <f t="shared" si="24"/>
        <v>37063.404000000002</v>
      </c>
      <c r="F421" s="6">
        <f t="shared" si="25"/>
        <v>0.99904408672230971</v>
      </c>
      <c r="G421" t="s">
        <v>877</v>
      </c>
      <c r="H421" t="s">
        <v>307</v>
      </c>
      <c r="I421" t="str">
        <f>VLOOKUP(H421,Sheet2!$A$2:$B$459, 2, FALSE)</f>
        <v>LC</v>
      </c>
      <c r="J421">
        <v>37027980000</v>
      </c>
      <c r="K421">
        <v>35429400</v>
      </c>
      <c r="L421">
        <v>37027.980000000003</v>
      </c>
      <c r="M421">
        <v>37063.409399999997</v>
      </c>
      <c r="N421" s="6">
        <f t="shared" si="26"/>
        <v>0.99904408686158286</v>
      </c>
      <c r="O421" s="7">
        <f>N421-F421</f>
        <v>1.3927314856942985E-10</v>
      </c>
    </row>
    <row r="422" spans="1:15" x14ac:dyDescent="0.25">
      <c r="A422" s="1" t="s">
        <v>308</v>
      </c>
      <c r="B422" s="2">
        <v>2241807300</v>
      </c>
      <c r="C422" s="2">
        <v>546300</v>
      </c>
      <c r="D422">
        <f t="shared" si="27"/>
        <v>2241.8072999999999</v>
      </c>
      <c r="E422" s="11">
        <f t="shared" si="24"/>
        <v>2242.3535999999999</v>
      </c>
      <c r="F422" s="6">
        <f t="shared" si="25"/>
        <v>0.99975637205479095</v>
      </c>
      <c r="G422" t="s">
        <v>878</v>
      </c>
      <c r="H422" t="s">
        <v>308</v>
      </c>
      <c r="I422" t="str">
        <f>VLOOKUP(H422,Sheet2!$A$2:$B$459, 2, FALSE)</f>
        <v>LC</v>
      </c>
      <c r="J422">
        <v>2241804600</v>
      </c>
      <c r="K422">
        <v>546300</v>
      </c>
      <c r="L422">
        <v>2241.8045999999999</v>
      </c>
      <c r="M422">
        <v>2242.3508999999999</v>
      </c>
      <c r="N422" s="6">
        <f t="shared" si="26"/>
        <v>0.99975637176144017</v>
      </c>
      <c r="O422" s="7">
        <f>N422-F422</f>
        <v>-2.9335078810532877E-10</v>
      </c>
    </row>
    <row r="423" spans="1:15" x14ac:dyDescent="0.25">
      <c r="A423" s="1" t="s">
        <v>309</v>
      </c>
      <c r="B423" s="2">
        <v>2897939700</v>
      </c>
      <c r="C423" s="2">
        <v>219600</v>
      </c>
      <c r="D423">
        <f t="shared" si="27"/>
        <v>2897.9396999999999</v>
      </c>
      <c r="E423" s="11">
        <f t="shared" si="24"/>
        <v>2898.1592999999998</v>
      </c>
      <c r="F423" s="6">
        <f t="shared" si="25"/>
        <v>0.99992422776760403</v>
      </c>
      <c r="G423" t="s">
        <v>879</v>
      </c>
      <c r="H423" t="s">
        <v>309</v>
      </c>
      <c r="I423" t="str">
        <f>VLOOKUP(H423,Sheet2!$A$2:$B$459, 2, FALSE)</f>
        <v>LC</v>
      </c>
      <c r="J423">
        <v>2897941500</v>
      </c>
      <c r="K423">
        <v>219600</v>
      </c>
      <c r="L423">
        <v>2897.9414999999999</v>
      </c>
      <c r="M423">
        <v>2898.1610999999998</v>
      </c>
      <c r="N423" s="6">
        <f t="shared" si="26"/>
        <v>0.99992422781466495</v>
      </c>
      <c r="O423" s="7">
        <f>N423-F423</f>
        <v>4.7060910723928373E-11</v>
      </c>
    </row>
    <row r="424" spans="1:15" x14ac:dyDescent="0.25">
      <c r="A424" s="1" t="s">
        <v>310</v>
      </c>
      <c r="B424" s="2">
        <v>762335100</v>
      </c>
      <c r="C424" s="2">
        <v>122400</v>
      </c>
      <c r="D424">
        <f t="shared" si="27"/>
        <v>762.33510000000001</v>
      </c>
      <c r="E424" s="11">
        <f t="shared" si="24"/>
        <v>762.45749999999998</v>
      </c>
      <c r="F424" s="6">
        <f t="shared" si="25"/>
        <v>0.99983946646206512</v>
      </c>
      <c r="G424" t="s">
        <v>880</v>
      </c>
      <c r="H424" t="s">
        <v>310</v>
      </c>
      <c r="I424" t="str">
        <f>VLOOKUP(H424,Sheet2!$A$2:$B$459, 2, FALSE)</f>
        <v>LC</v>
      </c>
      <c r="J424">
        <v>762336000</v>
      </c>
      <c r="K424">
        <v>122400</v>
      </c>
      <c r="L424">
        <v>762.33600000000001</v>
      </c>
      <c r="M424">
        <v>762.45839999999998</v>
      </c>
      <c r="N424" s="6">
        <f t="shared" si="26"/>
        <v>0.99983946665155765</v>
      </c>
      <c r="O424" s="7">
        <f>N424-F424</f>
        <v>1.8949253277611433E-10</v>
      </c>
    </row>
    <row r="425" spans="1:15" x14ac:dyDescent="0.25">
      <c r="A425" s="1" t="s">
        <v>419</v>
      </c>
      <c r="B425" s="2">
        <v>1597578300</v>
      </c>
      <c r="C425" s="2">
        <v>493038000</v>
      </c>
      <c r="D425">
        <f t="shared" si="27"/>
        <v>1597.5782999999999</v>
      </c>
      <c r="E425" s="11">
        <f t="shared" si="24"/>
        <v>2090.6163000000001</v>
      </c>
      <c r="F425" s="6">
        <f t="shared" si="25"/>
        <v>0.76416619348084103</v>
      </c>
      <c r="G425" t="s">
        <v>881</v>
      </c>
      <c r="H425" t="s">
        <v>419</v>
      </c>
      <c r="I425" t="str">
        <f>VLOOKUP(H425,Sheet2!$A$2:$B$459, 2, FALSE)</f>
        <v>LC</v>
      </c>
      <c r="J425">
        <v>1597574700</v>
      </c>
      <c r="K425">
        <v>493038900</v>
      </c>
      <c r="L425">
        <v>1597.5746999999999</v>
      </c>
      <c r="M425">
        <v>2090.6136000000001</v>
      </c>
      <c r="N425" s="6">
        <f t="shared" si="26"/>
        <v>0.764165458408957</v>
      </c>
      <c r="O425" s="7">
        <f>N425-F425</f>
        <v>-7.3507188402821555E-7</v>
      </c>
    </row>
    <row r="426" spans="1:15" x14ac:dyDescent="0.25">
      <c r="A426" s="1" t="s">
        <v>420</v>
      </c>
      <c r="B426" s="2">
        <v>624876300</v>
      </c>
      <c r="C426" s="2">
        <v>318020400</v>
      </c>
      <c r="D426">
        <f t="shared" si="27"/>
        <v>624.87630000000001</v>
      </c>
      <c r="E426" s="11">
        <f t="shared" si="24"/>
        <v>942.89670000000001</v>
      </c>
      <c r="F426" s="6">
        <f t="shared" si="25"/>
        <v>0.66271978680167187</v>
      </c>
      <c r="G426" t="s">
        <v>882</v>
      </c>
      <c r="H426" t="s">
        <v>420</v>
      </c>
      <c r="I426" t="str">
        <f>VLOOKUP(H426,Sheet2!$A$2:$B$459, 2, FALSE)</f>
        <v>LC</v>
      </c>
      <c r="J426">
        <v>624878100</v>
      </c>
      <c r="K426">
        <v>318020400</v>
      </c>
      <c r="L426">
        <v>624.87810000000002</v>
      </c>
      <c r="M426">
        <v>942.89850000000001</v>
      </c>
      <c r="N426" s="6">
        <f t="shared" si="26"/>
        <v>0.66272043067201825</v>
      </c>
      <c r="O426" s="7">
        <f>N426-F426</f>
        <v>6.4387034637292118E-7</v>
      </c>
    </row>
    <row r="427" spans="1:15" x14ac:dyDescent="0.25">
      <c r="A427" s="1" t="s">
        <v>421</v>
      </c>
      <c r="B427" s="2">
        <v>599594400</v>
      </c>
      <c r="C427" s="2">
        <v>30974400</v>
      </c>
      <c r="D427">
        <f t="shared" si="27"/>
        <v>599.59439999999995</v>
      </c>
      <c r="E427" s="11">
        <f t="shared" si="24"/>
        <v>630.56880000000001</v>
      </c>
      <c r="F427" s="6">
        <f t="shared" si="25"/>
        <v>0.95087863528928163</v>
      </c>
      <c r="G427" t="s">
        <v>883</v>
      </c>
      <c r="H427" t="s">
        <v>421</v>
      </c>
      <c r="I427" t="str">
        <f>VLOOKUP(H427,Sheet2!$A$2:$B$459, 2, FALSE)</f>
        <v>LC</v>
      </c>
      <c r="J427">
        <v>599594400</v>
      </c>
      <c r="K427">
        <v>30974400</v>
      </c>
      <c r="L427">
        <v>599.59439999999995</v>
      </c>
      <c r="M427">
        <v>630.56880000000001</v>
      </c>
      <c r="N427" s="6">
        <f t="shared" si="26"/>
        <v>0.95087863528928163</v>
      </c>
      <c r="O427" s="7">
        <f>N427-F427</f>
        <v>0</v>
      </c>
    </row>
    <row r="428" spans="1:15" x14ac:dyDescent="0.25">
      <c r="A428" s="1" t="s">
        <v>422</v>
      </c>
      <c r="B428" s="2">
        <v>369145800</v>
      </c>
      <c r="C428" s="2">
        <v>99235800</v>
      </c>
      <c r="D428">
        <f t="shared" si="27"/>
        <v>369.14580000000001</v>
      </c>
      <c r="E428" s="11">
        <f t="shared" si="24"/>
        <v>468.38159999999999</v>
      </c>
      <c r="F428" s="6">
        <f t="shared" si="25"/>
        <v>0.78813044748128447</v>
      </c>
      <c r="G428" t="s">
        <v>884</v>
      </c>
      <c r="H428" t="s">
        <v>422</v>
      </c>
      <c r="I428" t="str">
        <f>VLOOKUP(H428,Sheet2!$A$2:$B$459, 2, FALSE)</f>
        <v>LC</v>
      </c>
      <c r="J428">
        <v>369144900</v>
      </c>
      <c r="K428">
        <v>99236700</v>
      </c>
      <c r="L428">
        <v>369.14490000000001</v>
      </c>
      <c r="M428">
        <v>468.38159999999999</v>
      </c>
      <c r="N428" s="6">
        <f t="shared" si="26"/>
        <v>0.78812852597113126</v>
      </c>
      <c r="O428" s="7">
        <f>N428-F428</f>
        <v>-1.9215101532132906E-6</v>
      </c>
    </row>
    <row r="429" spans="1:15" x14ac:dyDescent="0.25">
      <c r="A429" s="1" t="s">
        <v>423</v>
      </c>
      <c r="B429" s="2">
        <v>72821700</v>
      </c>
      <c r="C429" s="2">
        <v>36670500</v>
      </c>
      <c r="D429">
        <f t="shared" si="27"/>
        <v>72.821700000000007</v>
      </c>
      <c r="E429" s="11">
        <f t="shared" si="24"/>
        <v>109.4922</v>
      </c>
      <c r="F429" s="6">
        <f t="shared" si="25"/>
        <v>0.66508573213434385</v>
      </c>
      <c r="G429" t="s">
        <v>885</v>
      </c>
      <c r="H429" t="s">
        <v>423</v>
      </c>
      <c r="I429" t="str">
        <f>VLOOKUP(H429,Sheet2!$A$2:$B$459, 2, FALSE)</f>
        <v>LC</v>
      </c>
      <c r="J429">
        <v>72820800</v>
      </c>
      <c r="K429">
        <v>36670500</v>
      </c>
      <c r="L429">
        <v>72.820800000000006</v>
      </c>
      <c r="M429">
        <v>109.4913</v>
      </c>
      <c r="N429" s="6">
        <f t="shared" si="26"/>
        <v>0.66508297919560744</v>
      </c>
      <c r="O429" s="7">
        <f>N429-F429</f>
        <v>-2.752938736416688E-6</v>
      </c>
    </row>
    <row r="430" spans="1:15" x14ac:dyDescent="0.25">
      <c r="A430" s="1" t="s">
        <v>424</v>
      </c>
      <c r="B430" s="2">
        <v>3426716700</v>
      </c>
      <c r="C430" s="2">
        <v>1033622100</v>
      </c>
      <c r="D430">
        <f t="shared" si="27"/>
        <v>3426.7166999999999</v>
      </c>
      <c r="E430" s="11">
        <f t="shared" si="24"/>
        <v>4460.3388000000004</v>
      </c>
      <c r="F430" s="6">
        <f t="shared" si="25"/>
        <v>0.76826376955938858</v>
      </c>
      <c r="G430" t="s">
        <v>886</v>
      </c>
      <c r="H430" t="s">
        <v>424</v>
      </c>
      <c r="I430" t="str">
        <f>VLOOKUP(H430,Sheet2!$A$2:$B$459, 2, FALSE)</f>
        <v>LC</v>
      </c>
      <c r="J430">
        <v>3426716700</v>
      </c>
      <c r="K430">
        <v>1033623000</v>
      </c>
      <c r="L430">
        <v>3426.7166999999999</v>
      </c>
      <c r="M430">
        <v>4460.3397000000004</v>
      </c>
      <c r="N430" s="6">
        <f t="shared" si="26"/>
        <v>0.76826361454039016</v>
      </c>
      <c r="O430" s="7">
        <f>N430-F430</f>
        <v>-1.5501899841563471E-7</v>
      </c>
    </row>
    <row r="431" spans="1:15" x14ac:dyDescent="0.25">
      <c r="A431" s="1" t="s">
        <v>425</v>
      </c>
      <c r="B431" s="2">
        <v>1333972800</v>
      </c>
      <c r="C431" s="2">
        <v>1561500</v>
      </c>
      <c r="D431">
        <f t="shared" si="27"/>
        <v>1333.9728</v>
      </c>
      <c r="E431" s="11">
        <f t="shared" si="24"/>
        <v>1335.5343</v>
      </c>
      <c r="F431" s="6">
        <f t="shared" si="25"/>
        <v>0.99883080501938437</v>
      </c>
      <c r="G431" t="s">
        <v>887</v>
      </c>
      <c r="H431" t="s">
        <v>425</v>
      </c>
      <c r="I431" t="str">
        <f>VLOOKUP(H431,Sheet2!$A$2:$B$459, 2, FALSE)</f>
        <v>LC</v>
      </c>
      <c r="J431">
        <v>1333971900</v>
      </c>
      <c r="K431">
        <v>1561500</v>
      </c>
      <c r="L431">
        <v>1333.9719</v>
      </c>
      <c r="M431">
        <v>1335.5334</v>
      </c>
      <c r="N431" s="6">
        <f t="shared" si="26"/>
        <v>0.99883080423147785</v>
      </c>
      <c r="O431" s="7">
        <f>N431-F431</f>
        <v>-7.8790651780735743E-10</v>
      </c>
    </row>
    <row r="432" spans="1:15" x14ac:dyDescent="0.25">
      <c r="A432" s="1" t="s">
        <v>426</v>
      </c>
      <c r="B432" s="2">
        <v>2256141600</v>
      </c>
      <c r="C432" s="2">
        <v>327826800</v>
      </c>
      <c r="D432">
        <f t="shared" si="27"/>
        <v>2256.1415999999999</v>
      </c>
      <c r="E432" s="11">
        <f t="shared" si="24"/>
        <v>2583.9684000000002</v>
      </c>
      <c r="F432" s="6">
        <f t="shared" si="25"/>
        <v>0.87313049184347613</v>
      </c>
      <c r="G432" t="s">
        <v>888</v>
      </c>
      <c r="H432" t="s">
        <v>426</v>
      </c>
      <c r="I432" t="str">
        <f>VLOOKUP(H432,Sheet2!$A$2:$B$459, 2, FALSE)</f>
        <v>LC</v>
      </c>
      <c r="J432">
        <v>2256142500</v>
      </c>
      <c r="K432">
        <v>327826800</v>
      </c>
      <c r="L432">
        <v>2256.1424999999999</v>
      </c>
      <c r="M432">
        <v>2583.9693000000002</v>
      </c>
      <c r="N432" s="6">
        <f t="shared" si="26"/>
        <v>0.87313053603229718</v>
      </c>
      <c r="O432" s="7">
        <f>N432-F432</f>
        <v>4.4188821046731164E-8</v>
      </c>
    </row>
    <row r="433" spans="1:15" x14ac:dyDescent="0.25">
      <c r="A433" s="1" t="s">
        <v>427</v>
      </c>
      <c r="B433" s="2">
        <v>43232400</v>
      </c>
      <c r="C433" s="2">
        <v>91347300</v>
      </c>
      <c r="D433">
        <f t="shared" si="27"/>
        <v>43.232399999999998</v>
      </c>
      <c r="E433" s="11">
        <f t="shared" si="24"/>
        <v>134.5797</v>
      </c>
      <c r="F433" s="6">
        <f t="shared" si="25"/>
        <v>0.32124012759725279</v>
      </c>
      <c r="G433" t="s">
        <v>889</v>
      </c>
      <c r="H433" t="s">
        <v>427</v>
      </c>
      <c r="I433" t="str">
        <f>VLOOKUP(H433,Sheet2!$A$2:$B$459, 2, FALSE)</f>
        <v>EN</v>
      </c>
      <c r="J433">
        <v>43232400</v>
      </c>
      <c r="K433">
        <v>91347300</v>
      </c>
      <c r="L433">
        <v>43.232399999999998</v>
      </c>
      <c r="M433">
        <v>134.5797</v>
      </c>
      <c r="N433" s="6">
        <f t="shared" si="26"/>
        <v>0.32124012759725279</v>
      </c>
      <c r="O433" s="7">
        <f>N433-F433</f>
        <v>0</v>
      </c>
    </row>
    <row r="434" spans="1:15" x14ac:dyDescent="0.25">
      <c r="A434" s="1" t="s">
        <v>428</v>
      </c>
      <c r="B434" s="2">
        <v>872987400</v>
      </c>
      <c r="C434" s="2">
        <v>251383500</v>
      </c>
      <c r="D434">
        <f t="shared" si="27"/>
        <v>872.98739999999998</v>
      </c>
      <c r="E434" s="11">
        <f t="shared" si="24"/>
        <v>1124.3708999999999</v>
      </c>
      <c r="F434" s="6">
        <f t="shared" si="25"/>
        <v>0.7764229757280271</v>
      </c>
      <c r="G434" t="s">
        <v>890</v>
      </c>
      <c r="H434" t="s">
        <v>428</v>
      </c>
      <c r="I434" t="str">
        <f>VLOOKUP(H434,Sheet2!$A$2:$B$459, 2, FALSE)</f>
        <v>LC</v>
      </c>
      <c r="J434">
        <v>872987400</v>
      </c>
      <c r="K434">
        <v>251381700</v>
      </c>
      <c r="L434">
        <v>872.98739999999998</v>
      </c>
      <c r="M434">
        <v>1124.3690999999999</v>
      </c>
      <c r="N434" s="6">
        <f t="shared" si="26"/>
        <v>0.77642421870184808</v>
      </c>
      <c r="O434" s="7">
        <f>N434-F434</f>
        <v>1.2429738209807084E-6</v>
      </c>
    </row>
    <row r="435" spans="1:15" x14ac:dyDescent="0.25">
      <c r="A435" s="1" t="s">
        <v>429</v>
      </c>
      <c r="B435" s="2">
        <v>83751300</v>
      </c>
      <c r="C435" s="2">
        <v>69198300</v>
      </c>
      <c r="D435">
        <f t="shared" si="27"/>
        <v>83.751300000000001</v>
      </c>
      <c r="E435" s="11">
        <f t="shared" si="24"/>
        <v>152.9496</v>
      </c>
      <c r="F435" s="6">
        <f t="shared" si="25"/>
        <v>0.54757449512780676</v>
      </c>
      <c r="G435" t="s">
        <v>891</v>
      </c>
      <c r="H435" t="s">
        <v>429</v>
      </c>
      <c r="I435" t="str">
        <f>VLOOKUP(H435,Sheet2!$A$2:$B$459, 2, FALSE)</f>
        <v>CR</v>
      </c>
      <c r="J435">
        <v>83751300</v>
      </c>
      <c r="K435">
        <v>69199200</v>
      </c>
      <c r="L435">
        <v>83.751300000000001</v>
      </c>
      <c r="M435">
        <v>152.95050000000001</v>
      </c>
      <c r="N435" s="6">
        <f t="shared" si="26"/>
        <v>0.54757127305893083</v>
      </c>
      <c r="O435" s="7">
        <f>N435-F435</f>
        <v>-3.2220688759299065E-6</v>
      </c>
    </row>
    <row r="436" spans="1:15" x14ac:dyDescent="0.25">
      <c r="A436" s="1" t="s">
        <v>430</v>
      </c>
      <c r="B436" s="2">
        <v>181670400</v>
      </c>
      <c r="C436" s="2">
        <v>17100</v>
      </c>
      <c r="D436">
        <f t="shared" si="27"/>
        <v>181.6704</v>
      </c>
      <c r="E436" s="11">
        <f t="shared" si="24"/>
        <v>181.6875</v>
      </c>
      <c r="F436" s="6">
        <f t="shared" si="25"/>
        <v>0.9999058823529412</v>
      </c>
      <c r="G436" t="s">
        <v>892</v>
      </c>
      <c r="H436" t="s">
        <v>430</v>
      </c>
      <c r="I436" t="str">
        <f>VLOOKUP(H436,Sheet2!$A$2:$B$459, 2, FALSE)</f>
        <v>LC</v>
      </c>
      <c r="J436">
        <v>181669500</v>
      </c>
      <c r="K436">
        <v>17100</v>
      </c>
      <c r="L436">
        <v>181.6695</v>
      </c>
      <c r="M436">
        <v>181.6866</v>
      </c>
      <c r="N436" s="6">
        <f t="shared" si="26"/>
        <v>0.99990588188672147</v>
      </c>
      <c r="O436" s="7">
        <f>N436-F436</f>
        <v>-4.6621972948912571E-10</v>
      </c>
    </row>
    <row r="437" spans="1:15" x14ac:dyDescent="0.25">
      <c r="A437" s="1" t="s">
        <v>431</v>
      </c>
      <c r="B437" s="2">
        <v>663180300</v>
      </c>
      <c r="C437" s="2">
        <v>981789300</v>
      </c>
      <c r="D437">
        <f t="shared" si="27"/>
        <v>663.18029999999999</v>
      </c>
      <c r="E437" s="11">
        <f t="shared" si="24"/>
        <v>1644.9695999999999</v>
      </c>
      <c r="F437" s="6">
        <f t="shared" si="25"/>
        <v>0.40315656897246005</v>
      </c>
      <c r="G437" t="s">
        <v>893</v>
      </c>
      <c r="H437" t="s">
        <v>431</v>
      </c>
      <c r="I437" t="str">
        <f>VLOOKUP(H437,Sheet2!$A$2:$B$459, 2, FALSE)</f>
        <v>EN</v>
      </c>
      <c r="J437">
        <v>663183900</v>
      </c>
      <c r="K437">
        <v>981783000</v>
      </c>
      <c r="L437">
        <v>663.18389999999999</v>
      </c>
      <c r="M437">
        <v>1644.9668999999999</v>
      </c>
      <c r="N437" s="6">
        <f t="shared" si="26"/>
        <v>0.40315941919560816</v>
      </c>
      <c r="O437" s="7">
        <f>N437-F437</f>
        <v>2.8502231481097873E-6</v>
      </c>
    </row>
    <row r="438" spans="1:15" x14ac:dyDescent="0.25">
      <c r="A438" s="1" t="s">
        <v>432</v>
      </c>
      <c r="B438" s="2">
        <v>272052000</v>
      </c>
      <c r="C438" s="2">
        <v>63033300</v>
      </c>
      <c r="D438">
        <f t="shared" si="27"/>
        <v>272.05200000000002</v>
      </c>
      <c r="E438" s="11">
        <f t="shared" si="24"/>
        <v>335.08530000000002</v>
      </c>
      <c r="F438" s="6">
        <f t="shared" si="25"/>
        <v>0.81188879368924871</v>
      </c>
      <c r="G438" t="s">
        <v>894</v>
      </c>
      <c r="H438" t="s">
        <v>432</v>
      </c>
      <c r="I438" t="str">
        <f>VLOOKUP(H438,Sheet2!$A$2:$B$459, 2, FALSE)</f>
        <v>LC</v>
      </c>
      <c r="J438">
        <v>272051100</v>
      </c>
      <c r="K438">
        <v>63035100</v>
      </c>
      <c r="L438">
        <v>272.05110000000002</v>
      </c>
      <c r="M438">
        <v>335.08620000000002</v>
      </c>
      <c r="N438" s="6">
        <f t="shared" si="26"/>
        <v>0.81188392718052849</v>
      </c>
      <c r="O438" s="7">
        <f>N438-F438</f>
        <v>-4.8665087202248714E-6</v>
      </c>
    </row>
    <row r="439" spans="1:15" x14ac:dyDescent="0.25">
      <c r="A439" s="1" t="s">
        <v>433</v>
      </c>
      <c r="B439" s="2">
        <v>3689224200</v>
      </c>
      <c r="C439" s="2">
        <v>1484503200</v>
      </c>
      <c r="D439">
        <f t="shared" si="27"/>
        <v>3689.2242000000001</v>
      </c>
      <c r="E439" s="11">
        <f t="shared" si="24"/>
        <v>5173.7273999999998</v>
      </c>
      <c r="F439" s="6">
        <f t="shared" si="25"/>
        <v>0.71306891816526707</v>
      </c>
      <c r="G439" t="s">
        <v>895</v>
      </c>
      <c r="H439" t="s">
        <v>433</v>
      </c>
      <c r="I439" t="str">
        <f>VLOOKUP(H439,Sheet2!$A$2:$B$459, 2, FALSE)</f>
        <v>LC</v>
      </c>
      <c r="J439">
        <v>3689223300</v>
      </c>
      <c r="K439">
        <v>1484503200</v>
      </c>
      <c r="L439">
        <v>3689.2233000000001</v>
      </c>
      <c r="M439">
        <v>5173.7264999999998</v>
      </c>
      <c r="N439" s="6">
        <f t="shared" si="26"/>
        <v>0.71306886825192639</v>
      </c>
      <c r="O439" s="7">
        <f>N439-F439</f>
        <v>-4.9913340682827823E-8</v>
      </c>
    </row>
    <row r="440" spans="1:15" x14ac:dyDescent="0.25">
      <c r="A440" s="1" t="s">
        <v>434</v>
      </c>
      <c r="B440" s="2">
        <v>5744071800</v>
      </c>
      <c r="C440" s="2">
        <v>2820677400</v>
      </c>
      <c r="D440">
        <f t="shared" si="27"/>
        <v>5744.0717999999997</v>
      </c>
      <c r="E440" s="11">
        <f t="shared" si="24"/>
        <v>8564.7492000000002</v>
      </c>
      <c r="F440" s="6">
        <f t="shared" si="25"/>
        <v>0.67066433188726648</v>
      </c>
      <c r="G440" t="s">
        <v>896</v>
      </c>
      <c r="H440" t="s">
        <v>434</v>
      </c>
      <c r="I440" t="str">
        <f>VLOOKUP(H440,Sheet2!$A$2:$B$459, 2, FALSE)</f>
        <v>LC</v>
      </c>
      <c r="J440">
        <v>5744070900</v>
      </c>
      <c r="K440">
        <v>2820674700</v>
      </c>
      <c r="L440">
        <v>5744.0708999999997</v>
      </c>
      <c r="M440">
        <v>8564.7456000000002</v>
      </c>
      <c r="N440" s="6">
        <f t="shared" si="26"/>
        <v>0.6706645087041464</v>
      </c>
      <c r="O440" s="7">
        <f>N440-F440</f>
        <v>1.7681687991544237E-7</v>
      </c>
    </row>
    <row r="441" spans="1:15" x14ac:dyDescent="0.25">
      <c r="A441" s="1" t="s">
        <v>435</v>
      </c>
      <c r="B441" s="2">
        <v>185463000</v>
      </c>
      <c r="C441" s="2">
        <v>509155200</v>
      </c>
      <c r="D441">
        <f t="shared" si="27"/>
        <v>185.46299999999999</v>
      </c>
      <c r="E441" s="11">
        <f t="shared" si="24"/>
        <v>694.6182</v>
      </c>
      <c r="F441" s="6">
        <f t="shared" si="25"/>
        <v>0.26699991448539645</v>
      </c>
      <c r="G441" t="s">
        <v>897</v>
      </c>
      <c r="H441" t="s">
        <v>435</v>
      </c>
      <c r="I441" t="str">
        <f>VLOOKUP(H441,Sheet2!$A$2:$B$459, 2, FALSE)</f>
        <v>CR</v>
      </c>
      <c r="J441">
        <v>185463000</v>
      </c>
      <c r="K441">
        <v>509155200</v>
      </c>
      <c r="L441">
        <v>185.46299999999999</v>
      </c>
      <c r="M441">
        <v>694.6182</v>
      </c>
      <c r="N441" s="6">
        <f t="shared" si="26"/>
        <v>0.26699991448539645</v>
      </c>
      <c r="O441" s="7">
        <f>N441-F441</f>
        <v>0</v>
      </c>
    </row>
    <row r="442" spans="1:15" x14ac:dyDescent="0.25">
      <c r="A442" s="1" t="s">
        <v>436</v>
      </c>
      <c r="B442" s="2">
        <v>477999000</v>
      </c>
      <c r="C442" s="2">
        <v>182646900</v>
      </c>
      <c r="D442">
        <f t="shared" si="27"/>
        <v>477.99900000000002</v>
      </c>
      <c r="E442" s="11">
        <f t="shared" si="24"/>
        <v>660.64589999999998</v>
      </c>
      <c r="F442" s="6">
        <f t="shared" si="25"/>
        <v>0.72353283354971254</v>
      </c>
      <c r="G442" t="s">
        <v>898</v>
      </c>
      <c r="H442" t="s">
        <v>436</v>
      </c>
      <c r="I442" t="str">
        <f>VLOOKUP(H442,Sheet2!$A$2:$B$459, 2, FALSE)</f>
        <v>LC</v>
      </c>
      <c r="J442">
        <v>477973800</v>
      </c>
      <c r="K442">
        <v>182645100</v>
      </c>
      <c r="L442">
        <v>477.97379999999998</v>
      </c>
      <c r="M442">
        <v>660.61890000000005</v>
      </c>
      <c r="N442" s="6">
        <f t="shared" si="26"/>
        <v>0.72352425884273053</v>
      </c>
      <c r="O442" s="7">
        <f>N442-F442</f>
        <v>-8.5747069820119037E-6</v>
      </c>
    </row>
    <row r="443" spans="1:15" x14ac:dyDescent="0.25">
      <c r="A443" s="1" t="s">
        <v>437</v>
      </c>
      <c r="B443" s="2">
        <v>524635200</v>
      </c>
      <c r="C443" s="2">
        <v>178890300</v>
      </c>
      <c r="D443">
        <f t="shared" si="27"/>
        <v>524.63520000000005</v>
      </c>
      <c r="E443" s="11">
        <f t="shared" si="24"/>
        <v>703.52549999999997</v>
      </c>
      <c r="F443" s="6">
        <f t="shared" si="25"/>
        <v>0.745723076135833</v>
      </c>
      <c r="G443" t="s">
        <v>899</v>
      </c>
      <c r="H443" t="s">
        <v>437</v>
      </c>
      <c r="I443" t="str">
        <f>VLOOKUP(H443,Sheet2!$A$2:$B$459, 2, FALSE)</f>
        <v>CR</v>
      </c>
      <c r="J443">
        <v>524635200</v>
      </c>
      <c r="K443">
        <v>178890300</v>
      </c>
      <c r="L443">
        <v>524.63520000000005</v>
      </c>
      <c r="M443">
        <v>703.52549999999997</v>
      </c>
      <c r="N443" s="6">
        <f t="shared" si="26"/>
        <v>0.74572307613583311</v>
      </c>
      <c r="O443" s="7">
        <f>N443-F443</f>
        <v>0</v>
      </c>
    </row>
    <row r="444" spans="1:15" x14ac:dyDescent="0.25">
      <c r="A444" s="1" t="s">
        <v>438</v>
      </c>
      <c r="B444" s="2">
        <v>429347700</v>
      </c>
      <c r="C444" s="2">
        <v>110543400</v>
      </c>
      <c r="D444">
        <f t="shared" si="27"/>
        <v>429.34769999999997</v>
      </c>
      <c r="E444" s="11">
        <f t="shared" si="24"/>
        <v>539.89110000000005</v>
      </c>
      <c r="F444" s="6">
        <f t="shared" si="25"/>
        <v>0.79524870848954543</v>
      </c>
      <c r="G444" t="s">
        <v>900</v>
      </c>
      <c r="H444" t="s">
        <v>438</v>
      </c>
      <c r="I444" t="str">
        <f>VLOOKUP(H444,Sheet2!$A$2:$B$459, 2, FALSE)</f>
        <v>LC</v>
      </c>
      <c r="J444">
        <v>429347700</v>
      </c>
      <c r="K444">
        <v>110542500</v>
      </c>
      <c r="L444">
        <v>429.34769999999997</v>
      </c>
      <c r="M444">
        <v>539.89020000000005</v>
      </c>
      <c r="N444" s="6">
        <f t="shared" si="26"/>
        <v>0.79525003417361517</v>
      </c>
      <c r="O444" s="7">
        <f>N444-F444</f>
        <v>1.3256840697417616E-6</v>
      </c>
    </row>
    <row r="445" spans="1:15" x14ac:dyDescent="0.25">
      <c r="A445" s="1" t="s">
        <v>439</v>
      </c>
      <c r="B445" s="2">
        <v>15035650200</v>
      </c>
      <c r="C445" s="2">
        <v>4803467400</v>
      </c>
      <c r="D445">
        <f t="shared" si="27"/>
        <v>15035.6502</v>
      </c>
      <c r="E445" s="11">
        <f t="shared" si="24"/>
        <v>19839.117600000001</v>
      </c>
      <c r="F445" s="6">
        <f t="shared" si="25"/>
        <v>0.7578789794562234</v>
      </c>
      <c r="G445" t="s">
        <v>901</v>
      </c>
      <c r="H445" t="s">
        <v>439</v>
      </c>
      <c r="I445" t="str">
        <f>VLOOKUP(H445,Sheet2!$A$2:$B$459, 2, FALSE)</f>
        <v>LC</v>
      </c>
      <c r="J445">
        <v>15035647500</v>
      </c>
      <c r="K445">
        <v>4803466500</v>
      </c>
      <c r="L445">
        <v>15035.647499999999</v>
      </c>
      <c r="M445">
        <v>19839.114000000001</v>
      </c>
      <c r="N445" s="6">
        <f t="shared" si="26"/>
        <v>0.75787898088594063</v>
      </c>
      <c r="O445" s="7">
        <f>N445-F445</f>
        <v>1.429717233492056E-9</v>
      </c>
    </row>
    <row r="446" spans="1:15" x14ac:dyDescent="0.25">
      <c r="A446" s="1" t="s">
        <v>440</v>
      </c>
      <c r="B446" s="2">
        <v>1971362700</v>
      </c>
      <c r="C446" s="2">
        <v>750692700</v>
      </c>
      <c r="D446">
        <f t="shared" si="27"/>
        <v>1971.3626999999999</v>
      </c>
      <c r="E446" s="11">
        <f t="shared" si="24"/>
        <v>2722.0554000000002</v>
      </c>
      <c r="F446" s="6">
        <f t="shared" si="25"/>
        <v>0.72421843434927891</v>
      </c>
      <c r="G446" t="s">
        <v>902</v>
      </c>
      <c r="H446" t="s">
        <v>440</v>
      </c>
      <c r="I446" t="str">
        <f>VLOOKUP(H446,Sheet2!$A$2:$B$459, 2, FALSE)</f>
        <v>LC</v>
      </c>
      <c r="J446">
        <v>1971361800</v>
      </c>
      <c r="K446">
        <v>750692700</v>
      </c>
      <c r="L446">
        <v>1971.3617999999999</v>
      </c>
      <c r="M446">
        <v>2722.0545000000002</v>
      </c>
      <c r="N446" s="6">
        <f t="shared" si="26"/>
        <v>0.72421834316689826</v>
      </c>
      <c r="O446" s="7">
        <f>N446-F446</f>
        <v>-9.1182380645982164E-8</v>
      </c>
    </row>
    <row r="447" spans="1:15" x14ac:dyDescent="0.25">
      <c r="A447" s="1" t="s">
        <v>441</v>
      </c>
      <c r="B447" s="2">
        <v>2980644300</v>
      </c>
      <c r="C447" s="2">
        <v>588068100</v>
      </c>
      <c r="D447">
        <f t="shared" si="27"/>
        <v>2980.6442999999999</v>
      </c>
      <c r="E447" s="11">
        <f t="shared" si="24"/>
        <v>3568.7123999999999</v>
      </c>
      <c r="F447" s="6">
        <f t="shared" si="25"/>
        <v>0.83521560885657242</v>
      </c>
      <c r="G447" t="s">
        <v>903</v>
      </c>
      <c r="H447" t="s">
        <v>441</v>
      </c>
      <c r="I447" t="str">
        <f>VLOOKUP(H447,Sheet2!$A$2:$B$459, 2, FALSE)</f>
        <v>LC</v>
      </c>
      <c r="J447">
        <v>2980646100</v>
      </c>
      <c r="K447">
        <v>588068100</v>
      </c>
      <c r="L447">
        <v>2980.6460999999999</v>
      </c>
      <c r="M447">
        <v>3568.7141999999999</v>
      </c>
      <c r="N447" s="6">
        <f t="shared" si="26"/>
        <v>0.83521569197107459</v>
      </c>
      <c r="O447" s="7">
        <f>N447-F447</f>
        <v>8.3114502169578941E-8</v>
      </c>
    </row>
    <row r="448" spans="1:15" x14ac:dyDescent="0.25">
      <c r="A448" s="1" t="s">
        <v>442</v>
      </c>
      <c r="B448" s="2">
        <v>758017800</v>
      </c>
      <c r="C448" s="2">
        <v>2231100</v>
      </c>
      <c r="D448">
        <f t="shared" si="27"/>
        <v>758.01779999999997</v>
      </c>
      <c r="E448" s="11">
        <f t="shared" si="24"/>
        <v>760.24890000000005</v>
      </c>
      <c r="F448" s="6">
        <f t="shared" si="25"/>
        <v>0.9970653032184591</v>
      </c>
      <c r="G448" t="s">
        <v>904</v>
      </c>
      <c r="H448" t="s">
        <v>442</v>
      </c>
      <c r="I448" t="str">
        <f>VLOOKUP(H448,Sheet2!$A$2:$B$459, 2, FALSE)</f>
        <v>LC</v>
      </c>
      <c r="J448">
        <v>758018700</v>
      </c>
      <c r="K448">
        <v>2231100</v>
      </c>
      <c r="L448">
        <v>758.01869999999997</v>
      </c>
      <c r="M448">
        <v>760.24980000000005</v>
      </c>
      <c r="N448" s="6">
        <f t="shared" si="26"/>
        <v>0.99706530669261595</v>
      </c>
      <c r="O448" s="7">
        <f>N448-F448</f>
        <v>3.4741568510909815E-9</v>
      </c>
    </row>
    <row r="449" spans="1:15" x14ac:dyDescent="0.25">
      <c r="A449" s="1" t="s">
        <v>443</v>
      </c>
      <c r="B449" s="2">
        <v>287803800</v>
      </c>
      <c r="C449" s="2">
        <v>35692200</v>
      </c>
      <c r="D449">
        <f t="shared" si="27"/>
        <v>287.80380000000002</v>
      </c>
      <c r="E449" s="11">
        <f t="shared" si="24"/>
        <v>323.49599999999998</v>
      </c>
      <c r="F449" s="6">
        <f t="shared" si="25"/>
        <v>0.88966726018250608</v>
      </c>
      <c r="G449" t="s">
        <v>905</v>
      </c>
      <c r="H449" t="s">
        <v>443</v>
      </c>
      <c r="I449" t="str">
        <f>VLOOKUP(H449,Sheet2!$A$2:$B$459, 2, FALSE)</f>
        <v>LC</v>
      </c>
      <c r="J449">
        <v>287802900</v>
      </c>
      <c r="K449">
        <v>35692200</v>
      </c>
      <c r="L449">
        <v>287.80290000000002</v>
      </c>
      <c r="M449">
        <v>323.49509999999998</v>
      </c>
      <c r="N449" s="6">
        <f t="shared" si="26"/>
        <v>0.88966695322433031</v>
      </c>
      <c r="O449" s="7">
        <f>N449-F449</f>
        <v>-3.0695817576642526E-7</v>
      </c>
    </row>
    <row r="450" spans="1:15" x14ac:dyDescent="0.25">
      <c r="A450" s="1" t="s">
        <v>444</v>
      </c>
      <c r="B450" s="2">
        <v>1789849800</v>
      </c>
      <c r="C450" s="2">
        <v>1609664400</v>
      </c>
      <c r="D450">
        <f t="shared" si="27"/>
        <v>1789.8498</v>
      </c>
      <c r="E450" s="11">
        <f t="shared" si="24"/>
        <v>3399.5142000000001</v>
      </c>
      <c r="F450" s="6">
        <f t="shared" si="25"/>
        <v>0.52650163955779328</v>
      </c>
      <c r="G450" t="s">
        <v>906</v>
      </c>
      <c r="H450" t="s">
        <v>444</v>
      </c>
      <c r="I450" t="str">
        <f>VLOOKUP(H450,Sheet2!$A$2:$B$459, 2, FALSE)</f>
        <v>EN</v>
      </c>
      <c r="J450">
        <v>1789849800</v>
      </c>
      <c r="K450">
        <v>1609664400</v>
      </c>
      <c r="L450">
        <v>1789.8498</v>
      </c>
      <c r="M450">
        <v>3399.5142000000001</v>
      </c>
      <c r="N450" s="6">
        <f t="shared" si="26"/>
        <v>0.52650163955779328</v>
      </c>
      <c r="O450" s="7">
        <f>N450-F450</f>
        <v>0</v>
      </c>
    </row>
    <row r="451" spans="1:15" x14ac:dyDescent="0.25">
      <c r="A451" s="1" t="s">
        <v>445</v>
      </c>
      <c r="B451" s="2">
        <v>1137402000</v>
      </c>
      <c r="C451" s="2">
        <v>2425021200</v>
      </c>
      <c r="D451">
        <f t="shared" si="27"/>
        <v>1137.402</v>
      </c>
      <c r="E451" s="11">
        <f t="shared" ref="E451:E467" si="28">(B451+C451)/1000000</f>
        <v>3562.4232000000002</v>
      </c>
      <c r="F451" s="6">
        <f t="shared" ref="F451:F467" si="29">B451/(B451+C451)</f>
        <v>0.31927761979542463</v>
      </c>
      <c r="G451" t="s">
        <v>907</v>
      </c>
      <c r="H451" t="s">
        <v>445</v>
      </c>
      <c r="I451" t="str">
        <f>VLOOKUP(H451,Sheet2!$A$2:$B$459, 2, FALSE)</f>
        <v>EN</v>
      </c>
      <c r="J451">
        <v>1137397500</v>
      </c>
      <c r="K451">
        <v>2425027500</v>
      </c>
      <c r="L451">
        <v>1137.3975</v>
      </c>
      <c r="M451">
        <v>3562.4250000000002</v>
      </c>
      <c r="N451" s="6">
        <f t="shared" ref="N451:N467" si="30">L451/M451</f>
        <v>0.31927619528832185</v>
      </c>
      <c r="O451" s="7">
        <f>N451-F451</f>
        <v>-1.4245071027763068E-6</v>
      </c>
    </row>
    <row r="452" spans="1:15" x14ac:dyDescent="0.25">
      <c r="A452" s="1" t="s">
        <v>446</v>
      </c>
      <c r="B452" s="2">
        <v>8061935400</v>
      </c>
      <c r="C452" s="2">
        <v>734358600</v>
      </c>
      <c r="D452">
        <f t="shared" ref="D452:D467" si="31">B452/1000000</f>
        <v>8061.9354000000003</v>
      </c>
      <c r="E452" s="11">
        <f t="shared" si="28"/>
        <v>8796.2939999999999</v>
      </c>
      <c r="F452" s="6">
        <f t="shared" si="29"/>
        <v>0.91651500052181067</v>
      </c>
      <c r="G452" t="s">
        <v>908</v>
      </c>
      <c r="H452" t="s">
        <v>446</v>
      </c>
      <c r="I452" t="str">
        <f>VLOOKUP(H452,Sheet2!$A$2:$B$459, 2, FALSE)</f>
        <v>LC</v>
      </c>
      <c r="J452">
        <v>8061936300</v>
      </c>
      <c r="K452">
        <v>734358600</v>
      </c>
      <c r="L452">
        <v>8061.9363000000003</v>
      </c>
      <c r="M452">
        <v>8796.2949000000008</v>
      </c>
      <c r="N452" s="6">
        <f t="shared" si="30"/>
        <v>0.91651500906364558</v>
      </c>
      <c r="O452" s="7">
        <f>N452-F452</f>
        <v>8.5418349060617516E-9</v>
      </c>
    </row>
    <row r="453" spans="1:15" x14ac:dyDescent="0.25">
      <c r="A453" s="1" t="s">
        <v>447</v>
      </c>
      <c r="B453" s="2">
        <v>2696394600</v>
      </c>
      <c r="C453" s="2">
        <v>83240100</v>
      </c>
      <c r="D453">
        <f t="shared" si="31"/>
        <v>2696.3946000000001</v>
      </c>
      <c r="E453" s="11">
        <f t="shared" si="28"/>
        <v>2779.6347000000001</v>
      </c>
      <c r="F453" s="6">
        <f t="shared" si="29"/>
        <v>0.97005358294023314</v>
      </c>
      <c r="G453" t="s">
        <v>909</v>
      </c>
      <c r="H453" t="s">
        <v>447</v>
      </c>
      <c r="I453" t="str">
        <f>VLOOKUP(H453,Sheet2!$A$2:$B$459, 2, FALSE)</f>
        <v>LC</v>
      </c>
      <c r="J453">
        <v>2696391000</v>
      </c>
      <c r="K453">
        <v>83240100</v>
      </c>
      <c r="L453">
        <v>2696.3910000000001</v>
      </c>
      <c r="M453">
        <v>2779.6311000000001</v>
      </c>
      <c r="N453" s="6">
        <f t="shared" si="30"/>
        <v>0.97005354415555356</v>
      </c>
      <c r="O453" s="7">
        <f>N453-F453</f>
        <v>-3.8784679579073611E-8</v>
      </c>
    </row>
    <row r="454" spans="1:15" x14ac:dyDescent="0.25">
      <c r="A454" s="1" t="s">
        <v>448</v>
      </c>
      <c r="B454" s="2">
        <v>276920100</v>
      </c>
      <c r="C454" s="2">
        <v>146700</v>
      </c>
      <c r="D454">
        <f t="shared" si="31"/>
        <v>276.92009999999999</v>
      </c>
      <c r="E454" s="11">
        <f t="shared" si="28"/>
        <v>277.0668</v>
      </c>
      <c r="F454" s="6">
        <f t="shared" si="29"/>
        <v>0.99947052479762999</v>
      </c>
      <c r="G454" t="s">
        <v>910</v>
      </c>
      <c r="H454" t="s">
        <v>448</v>
      </c>
      <c r="I454" t="str">
        <f>VLOOKUP(H454,Sheet2!$A$2:$B$459, 2, FALSE)</f>
        <v>LC</v>
      </c>
      <c r="J454">
        <v>276921900</v>
      </c>
      <c r="K454">
        <v>146700</v>
      </c>
      <c r="L454">
        <v>276.92189999999999</v>
      </c>
      <c r="M454">
        <v>277.0686</v>
      </c>
      <c r="N454" s="6">
        <f t="shared" si="30"/>
        <v>0.99947052823741123</v>
      </c>
      <c r="O454" s="7">
        <f>N454-F454</f>
        <v>3.4397812376241177E-9</v>
      </c>
    </row>
    <row r="455" spans="1:15" x14ac:dyDescent="0.25">
      <c r="A455" s="1" t="s">
        <v>449</v>
      </c>
      <c r="B455" s="2">
        <v>2800108800</v>
      </c>
      <c r="C455" s="2">
        <v>4614300</v>
      </c>
      <c r="D455">
        <f t="shared" si="31"/>
        <v>2800.1088</v>
      </c>
      <c r="E455" s="11">
        <f t="shared" si="28"/>
        <v>2804.7231000000002</v>
      </c>
      <c r="F455" s="6">
        <f t="shared" si="29"/>
        <v>0.99835481085459021</v>
      </c>
      <c r="G455" t="s">
        <v>911</v>
      </c>
      <c r="H455" t="s">
        <v>449</v>
      </c>
      <c r="I455" t="str">
        <f>VLOOKUP(H455,Sheet2!$A$2:$B$459, 2, FALSE)</f>
        <v>LC</v>
      </c>
      <c r="J455">
        <v>2800110600</v>
      </c>
      <c r="K455">
        <v>4614300</v>
      </c>
      <c r="L455">
        <v>2800.1106</v>
      </c>
      <c r="M455">
        <v>2804.7249000000002</v>
      </c>
      <c r="N455" s="6">
        <f t="shared" si="30"/>
        <v>0.99835481191043007</v>
      </c>
      <c r="O455" s="7">
        <f>N455-F455</f>
        <v>1.0558398599869179E-9</v>
      </c>
    </row>
    <row r="456" spans="1:15" x14ac:dyDescent="0.25">
      <c r="A456" s="1" t="s">
        <v>450</v>
      </c>
      <c r="B456" s="2">
        <v>4729429800</v>
      </c>
      <c r="C456" s="2">
        <v>585774000</v>
      </c>
      <c r="D456">
        <f t="shared" si="31"/>
        <v>4729.4297999999999</v>
      </c>
      <c r="E456" s="11">
        <f t="shared" si="28"/>
        <v>5315.2038000000002</v>
      </c>
      <c r="F456" s="6">
        <f t="shared" si="29"/>
        <v>0.88979274886882043</v>
      </c>
      <c r="G456" t="s">
        <v>912</v>
      </c>
      <c r="H456" t="s">
        <v>450</v>
      </c>
      <c r="I456" t="str">
        <f>VLOOKUP(H456,Sheet2!$A$2:$B$459, 2, FALSE)</f>
        <v>LC</v>
      </c>
      <c r="J456">
        <v>4729430700</v>
      </c>
      <c r="K456">
        <v>585774000</v>
      </c>
      <c r="L456">
        <v>4729.4306999999999</v>
      </c>
      <c r="M456">
        <v>5315.2047000000002</v>
      </c>
      <c r="N456" s="6">
        <f t="shared" si="30"/>
        <v>0.88979276752972458</v>
      </c>
      <c r="O456" s="7">
        <f>N456-F456</f>
        <v>1.8660904155254343E-8</v>
      </c>
    </row>
    <row r="457" spans="1:15" x14ac:dyDescent="0.25">
      <c r="A457" s="1" t="s">
        <v>451</v>
      </c>
      <c r="B457" s="2">
        <v>2451554100</v>
      </c>
      <c r="C457" s="2">
        <v>702552600</v>
      </c>
      <c r="D457">
        <f t="shared" si="31"/>
        <v>2451.5540999999998</v>
      </c>
      <c r="E457" s="11">
        <f t="shared" si="28"/>
        <v>3154.1066999999998</v>
      </c>
      <c r="F457" s="6">
        <f t="shared" si="29"/>
        <v>0.77725782073257066</v>
      </c>
      <c r="G457" t="s">
        <v>913</v>
      </c>
      <c r="H457" t="s">
        <v>451</v>
      </c>
      <c r="I457" t="str">
        <f>VLOOKUP(H457,Sheet2!$A$2:$B$459, 2, FALSE)</f>
        <v>LC</v>
      </c>
      <c r="J457">
        <v>2451556800</v>
      </c>
      <c r="K457">
        <v>702552600</v>
      </c>
      <c r="L457">
        <v>2451.5567999999998</v>
      </c>
      <c r="M457">
        <v>3154.1093999999998</v>
      </c>
      <c r="N457" s="6">
        <f t="shared" si="30"/>
        <v>0.77725801140569184</v>
      </c>
      <c r="O457" s="7">
        <f>N457-F457</f>
        <v>1.9067312118092872E-7</v>
      </c>
    </row>
    <row r="458" spans="1:15" x14ac:dyDescent="0.25">
      <c r="A458" s="1" t="s">
        <v>452</v>
      </c>
      <c r="B458" s="2">
        <v>2035895400</v>
      </c>
      <c r="C458" s="2">
        <v>189714600</v>
      </c>
      <c r="D458">
        <f t="shared" si="31"/>
        <v>2035.8954000000001</v>
      </c>
      <c r="E458" s="11">
        <f t="shared" si="28"/>
        <v>2225.61</v>
      </c>
      <c r="F458" s="6">
        <f t="shared" si="29"/>
        <v>0.91475838084839667</v>
      </c>
      <c r="G458" t="s">
        <v>914</v>
      </c>
      <c r="H458" t="s">
        <v>452</v>
      </c>
      <c r="I458" t="str">
        <f>VLOOKUP(H458,Sheet2!$A$2:$B$459, 2, FALSE)</f>
        <v>LC</v>
      </c>
      <c r="J458">
        <v>2035893600</v>
      </c>
      <c r="K458">
        <v>189714600</v>
      </c>
      <c r="L458">
        <v>2035.8936000000001</v>
      </c>
      <c r="M458">
        <v>2225.6082000000001</v>
      </c>
      <c r="N458" s="6">
        <f t="shared" si="30"/>
        <v>0.91475831190772927</v>
      </c>
      <c r="O458" s="7">
        <f>N458-F458</f>
        <v>-6.8940667397043853E-8</v>
      </c>
    </row>
    <row r="459" spans="1:15" x14ac:dyDescent="0.25">
      <c r="A459" s="1" t="s">
        <v>453</v>
      </c>
      <c r="B459" s="2">
        <v>310233600</v>
      </c>
      <c r="C459" s="2">
        <v>193500</v>
      </c>
      <c r="D459">
        <f t="shared" si="31"/>
        <v>310.23360000000002</v>
      </c>
      <c r="E459" s="11">
        <f t="shared" si="28"/>
        <v>310.4271</v>
      </c>
      <c r="F459" s="6">
        <f t="shared" si="29"/>
        <v>0.99937666524604329</v>
      </c>
      <c r="G459" t="s">
        <v>915</v>
      </c>
      <c r="H459" t="s">
        <v>453</v>
      </c>
      <c r="I459" t="str">
        <f>VLOOKUP(H459,Sheet2!$A$2:$B$459, 2, FALSE)</f>
        <v>LC</v>
      </c>
      <c r="J459">
        <v>310232700</v>
      </c>
      <c r="K459">
        <v>193500</v>
      </c>
      <c r="L459">
        <v>310.23270000000002</v>
      </c>
      <c r="M459">
        <v>310.42619999999999</v>
      </c>
      <c r="N459" s="6">
        <f t="shared" si="30"/>
        <v>0.99937666343884646</v>
      </c>
      <c r="O459" s="7">
        <f>N459-F459</f>
        <v>-1.807196836622893E-9</v>
      </c>
    </row>
    <row r="460" spans="1:15" x14ac:dyDescent="0.25">
      <c r="A460" s="1" t="s">
        <v>454</v>
      </c>
      <c r="B460" s="2">
        <v>1941486300</v>
      </c>
      <c r="C460" s="2">
        <v>765135900</v>
      </c>
      <c r="D460">
        <f t="shared" si="31"/>
        <v>1941.4863</v>
      </c>
      <c r="E460" s="11">
        <f t="shared" si="28"/>
        <v>2706.6221999999998</v>
      </c>
      <c r="F460" s="6">
        <f t="shared" si="29"/>
        <v>0.71730967846195892</v>
      </c>
      <c r="G460" t="s">
        <v>916</v>
      </c>
      <c r="H460" t="s">
        <v>454</v>
      </c>
      <c r="I460" t="str">
        <f>VLOOKUP(H460,Sheet2!$A$2:$B$459, 2, FALSE)</f>
        <v>LC</v>
      </c>
      <c r="J460">
        <v>1941486300</v>
      </c>
      <c r="K460">
        <v>765135900</v>
      </c>
      <c r="L460">
        <v>1941.4863</v>
      </c>
      <c r="M460">
        <v>2706.6221999999998</v>
      </c>
      <c r="N460" s="6">
        <f t="shared" si="30"/>
        <v>0.71730967846195903</v>
      </c>
      <c r="O460" s="7">
        <f>N460-F460</f>
        <v>0</v>
      </c>
    </row>
    <row r="461" spans="1:15" x14ac:dyDescent="0.25">
      <c r="A461" s="1" t="s">
        <v>455</v>
      </c>
      <c r="B461" s="2">
        <v>1614094200</v>
      </c>
      <c r="C461" s="2">
        <v>601629300</v>
      </c>
      <c r="D461">
        <f t="shared" si="31"/>
        <v>1614.0942</v>
      </c>
      <c r="E461" s="11">
        <f t="shared" si="28"/>
        <v>2215.7235000000001</v>
      </c>
      <c r="F461" s="6">
        <f t="shared" si="29"/>
        <v>0.7284727539334217</v>
      </c>
      <c r="G461" t="s">
        <v>917</v>
      </c>
      <c r="H461" t="s">
        <v>455</v>
      </c>
      <c r="I461" t="str">
        <f>VLOOKUP(H461,Sheet2!$A$2:$B$459, 2, FALSE)</f>
        <v>LC</v>
      </c>
      <c r="J461">
        <v>1614093300</v>
      </c>
      <c r="K461">
        <v>601629300</v>
      </c>
      <c r="L461">
        <v>1614.0933</v>
      </c>
      <c r="M461">
        <v>2215.7226000000001</v>
      </c>
      <c r="N461" s="6">
        <f t="shared" si="30"/>
        <v>0.72847264364230435</v>
      </c>
      <c r="O461" s="7">
        <f>N461-F461</f>
        <v>-1.102911173500587E-7</v>
      </c>
    </row>
    <row r="462" spans="1:15" x14ac:dyDescent="0.25">
      <c r="A462" s="1" t="s">
        <v>456</v>
      </c>
      <c r="B462" s="2">
        <v>1023229800</v>
      </c>
      <c r="C462" s="2">
        <v>510256800</v>
      </c>
      <c r="D462">
        <f t="shared" si="31"/>
        <v>1023.2298</v>
      </c>
      <c r="E462" s="11">
        <f t="shared" si="28"/>
        <v>1533.4866</v>
      </c>
      <c r="F462" s="6">
        <f t="shared" si="29"/>
        <v>0.66725708591128219</v>
      </c>
      <c r="G462" t="s">
        <v>918</v>
      </c>
      <c r="H462" t="s">
        <v>456</v>
      </c>
      <c r="I462" t="str">
        <f>VLOOKUP(H462,Sheet2!$A$2:$B$459, 2, FALSE)</f>
        <v>LC</v>
      </c>
      <c r="J462">
        <v>1023228900</v>
      </c>
      <c r="K462">
        <v>510257700</v>
      </c>
      <c r="L462">
        <v>1023.2289</v>
      </c>
      <c r="M462">
        <v>1533.4866</v>
      </c>
      <c r="N462" s="6">
        <f t="shared" si="30"/>
        <v>0.66725649901342465</v>
      </c>
      <c r="O462" s="7">
        <f>N462-F462</f>
        <v>-5.8689785753518464E-7</v>
      </c>
    </row>
    <row r="463" spans="1:15" x14ac:dyDescent="0.25">
      <c r="A463" s="1" t="s">
        <v>268</v>
      </c>
      <c r="B463" s="2">
        <v>334097100</v>
      </c>
      <c r="C463" s="2">
        <v>469004400</v>
      </c>
      <c r="D463">
        <f t="shared" si="31"/>
        <v>334.09710000000001</v>
      </c>
      <c r="E463" s="11">
        <f t="shared" si="28"/>
        <v>803.10149999999999</v>
      </c>
      <c r="F463" s="6">
        <f t="shared" si="29"/>
        <v>0.41600856180694468</v>
      </c>
      <c r="G463" t="s">
        <v>919</v>
      </c>
      <c r="H463" t="s">
        <v>268</v>
      </c>
      <c r="I463" t="str">
        <f>VLOOKUP(H463,Sheet2!$A$2:$B$459, 2, FALSE)</f>
        <v>VU</v>
      </c>
      <c r="J463">
        <v>334102500</v>
      </c>
      <c r="K463">
        <v>469005300</v>
      </c>
      <c r="L463">
        <v>334.10250000000002</v>
      </c>
      <c r="M463">
        <v>803.1078</v>
      </c>
      <c r="N463" s="6">
        <f t="shared" si="30"/>
        <v>0.41601202229638418</v>
      </c>
      <c r="O463" s="7">
        <f>N463-F463</f>
        <v>3.4604894394996144E-6</v>
      </c>
    </row>
    <row r="464" spans="1:15" x14ac:dyDescent="0.25">
      <c r="A464" s="1" t="s">
        <v>269</v>
      </c>
      <c r="B464" s="2">
        <v>257393700</v>
      </c>
      <c r="C464" s="2">
        <v>1555350300</v>
      </c>
      <c r="D464">
        <f t="shared" si="31"/>
        <v>257.39370000000002</v>
      </c>
      <c r="E464" s="11">
        <f t="shared" si="28"/>
        <v>1812.7439999999999</v>
      </c>
      <c r="F464" s="6">
        <f t="shared" si="29"/>
        <v>0.14199120228780235</v>
      </c>
      <c r="G464" t="s">
        <v>920</v>
      </c>
      <c r="H464" t="s">
        <v>269</v>
      </c>
      <c r="I464" t="str">
        <f>VLOOKUP(H464,Sheet2!$A$2:$B$459, 2, FALSE)</f>
        <v>EN</v>
      </c>
      <c r="J464">
        <v>257394600</v>
      </c>
      <c r="K464">
        <v>1555347600</v>
      </c>
      <c r="L464">
        <v>257.39460000000003</v>
      </c>
      <c r="M464">
        <v>1812.7421999999999</v>
      </c>
      <c r="N464" s="6">
        <f t="shared" si="30"/>
        <v>0.14199183976629443</v>
      </c>
      <c r="O464" s="7">
        <f>N464-F464</f>
        <v>6.3747849207707041E-7</v>
      </c>
    </row>
    <row r="465" spans="1:15" x14ac:dyDescent="0.25">
      <c r="A465" s="1" t="s">
        <v>236</v>
      </c>
      <c r="B465" s="2">
        <v>7081553700</v>
      </c>
      <c r="C465" s="2">
        <v>3103875000</v>
      </c>
      <c r="D465">
        <f t="shared" si="31"/>
        <v>7081.5537000000004</v>
      </c>
      <c r="E465" s="11">
        <f t="shared" si="28"/>
        <v>10185.4287</v>
      </c>
      <c r="F465" s="6">
        <f t="shared" si="29"/>
        <v>0.69526319496007072</v>
      </c>
      <c r="G465" t="s">
        <v>921</v>
      </c>
      <c r="H465" t="s">
        <v>236</v>
      </c>
      <c r="I465" t="str">
        <f>VLOOKUP(H465,Sheet2!$A$2:$B$459, 2, FALSE)</f>
        <v>LC</v>
      </c>
      <c r="J465">
        <v>7081538400</v>
      </c>
      <c r="K465">
        <v>3103890300</v>
      </c>
      <c r="L465">
        <v>7081.5384000000004</v>
      </c>
      <c r="M465">
        <v>10185.4287</v>
      </c>
      <c r="N465" s="6">
        <f t="shared" si="30"/>
        <v>0.69526169281416694</v>
      </c>
      <c r="O465" s="7">
        <f>N465-F465</f>
        <v>-1.5021459037756202E-6</v>
      </c>
    </row>
    <row r="466" spans="1:15" x14ac:dyDescent="0.25">
      <c r="A466" s="1" t="s">
        <v>267</v>
      </c>
      <c r="B466" s="2">
        <v>4845636900</v>
      </c>
      <c r="C466" s="2">
        <v>2916763200</v>
      </c>
      <c r="D466">
        <f t="shared" si="31"/>
        <v>4845.6369000000004</v>
      </c>
      <c r="E466" s="11">
        <f t="shared" si="28"/>
        <v>7762.4000999999998</v>
      </c>
      <c r="F466" s="6">
        <f t="shared" si="29"/>
        <v>0.62424467143867013</v>
      </c>
      <c r="G466" t="s">
        <v>922</v>
      </c>
      <c r="H466" t="s">
        <v>267</v>
      </c>
      <c r="I466" t="str">
        <f>VLOOKUP(H466,Sheet2!$A$2:$B$459, 2, FALSE)</f>
        <v>LC</v>
      </c>
      <c r="J466">
        <v>4845629700</v>
      </c>
      <c r="K466">
        <v>2916759600</v>
      </c>
      <c r="L466">
        <v>4845.6297000000004</v>
      </c>
      <c r="M466">
        <v>7762.3892999999998</v>
      </c>
      <c r="N466" s="6">
        <f t="shared" si="30"/>
        <v>0.62424461241592211</v>
      </c>
      <c r="O466" s="7">
        <f>N466-F466</f>
        <v>-5.902274802238594E-8</v>
      </c>
    </row>
    <row r="467" spans="1:15" x14ac:dyDescent="0.25">
      <c r="A467" s="1" t="s">
        <v>270</v>
      </c>
      <c r="B467" s="2">
        <v>872637300</v>
      </c>
      <c r="C467" s="2">
        <v>655193700</v>
      </c>
      <c r="D467">
        <f t="shared" si="31"/>
        <v>872.63729999999998</v>
      </c>
      <c r="E467" s="11">
        <f t="shared" si="28"/>
        <v>1527.8309999999999</v>
      </c>
      <c r="F467" s="6">
        <f t="shared" si="29"/>
        <v>0.57116088101367235</v>
      </c>
      <c r="G467" t="s">
        <v>923</v>
      </c>
      <c r="H467" t="s">
        <v>270</v>
      </c>
      <c r="I467" t="str">
        <f>VLOOKUP(H467,Sheet2!$A$2:$B$459, 2, FALSE)</f>
        <v>LC</v>
      </c>
      <c r="J467">
        <v>919791900</v>
      </c>
      <c r="K467">
        <v>670102200</v>
      </c>
      <c r="L467">
        <v>919.79190000000006</v>
      </c>
      <c r="M467">
        <v>1589.8941</v>
      </c>
      <c r="N467" s="6">
        <f t="shared" si="30"/>
        <v>0.57852400357986111</v>
      </c>
      <c r="O467" s="7">
        <f>N467-F467</f>
        <v>7.3631225661887623E-3</v>
      </c>
    </row>
    <row r="468" spans="1:15" x14ac:dyDescent="0.25">
      <c r="D468">
        <f>SUM(D2:D467)</f>
        <v>985728.86279999977</v>
      </c>
      <c r="L468">
        <f>SUM(L2:L467)</f>
        <v>985722.57989999943</v>
      </c>
    </row>
  </sheetData>
  <conditionalFormatting sqref="O2:O46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05FF-C8C6-4BDB-96E3-ADB9AA21A98D}">
  <dimension ref="A1:G5"/>
  <sheetViews>
    <sheetView workbookViewId="0">
      <selection activeCell="F15" sqref="F15"/>
    </sheetView>
  </sheetViews>
  <sheetFormatPr defaultRowHeight="15" x14ac:dyDescent="0.25"/>
  <cols>
    <col min="1" max="1" width="32.140625" bestFit="1" customWidth="1"/>
    <col min="3" max="4" width="11" bestFit="1" customWidth="1"/>
    <col min="5" max="5" width="10" bestFit="1" customWidth="1"/>
    <col min="6" max="6" width="10.85546875" bestFit="1" customWidth="1"/>
    <col min="7" max="7" width="5.42578125" bestFit="1" customWidth="1"/>
  </cols>
  <sheetData>
    <row r="1" spans="1:7" x14ac:dyDescent="0.25">
      <c r="C1" t="s">
        <v>931</v>
      </c>
      <c r="D1" t="s">
        <v>932</v>
      </c>
      <c r="E1" t="s">
        <v>933</v>
      </c>
      <c r="F1" t="s">
        <v>934</v>
      </c>
      <c r="G1" t="s">
        <v>930</v>
      </c>
    </row>
    <row r="2" spans="1:7" x14ac:dyDescent="0.25">
      <c r="A2" t="s">
        <v>697</v>
      </c>
      <c r="B2" t="s">
        <v>461</v>
      </c>
      <c r="C2">
        <v>1522672200</v>
      </c>
      <c r="D2">
        <v>7069559400</v>
      </c>
      <c r="E2" s="12">
        <v>1522.6722</v>
      </c>
      <c r="F2" s="12">
        <v>8592.2315999999992</v>
      </c>
      <c r="G2" s="6">
        <v>0.17721498568544172</v>
      </c>
    </row>
    <row r="3" spans="1:7" x14ac:dyDescent="0.25">
      <c r="A3" t="s">
        <v>698</v>
      </c>
      <c r="B3" t="s">
        <v>355</v>
      </c>
      <c r="C3">
        <v>5651321400</v>
      </c>
      <c r="D3">
        <v>3549127500</v>
      </c>
      <c r="E3" s="12">
        <v>5651.3213999999998</v>
      </c>
      <c r="F3" s="12">
        <v>9200.4488999999994</v>
      </c>
      <c r="G3" s="6">
        <v>0.61424409411153846</v>
      </c>
    </row>
    <row r="4" spans="1:7" x14ac:dyDescent="0.25">
      <c r="A4" s="9" t="s">
        <v>697</v>
      </c>
      <c r="B4" s="9" t="s">
        <v>461</v>
      </c>
      <c r="C4" s="9">
        <v>3758412600</v>
      </c>
      <c r="D4" s="9">
        <v>5429025000</v>
      </c>
      <c r="E4" s="13">
        <v>3758.4126000000001</v>
      </c>
      <c r="F4" s="13">
        <v>9187.4375999999993</v>
      </c>
      <c r="G4" s="10">
        <v>0.40908170086510304</v>
      </c>
    </row>
    <row r="5" spans="1:7" x14ac:dyDescent="0.25">
      <c r="A5" s="9" t="s">
        <v>698</v>
      </c>
      <c r="B5" s="9" t="s">
        <v>355</v>
      </c>
      <c r="C5" s="9">
        <v>5545276200</v>
      </c>
      <c r="D5" s="9">
        <v>3053112300</v>
      </c>
      <c r="E5" s="13">
        <v>5545.2762000000002</v>
      </c>
      <c r="F5" s="13">
        <v>8598.3884999999991</v>
      </c>
      <c r="G5" s="10">
        <v>0.64492040572486342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30F23-316B-41B2-95F0-B4D7F29519AA}">
  <dimension ref="A1:B459"/>
  <sheetViews>
    <sheetView topLeftCell="A423" workbookViewId="0">
      <selection sqref="A1:B1048576"/>
    </sheetView>
  </sheetViews>
  <sheetFormatPr defaultRowHeight="15" x14ac:dyDescent="0.25"/>
  <cols>
    <col min="1" max="1" width="11.7109375" bestFit="1" customWidth="1"/>
    <col min="2" max="2" width="11.5703125" bestFit="1" customWidth="1"/>
  </cols>
  <sheetData>
    <row r="1" spans="1:2" x14ac:dyDescent="0.25">
      <c r="A1" t="s">
        <v>924</v>
      </c>
      <c r="B1" t="s">
        <v>961</v>
      </c>
    </row>
    <row r="2" spans="1:2" x14ac:dyDescent="0.25">
      <c r="A2" t="s">
        <v>213</v>
      </c>
      <c r="B2" t="s">
        <v>962</v>
      </c>
    </row>
    <row r="3" spans="1:2" x14ac:dyDescent="0.25">
      <c r="A3" t="s">
        <v>214</v>
      </c>
      <c r="B3" t="s">
        <v>962</v>
      </c>
    </row>
    <row r="4" spans="1:2" x14ac:dyDescent="0.25">
      <c r="A4" t="s">
        <v>224</v>
      </c>
      <c r="B4" t="s">
        <v>962</v>
      </c>
    </row>
    <row r="5" spans="1:2" x14ac:dyDescent="0.25">
      <c r="A5" t="s">
        <v>211</v>
      </c>
      <c r="B5" t="s">
        <v>962</v>
      </c>
    </row>
    <row r="6" spans="1:2" x14ac:dyDescent="0.25">
      <c r="A6" t="s">
        <v>13</v>
      </c>
      <c r="B6" t="s">
        <v>962</v>
      </c>
    </row>
    <row r="7" spans="1:2" x14ac:dyDescent="0.25">
      <c r="A7" t="s">
        <v>225</v>
      </c>
      <c r="B7" t="s">
        <v>962</v>
      </c>
    </row>
    <row r="8" spans="1:2" x14ac:dyDescent="0.25">
      <c r="A8" t="s">
        <v>205</v>
      </c>
      <c r="B8" t="s">
        <v>962</v>
      </c>
    </row>
    <row r="9" spans="1:2" x14ac:dyDescent="0.25">
      <c r="A9" t="s">
        <v>215</v>
      </c>
      <c r="B9" t="s">
        <v>963</v>
      </c>
    </row>
    <row r="10" spans="1:2" x14ac:dyDescent="0.25">
      <c r="A10" t="s">
        <v>216</v>
      </c>
      <c r="B10" t="s">
        <v>962</v>
      </c>
    </row>
    <row r="11" spans="1:2" x14ac:dyDescent="0.25">
      <c r="A11" t="s">
        <v>212</v>
      </c>
      <c r="B11" t="s">
        <v>962</v>
      </c>
    </row>
    <row r="12" spans="1:2" x14ac:dyDescent="0.25">
      <c r="A12" t="s">
        <v>14</v>
      </c>
      <c r="B12" t="s">
        <v>962</v>
      </c>
    </row>
    <row r="13" spans="1:2" x14ac:dyDescent="0.25">
      <c r="A13" t="s">
        <v>23</v>
      </c>
      <c r="B13" t="s">
        <v>962</v>
      </c>
    </row>
    <row r="14" spans="1:2" x14ac:dyDescent="0.25">
      <c r="A14" t="s">
        <v>15</v>
      </c>
      <c r="B14" t="s">
        <v>962</v>
      </c>
    </row>
    <row r="15" spans="1:2" x14ac:dyDescent="0.25">
      <c r="A15" t="s">
        <v>217</v>
      </c>
      <c r="B15" t="s">
        <v>962</v>
      </c>
    </row>
    <row r="16" spans="1:2" x14ac:dyDescent="0.25">
      <c r="A16" t="s">
        <v>16</v>
      </c>
      <c r="B16" t="s">
        <v>962</v>
      </c>
    </row>
    <row r="17" spans="1:2" x14ac:dyDescent="0.25">
      <c r="A17" t="s">
        <v>218</v>
      </c>
      <c r="B17" t="s">
        <v>962</v>
      </c>
    </row>
    <row r="18" spans="1:2" x14ac:dyDescent="0.25">
      <c r="A18" t="s">
        <v>206</v>
      </c>
      <c r="B18" t="s">
        <v>962</v>
      </c>
    </row>
    <row r="19" spans="1:2" x14ac:dyDescent="0.25">
      <c r="A19" t="s">
        <v>219</v>
      </c>
      <c r="B19" t="s">
        <v>962</v>
      </c>
    </row>
    <row r="20" spans="1:2" x14ac:dyDescent="0.25">
      <c r="A20" t="s">
        <v>17</v>
      </c>
      <c r="B20" t="s">
        <v>962</v>
      </c>
    </row>
    <row r="21" spans="1:2" x14ac:dyDescent="0.25">
      <c r="A21" t="s">
        <v>1</v>
      </c>
      <c r="B21" t="s">
        <v>962</v>
      </c>
    </row>
    <row r="22" spans="1:2" x14ac:dyDescent="0.25">
      <c r="A22" t="s">
        <v>220</v>
      </c>
      <c r="B22" t="s">
        <v>962</v>
      </c>
    </row>
    <row r="23" spans="1:2" x14ac:dyDescent="0.25">
      <c r="A23" t="s">
        <v>4</v>
      </c>
      <c r="B23" t="s">
        <v>962</v>
      </c>
    </row>
    <row r="24" spans="1:2" x14ac:dyDescent="0.25">
      <c r="A24" t="s">
        <v>24</v>
      </c>
      <c r="B24" t="s">
        <v>963</v>
      </c>
    </row>
    <row r="25" spans="1:2" x14ac:dyDescent="0.25">
      <c r="A25" t="s">
        <v>207</v>
      </c>
      <c r="B25" t="s">
        <v>962</v>
      </c>
    </row>
    <row r="26" spans="1:2" x14ac:dyDescent="0.25">
      <c r="A26" t="s">
        <v>226</v>
      </c>
      <c r="B26" t="s">
        <v>962</v>
      </c>
    </row>
    <row r="27" spans="1:2" x14ac:dyDescent="0.25">
      <c r="A27" t="s">
        <v>6</v>
      </c>
      <c r="B27" t="s">
        <v>964</v>
      </c>
    </row>
    <row r="28" spans="1:2" x14ac:dyDescent="0.25">
      <c r="A28" t="s">
        <v>209</v>
      </c>
      <c r="B28" t="s">
        <v>962</v>
      </c>
    </row>
    <row r="29" spans="1:2" x14ac:dyDescent="0.25">
      <c r="A29" t="s">
        <v>221</v>
      </c>
      <c r="B29" t="s">
        <v>962</v>
      </c>
    </row>
    <row r="30" spans="1:2" x14ac:dyDescent="0.25">
      <c r="A30" t="s">
        <v>18</v>
      </c>
      <c r="B30" t="s">
        <v>962</v>
      </c>
    </row>
    <row r="31" spans="1:2" x14ac:dyDescent="0.25">
      <c r="A31" t="s">
        <v>227</v>
      </c>
      <c r="B31" t="s">
        <v>963</v>
      </c>
    </row>
    <row r="32" spans="1:2" x14ac:dyDescent="0.25">
      <c r="A32" t="s">
        <v>208</v>
      </c>
      <c r="B32" t="s">
        <v>962</v>
      </c>
    </row>
    <row r="33" spans="1:2" x14ac:dyDescent="0.25">
      <c r="A33" t="s">
        <v>19</v>
      </c>
      <c r="B33" t="s">
        <v>962</v>
      </c>
    </row>
    <row r="34" spans="1:2" x14ac:dyDescent="0.25">
      <c r="A34" t="s">
        <v>222</v>
      </c>
      <c r="B34" t="s">
        <v>962</v>
      </c>
    </row>
    <row r="35" spans="1:2" x14ac:dyDescent="0.25">
      <c r="A35" t="s">
        <v>228</v>
      </c>
      <c r="B35" t="s">
        <v>962</v>
      </c>
    </row>
    <row r="36" spans="1:2" x14ac:dyDescent="0.25">
      <c r="A36" t="s">
        <v>20</v>
      </c>
      <c r="B36" t="s">
        <v>965</v>
      </c>
    </row>
    <row r="37" spans="1:2" x14ac:dyDescent="0.25">
      <c r="A37" t="s">
        <v>2</v>
      </c>
      <c r="B37" t="s">
        <v>962</v>
      </c>
    </row>
    <row r="38" spans="1:2" x14ac:dyDescent="0.25">
      <c r="A38" t="s">
        <v>3</v>
      </c>
      <c r="B38" t="s">
        <v>962</v>
      </c>
    </row>
    <row r="39" spans="1:2" x14ac:dyDescent="0.25">
      <c r="A39" t="s">
        <v>223</v>
      </c>
      <c r="B39" t="s">
        <v>962</v>
      </c>
    </row>
    <row r="40" spans="1:2" x14ac:dyDescent="0.25">
      <c r="A40" t="s">
        <v>229</v>
      </c>
      <c r="B40" t="s">
        <v>963</v>
      </c>
    </row>
    <row r="41" spans="1:2" x14ac:dyDescent="0.25">
      <c r="A41" t="s">
        <v>12</v>
      </c>
      <c r="B41" t="s">
        <v>962</v>
      </c>
    </row>
    <row r="42" spans="1:2" x14ac:dyDescent="0.25">
      <c r="A42" t="s">
        <v>21</v>
      </c>
      <c r="B42" t="s">
        <v>962</v>
      </c>
    </row>
    <row r="43" spans="1:2" x14ac:dyDescent="0.25">
      <c r="A43" t="s">
        <v>210</v>
      </c>
      <c r="B43" t="s">
        <v>962</v>
      </c>
    </row>
    <row r="44" spans="1:2" x14ac:dyDescent="0.25">
      <c r="A44" t="s">
        <v>11</v>
      </c>
      <c r="B44" t="s">
        <v>962</v>
      </c>
    </row>
    <row r="45" spans="1:2" x14ac:dyDescent="0.25">
      <c r="A45" t="s">
        <v>22</v>
      </c>
      <c r="B45" t="s">
        <v>962</v>
      </c>
    </row>
    <row r="46" spans="1:2" x14ac:dyDescent="0.25">
      <c r="A46" t="s">
        <v>32</v>
      </c>
      <c r="B46" t="s">
        <v>962</v>
      </c>
    </row>
    <row r="47" spans="1:2" x14ac:dyDescent="0.25">
      <c r="A47" t="s">
        <v>30</v>
      </c>
      <c r="B47" t="s">
        <v>964</v>
      </c>
    </row>
    <row r="48" spans="1:2" x14ac:dyDescent="0.25">
      <c r="A48" t="s">
        <v>273</v>
      </c>
      <c r="B48" t="s">
        <v>962</v>
      </c>
    </row>
    <row r="49" spans="1:2" x14ac:dyDescent="0.25">
      <c r="A49" t="s">
        <v>233</v>
      </c>
      <c r="B49" t="s">
        <v>962</v>
      </c>
    </row>
    <row r="50" spans="1:2" x14ac:dyDescent="0.25">
      <c r="A50" t="s">
        <v>342</v>
      </c>
      <c r="B50" t="s">
        <v>962</v>
      </c>
    </row>
    <row r="51" spans="1:2" x14ac:dyDescent="0.25">
      <c r="A51" t="s">
        <v>27</v>
      </c>
      <c r="B51" t="s">
        <v>964</v>
      </c>
    </row>
    <row r="52" spans="1:2" x14ac:dyDescent="0.25">
      <c r="A52" t="s">
        <v>230</v>
      </c>
      <c r="B52" t="s">
        <v>962</v>
      </c>
    </row>
    <row r="53" spans="1:2" x14ac:dyDescent="0.25">
      <c r="A53" t="s">
        <v>272</v>
      </c>
      <c r="B53" t="s">
        <v>963</v>
      </c>
    </row>
    <row r="54" spans="1:2" x14ac:dyDescent="0.25">
      <c r="A54" t="s">
        <v>28</v>
      </c>
      <c r="B54" t="s">
        <v>963</v>
      </c>
    </row>
    <row r="55" spans="1:2" x14ac:dyDescent="0.25">
      <c r="A55" t="s">
        <v>29</v>
      </c>
      <c r="B55" t="s">
        <v>962</v>
      </c>
    </row>
    <row r="56" spans="1:2" x14ac:dyDescent="0.25">
      <c r="A56" t="s">
        <v>231</v>
      </c>
      <c r="B56" t="s">
        <v>962</v>
      </c>
    </row>
    <row r="57" spans="1:2" x14ac:dyDescent="0.25">
      <c r="A57" t="s">
        <v>31</v>
      </c>
      <c r="B57" t="s">
        <v>962</v>
      </c>
    </row>
    <row r="58" spans="1:2" x14ac:dyDescent="0.25">
      <c r="A58" t="s">
        <v>274</v>
      </c>
      <c r="B58" t="s">
        <v>962</v>
      </c>
    </row>
    <row r="59" spans="1:2" x14ac:dyDescent="0.25">
      <c r="A59" t="s">
        <v>33</v>
      </c>
      <c r="B59" t="s">
        <v>962</v>
      </c>
    </row>
    <row r="60" spans="1:2" x14ac:dyDescent="0.25">
      <c r="A60" t="s">
        <v>34</v>
      </c>
      <c r="B60" t="s">
        <v>962</v>
      </c>
    </row>
    <row r="61" spans="1:2" x14ac:dyDescent="0.25">
      <c r="A61" t="s">
        <v>35</v>
      </c>
      <c r="B61" t="s">
        <v>962</v>
      </c>
    </row>
    <row r="62" spans="1:2" x14ac:dyDescent="0.25">
      <c r="A62" t="s">
        <v>36</v>
      </c>
      <c r="B62" t="s">
        <v>964</v>
      </c>
    </row>
    <row r="63" spans="1:2" x14ac:dyDescent="0.25">
      <c r="A63" t="s">
        <v>232</v>
      </c>
      <c r="B63" t="s">
        <v>962</v>
      </c>
    </row>
    <row r="64" spans="1:2" x14ac:dyDescent="0.25">
      <c r="A64" t="s">
        <v>347</v>
      </c>
      <c r="B64" t="s">
        <v>964</v>
      </c>
    </row>
    <row r="65" spans="1:2" x14ac:dyDescent="0.25">
      <c r="A65" t="s">
        <v>394</v>
      </c>
      <c r="B65" t="s">
        <v>964</v>
      </c>
    </row>
    <row r="66" spans="1:2" x14ac:dyDescent="0.25">
      <c r="A66" t="s">
        <v>263</v>
      </c>
      <c r="B66" t="s">
        <v>964</v>
      </c>
    </row>
    <row r="67" spans="1:2" x14ac:dyDescent="0.25">
      <c r="A67" t="s">
        <v>264</v>
      </c>
      <c r="B67" t="s">
        <v>965</v>
      </c>
    </row>
    <row r="68" spans="1:2" x14ac:dyDescent="0.25">
      <c r="A68" t="s">
        <v>265</v>
      </c>
      <c r="B68" t="s">
        <v>964</v>
      </c>
    </row>
    <row r="69" spans="1:2" x14ac:dyDescent="0.25">
      <c r="A69" t="s">
        <v>262</v>
      </c>
      <c r="B69" t="s">
        <v>964</v>
      </c>
    </row>
    <row r="70" spans="1:2" x14ac:dyDescent="0.25">
      <c r="A70" t="s">
        <v>277</v>
      </c>
      <c r="B70" t="s">
        <v>962</v>
      </c>
    </row>
    <row r="71" spans="1:2" x14ac:dyDescent="0.25">
      <c r="A71" t="s">
        <v>278</v>
      </c>
      <c r="B71" t="s">
        <v>962</v>
      </c>
    </row>
    <row r="72" spans="1:2" x14ac:dyDescent="0.25">
      <c r="A72" t="s">
        <v>279</v>
      </c>
      <c r="B72" t="s">
        <v>962</v>
      </c>
    </row>
    <row r="73" spans="1:2" x14ac:dyDescent="0.25">
      <c r="A73" t="s">
        <v>280</v>
      </c>
      <c r="B73" t="s">
        <v>962</v>
      </c>
    </row>
    <row r="74" spans="1:2" x14ac:dyDescent="0.25">
      <c r="A74" t="s">
        <v>281</v>
      </c>
      <c r="B74" t="s">
        <v>962</v>
      </c>
    </row>
    <row r="75" spans="1:2" x14ac:dyDescent="0.25">
      <c r="A75" t="s">
        <v>282</v>
      </c>
      <c r="B75" t="s">
        <v>962</v>
      </c>
    </row>
    <row r="76" spans="1:2" x14ac:dyDescent="0.25">
      <c r="A76" t="s">
        <v>283</v>
      </c>
      <c r="B76" t="s">
        <v>962</v>
      </c>
    </row>
    <row r="77" spans="1:2" x14ac:dyDescent="0.25">
      <c r="A77" t="s">
        <v>284</v>
      </c>
      <c r="B77" t="s">
        <v>962</v>
      </c>
    </row>
    <row r="78" spans="1:2" x14ac:dyDescent="0.25">
      <c r="A78" t="s">
        <v>285</v>
      </c>
      <c r="B78" t="s">
        <v>962</v>
      </c>
    </row>
    <row r="79" spans="1:2" x14ac:dyDescent="0.25">
      <c r="A79" t="s">
        <v>286</v>
      </c>
      <c r="B79" t="s">
        <v>962</v>
      </c>
    </row>
    <row r="80" spans="1:2" x14ac:dyDescent="0.25">
      <c r="A80" t="s">
        <v>275</v>
      </c>
      <c r="B80" t="s">
        <v>963</v>
      </c>
    </row>
    <row r="81" spans="1:2" x14ac:dyDescent="0.25">
      <c r="A81" t="s">
        <v>289</v>
      </c>
      <c r="B81" t="s">
        <v>963</v>
      </c>
    </row>
    <row r="82" spans="1:2" x14ac:dyDescent="0.25">
      <c r="A82" t="s">
        <v>276</v>
      </c>
      <c r="B82" t="s">
        <v>962</v>
      </c>
    </row>
    <row r="83" spans="1:2" x14ac:dyDescent="0.25">
      <c r="A83" t="s">
        <v>287</v>
      </c>
      <c r="B83" t="s">
        <v>962</v>
      </c>
    </row>
    <row r="84" spans="1:2" x14ac:dyDescent="0.25">
      <c r="A84" t="s">
        <v>288</v>
      </c>
      <c r="B84" t="s">
        <v>962</v>
      </c>
    </row>
    <row r="85" spans="1:2" x14ac:dyDescent="0.25">
      <c r="A85" t="s">
        <v>94</v>
      </c>
      <c r="B85" t="s">
        <v>963</v>
      </c>
    </row>
    <row r="86" spans="1:2" x14ac:dyDescent="0.25">
      <c r="A86" t="s">
        <v>109</v>
      </c>
      <c r="B86" t="s">
        <v>964</v>
      </c>
    </row>
    <row r="87" spans="1:2" x14ac:dyDescent="0.25">
      <c r="A87" t="s">
        <v>110</v>
      </c>
      <c r="B87" t="s">
        <v>964</v>
      </c>
    </row>
    <row r="88" spans="1:2" x14ac:dyDescent="0.25">
      <c r="A88" t="s">
        <v>142</v>
      </c>
      <c r="B88" t="s">
        <v>963</v>
      </c>
    </row>
    <row r="89" spans="1:2" x14ac:dyDescent="0.25">
      <c r="A89" t="s">
        <v>95</v>
      </c>
      <c r="B89" t="s">
        <v>962</v>
      </c>
    </row>
    <row r="90" spans="1:2" x14ac:dyDescent="0.25">
      <c r="A90" t="s">
        <v>44</v>
      </c>
      <c r="B90" t="s">
        <v>964</v>
      </c>
    </row>
    <row r="91" spans="1:2" x14ac:dyDescent="0.25">
      <c r="A91" t="s">
        <v>120</v>
      </c>
      <c r="B91" t="s">
        <v>962</v>
      </c>
    </row>
    <row r="92" spans="1:2" x14ac:dyDescent="0.25">
      <c r="A92" t="s">
        <v>42</v>
      </c>
      <c r="B92" t="s">
        <v>962</v>
      </c>
    </row>
    <row r="93" spans="1:2" x14ac:dyDescent="0.25">
      <c r="A93" t="s">
        <v>77</v>
      </c>
      <c r="B93" t="s">
        <v>962</v>
      </c>
    </row>
    <row r="94" spans="1:2" x14ac:dyDescent="0.25">
      <c r="A94" t="s">
        <v>139</v>
      </c>
      <c r="B94" t="s">
        <v>964</v>
      </c>
    </row>
    <row r="95" spans="1:2" x14ac:dyDescent="0.25">
      <c r="A95" t="s">
        <v>106</v>
      </c>
      <c r="B95" t="s">
        <v>964</v>
      </c>
    </row>
    <row r="96" spans="1:2" x14ac:dyDescent="0.25">
      <c r="A96" t="s">
        <v>48</v>
      </c>
      <c r="B96" t="s">
        <v>962</v>
      </c>
    </row>
    <row r="97" spans="1:2" x14ac:dyDescent="0.25">
      <c r="A97" t="s">
        <v>140</v>
      </c>
      <c r="B97" t="s">
        <v>963</v>
      </c>
    </row>
    <row r="98" spans="1:2" x14ac:dyDescent="0.25">
      <c r="A98" t="s">
        <v>9</v>
      </c>
      <c r="B98" t="s">
        <v>962</v>
      </c>
    </row>
    <row r="99" spans="1:2" x14ac:dyDescent="0.25">
      <c r="A99" t="s">
        <v>41</v>
      </c>
      <c r="B99" t="s">
        <v>964</v>
      </c>
    </row>
    <row r="100" spans="1:2" x14ac:dyDescent="0.25">
      <c r="A100" t="s">
        <v>143</v>
      </c>
      <c r="B100" t="s">
        <v>962</v>
      </c>
    </row>
    <row r="101" spans="1:2" x14ac:dyDescent="0.25">
      <c r="A101" t="s">
        <v>144</v>
      </c>
      <c r="B101" t="s">
        <v>964</v>
      </c>
    </row>
    <row r="102" spans="1:2" x14ac:dyDescent="0.25">
      <c r="A102" t="s">
        <v>145</v>
      </c>
      <c r="B102" t="s">
        <v>963</v>
      </c>
    </row>
    <row r="103" spans="1:2" x14ac:dyDescent="0.25">
      <c r="A103" t="s">
        <v>54</v>
      </c>
      <c r="B103" t="s">
        <v>963</v>
      </c>
    </row>
    <row r="104" spans="1:2" x14ac:dyDescent="0.25">
      <c r="A104" t="s">
        <v>0</v>
      </c>
      <c r="B104" t="s">
        <v>963</v>
      </c>
    </row>
    <row r="105" spans="1:2" x14ac:dyDescent="0.25">
      <c r="A105" t="s">
        <v>111</v>
      </c>
      <c r="B105" t="s">
        <v>963</v>
      </c>
    </row>
    <row r="106" spans="1:2" x14ac:dyDescent="0.25">
      <c r="A106" t="s">
        <v>8</v>
      </c>
      <c r="B106" t="s">
        <v>964</v>
      </c>
    </row>
    <row r="107" spans="1:2" x14ac:dyDescent="0.25">
      <c r="A107" t="s">
        <v>55</v>
      </c>
      <c r="B107" t="s">
        <v>964</v>
      </c>
    </row>
    <row r="108" spans="1:2" x14ac:dyDescent="0.25">
      <c r="A108" t="s">
        <v>146</v>
      </c>
      <c r="B108" t="s">
        <v>963</v>
      </c>
    </row>
    <row r="109" spans="1:2" x14ac:dyDescent="0.25">
      <c r="A109" t="s">
        <v>92</v>
      </c>
      <c r="B109" t="s">
        <v>962</v>
      </c>
    </row>
    <row r="110" spans="1:2" x14ac:dyDescent="0.25">
      <c r="A110" t="s">
        <v>45</v>
      </c>
      <c r="B110" t="s">
        <v>964</v>
      </c>
    </row>
    <row r="111" spans="1:2" x14ac:dyDescent="0.25">
      <c r="A111" t="s">
        <v>56</v>
      </c>
      <c r="B111" t="s">
        <v>963</v>
      </c>
    </row>
    <row r="112" spans="1:2" x14ac:dyDescent="0.25">
      <c r="A112" t="s">
        <v>112</v>
      </c>
      <c r="B112" t="s">
        <v>962</v>
      </c>
    </row>
    <row r="113" spans="1:2" x14ac:dyDescent="0.25">
      <c r="A113" t="s">
        <v>47</v>
      </c>
      <c r="B113" t="s">
        <v>963</v>
      </c>
    </row>
    <row r="114" spans="1:2" x14ac:dyDescent="0.25">
      <c r="A114" t="s">
        <v>96</v>
      </c>
      <c r="B114" t="s">
        <v>963</v>
      </c>
    </row>
    <row r="115" spans="1:2" x14ac:dyDescent="0.25">
      <c r="A115" t="s">
        <v>78</v>
      </c>
      <c r="B115" t="s">
        <v>962</v>
      </c>
    </row>
    <row r="116" spans="1:2" x14ac:dyDescent="0.25">
      <c r="A116" t="s">
        <v>147</v>
      </c>
      <c r="B116" t="s">
        <v>965</v>
      </c>
    </row>
    <row r="117" spans="1:2" x14ac:dyDescent="0.25">
      <c r="A117" t="s">
        <v>121</v>
      </c>
      <c r="B117" t="s">
        <v>962</v>
      </c>
    </row>
    <row r="118" spans="1:2" x14ac:dyDescent="0.25">
      <c r="A118" t="s">
        <v>122</v>
      </c>
      <c r="B118" t="s">
        <v>962</v>
      </c>
    </row>
    <row r="119" spans="1:2" x14ac:dyDescent="0.25">
      <c r="A119" t="s">
        <v>113</v>
      </c>
      <c r="B119" t="s">
        <v>964</v>
      </c>
    </row>
    <row r="120" spans="1:2" x14ac:dyDescent="0.25">
      <c r="A120" t="s">
        <v>148</v>
      </c>
      <c r="B120" t="s">
        <v>963</v>
      </c>
    </row>
    <row r="121" spans="1:2" x14ac:dyDescent="0.25">
      <c r="A121" t="s">
        <v>70</v>
      </c>
      <c r="B121" t="s">
        <v>963</v>
      </c>
    </row>
    <row r="122" spans="1:2" x14ac:dyDescent="0.25">
      <c r="A122" t="s">
        <v>114</v>
      </c>
      <c r="B122" t="s">
        <v>963</v>
      </c>
    </row>
    <row r="123" spans="1:2" x14ac:dyDescent="0.25">
      <c r="A123" t="s">
        <v>107</v>
      </c>
      <c r="B123" t="s">
        <v>962</v>
      </c>
    </row>
    <row r="124" spans="1:2" x14ac:dyDescent="0.25">
      <c r="A124" t="s">
        <v>141</v>
      </c>
      <c r="B124" t="s">
        <v>964</v>
      </c>
    </row>
    <row r="125" spans="1:2" x14ac:dyDescent="0.25">
      <c r="A125" t="s">
        <v>49</v>
      </c>
      <c r="B125" t="s">
        <v>963</v>
      </c>
    </row>
    <row r="126" spans="1:2" x14ac:dyDescent="0.25">
      <c r="A126" t="s">
        <v>51</v>
      </c>
      <c r="B126" t="s">
        <v>962</v>
      </c>
    </row>
    <row r="127" spans="1:2" x14ac:dyDescent="0.25">
      <c r="A127" t="s">
        <v>7</v>
      </c>
      <c r="B127" t="s">
        <v>962</v>
      </c>
    </row>
    <row r="128" spans="1:2" x14ac:dyDescent="0.25">
      <c r="A128" t="s">
        <v>290</v>
      </c>
      <c r="B128" t="s">
        <v>962</v>
      </c>
    </row>
    <row r="129" spans="1:2" x14ac:dyDescent="0.25">
      <c r="A129" t="s">
        <v>97</v>
      </c>
      <c r="B129" t="s">
        <v>962</v>
      </c>
    </row>
    <row r="130" spans="1:2" x14ac:dyDescent="0.25">
      <c r="A130" t="s">
        <v>123</v>
      </c>
      <c r="B130" t="s">
        <v>962</v>
      </c>
    </row>
    <row r="131" spans="1:2" x14ac:dyDescent="0.25">
      <c r="A131" t="s">
        <v>115</v>
      </c>
      <c r="B131" t="s">
        <v>962</v>
      </c>
    </row>
    <row r="132" spans="1:2" x14ac:dyDescent="0.25">
      <c r="A132" t="s">
        <v>79</v>
      </c>
      <c r="B132" t="s">
        <v>962</v>
      </c>
    </row>
    <row r="133" spans="1:2" x14ac:dyDescent="0.25">
      <c r="A133" t="s">
        <v>80</v>
      </c>
      <c r="B133" t="s">
        <v>962</v>
      </c>
    </row>
    <row r="134" spans="1:2" x14ac:dyDescent="0.25">
      <c r="A134" t="s">
        <v>98</v>
      </c>
      <c r="B134" t="s">
        <v>962</v>
      </c>
    </row>
    <row r="135" spans="1:2" x14ac:dyDescent="0.25">
      <c r="A135" t="s">
        <v>116</v>
      </c>
      <c r="B135" t="s">
        <v>962</v>
      </c>
    </row>
    <row r="136" spans="1:2" x14ac:dyDescent="0.25">
      <c r="A136" t="s">
        <v>149</v>
      </c>
      <c r="B136" t="s">
        <v>963</v>
      </c>
    </row>
    <row r="137" spans="1:2" x14ac:dyDescent="0.25">
      <c r="A137" t="s">
        <v>150</v>
      </c>
      <c r="B137" t="s">
        <v>964</v>
      </c>
    </row>
    <row r="138" spans="1:2" x14ac:dyDescent="0.25">
      <c r="A138" t="s">
        <v>117</v>
      </c>
      <c r="B138" t="s">
        <v>962</v>
      </c>
    </row>
    <row r="139" spans="1:2" x14ac:dyDescent="0.25">
      <c r="A139" t="s">
        <v>118</v>
      </c>
      <c r="B139" t="s">
        <v>963</v>
      </c>
    </row>
    <row r="140" spans="1:2" x14ac:dyDescent="0.25">
      <c r="A140" t="s">
        <v>43</v>
      </c>
      <c r="B140" t="s">
        <v>962</v>
      </c>
    </row>
    <row r="141" spans="1:2" x14ac:dyDescent="0.25">
      <c r="A141" t="s">
        <v>108</v>
      </c>
      <c r="B141" t="s">
        <v>962</v>
      </c>
    </row>
    <row r="142" spans="1:2" x14ac:dyDescent="0.25">
      <c r="A142" t="s">
        <v>52</v>
      </c>
      <c r="B142" t="s">
        <v>962</v>
      </c>
    </row>
    <row r="143" spans="1:2" x14ac:dyDescent="0.25">
      <c r="A143" t="s">
        <v>81</v>
      </c>
      <c r="B143" t="s">
        <v>962</v>
      </c>
    </row>
    <row r="144" spans="1:2" x14ac:dyDescent="0.25">
      <c r="A144" t="s">
        <v>39</v>
      </c>
      <c r="B144" t="s">
        <v>962</v>
      </c>
    </row>
    <row r="145" spans="1:2" x14ac:dyDescent="0.25">
      <c r="A145" t="s">
        <v>69</v>
      </c>
      <c r="B145" t="s">
        <v>962</v>
      </c>
    </row>
    <row r="146" spans="1:2" x14ac:dyDescent="0.25">
      <c r="A146" t="s">
        <v>10</v>
      </c>
      <c r="B146" t="s">
        <v>962</v>
      </c>
    </row>
    <row r="147" spans="1:2" x14ac:dyDescent="0.25">
      <c r="A147" t="s">
        <v>124</v>
      </c>
      <c r="B147" t="s">
        <v>962</v>
      </c>
    </row>
    <row r="148" spans="1:2" x14ac:dyDescent="0.25">
      <c r="A148" t="s">
        <v>125</v>
      </c>
      <c r="B148" t="s">
        <v>962</v>
      </c>
    </row>
    <row r="149" spans="1:2" x14ac:dyDescent="0.25">
      <c r="A149" t="s">
        <v>126</v>
      </c>
      <c r="B149" t="s">
        <v>962</v>
      </c>
    </row>
    <row r="150" spans="1:2" x14ac:dyDescent="0.25">
      <c r="A150" t="s">
        <v>127</v>
      </c>
      <c r="B150" t="s">
        <v>962</v>
      </c>
    </row>
    <row r="151" spans="1:2" x14ac:dyDescent="0.25">
      <c r="A151" t="s">
        <v>128</v>
      </c>
      <c r="B151" t="s">
        <v>962</v>
      </c>
    </row>
    <row r="152" spans="1:2" x14ac:dyDescent="0.25">
      <c r="A152" t="s">
        <v>129</v>
      </c>
      <c r="B152" t="s">
        <v>962</v>
      </c>
    </row>
    <row r="153" spans="1:2" x14ac:dyDescent="0.25">
      <c r="A153" t="s">
        <v>67</v>
      </c>
      <c r="B153" t="s">
        <v>962</v>
      </c>
    </row>
    <row r="154" spans="1:2" x14ac:dyDescent="0.25">
      <c r="A154" t="s">
        <v>68</v>
      </c>
      <c r="B154" t="s">
        <v>962</v>
      </c>
    </row>
    <row r="155" spans="1:2" x14ac:dyDescent="0.25">
      <c r="A155" t="s">
        <v>240</v>
      </c>
      <c r="B155" t="s">
        <v>963</v>
      </c>
    </row>
    <row r="156" spans="1:2" x14ac:dyDescent="0.25">
      <c r="A156" t="s">
        <v>99</v>
      </c>
      <c r="B156" t="s">
        <v>962</v>
      </c>
    </row>
    <row r="157" spans="1:2" x14ac:dyDescent="0.25">
      <c r="A157" t="s">
        <v>100</v>
      </c>
      <c r="B157" t="s">
        <v>962</v>
      </c>
    </row>
    <row r="158" spans="1:2" x14ac:dyDescent="0.25">
      <c r="A158" t="s">
        <v>130</v>
      </c>
      <c r="B158" t="s">
        <v>962</v>
      </c>
    </row>
    <row r="159" spans="1:2" x14ac:dyDescent="0.25">
      <c r="A159" t="s">
        <v>131</v>
      </c>
      <c r="B159" t="s">
        <v>963</v>
      </c>
    </row>
    <row r="160" spans="1:2" x14ac:dyDescent="0.25">
      <c r="A160" t="s">
        <v>101</v>
      </c>
      <c r="B160" t="s">
        <v>962</v>
      </c>
    </row>
    <row r="161" spans="1:2" x14ac:dyDescent="0.25">
      <c r="A161" t="s">
        <v>102</v>
      </c>
      <c r="B161" t="s">
        <v>962</v>
      </c>
    </row>
    <row r="162" spans="1:2" x14ac:dyDescent="0.25">
      <c r="A162" t="s">
        <v>103</v>
      </c>
      <c r="B162" t="s">
        <v>962</v>
      </c>
    </row>
    <row r="163" spans="1:2" x14ac:dyDescent="0.25">
      <c r="A163" t="s">
        <v>104</v>
      </c>
      <c r="B163" t="s">
        <v>962</v>
      </c>
    </row>
    <row r="164" spans="1:2" x14ac:dyDescent="0.25">
      <c r="A164" t="s">
        <v>105</v>
      </c>
      <c r="B164" t="s">
        <v>962</v>
      </c>
    </row>
    <row r="165" spans="1:2" x14ac:dyDescent="0.25">
      <c r="A165" t="s">
        <v>151</v>
      </c>
      <c r="B165" t="s">
        <v>963</v>
      </c>
    </row>
    <row r="166" spans="1:2" x14ac:dyDescent="0.25">
      <c r="A166" t="s">
        <v>132</v>
      </c>
      <c r="B166" t="s">
        <v>962</v>
      </c>
    </row>
    <row r="167" spans="1:2" x14ac:dyDescent="0.25">
      <c r="A167" t="s">
        <v>40</v>
      </c>
      <c r="B167" t="s">
        <v>962</v>
      </c>
    </row>
    <row r="168" spans="1:2" x14ac:dyDescent="0.25">
      <c r="A168" t="s">
        <v>343</v>
      </c>
      <c r="B168" t="s">
        <v>965</v>
      </c>
    </row>
    <row r="169" spans="1:2" x14ac:dyDescent="0.25">
      <c r="A169" t="s">
        <v>235</v>
      </c>
      <c r="B169" t="s">
        <v>962</v>
      </c>
    </row>
    <row r="170" spans="1:2" x14ac:dyDescent="0.25">
      <c r="A170" t="s">
        <v>271</v>
      </c>
      <c r="B170" t="s">
        <v>962</v>
      </c>
    </row>
    <row r="171" spans="1:2" x14ac:dyDescent="0.25">
      <c r="A171" t="s">
        <v>38</v>
      </c>
      <c r="B171" t="s">
        <v>962</v>
      </c>
    </row>
    <row r="172" spans="1:2" x14ac:dyDescent="0.25">
      <c r="A172" t="s">
        <v>238</v>
      </c>
      <c r="B172" t="s">
        <v>962</v>
      </c>
    </row>
    <row r="173" spans="1:2" x14ac:dyDescent="0.25">
      <c r="A173" t="s">
        <v>239</v>
      </c>
      <c r="B173" t="s">
        <v>962</v>
      </c>
    </row>
    <row r="174" spans="1:2" x14ac:dyDescent="0.25">
      <c r="A174" t="s">
        <v>345</v>
      </c>
      <c r="B174" t="s">
        <v>962</v>
      </c>
    </row>
    <row r="175" spans="1:2" x14ac:dyDescent="0.25">
      <c r="A175" t="s">
        <v>234</v>
      </c>
      <c r="B175" t="s">
        <v>962</v>
      </c>
    </row>
    <row r="176" spans="1:2" x14ac:dyDescent="0.25">
      <c r="A176" t="s">
        <v>37</v>
      </c>
      <c r="B176" t="s">
        <v>962</v>
      </c>
    </row>
    <row r="177" spans="1:2" x14ac:dyDescent="0.25">
      <c r="A177" t="s">
        <v>237</v>
      </c>
      <c r="B177" t="s">
        <v>962</v>
      </c>
    </row>
    <row r="178" spans="1:2" x14ac:dyDescent="0.25">
      <c r="A178" t="s">
        <v>344</v>
      </c>
      <c r="B178" t="s">
        <v>962</v>
      </c>
    </row>
    <row r="179" spans="1:2" x14ac:dyDescent="0.25">
      <c r="A179" t="s">
        <v>346</v>
      </c>
      <c r="B179" t="s">
        <v>962</v>
      </c>
    </row>
    <row r="180" spans="1:2" x14ac:dyDescent="0.25">
      <c r="A180" t="s">
        <v>73</v>
      </c>
      <c r="B180" t="s">
        <v>964</v>
      </c>
    </row>
    <row r="181" spans="1:2" x14ac:dyDescent="0.25">
      <c r="A181" t="s">
        <v>119</v>
      </c>
      <c r="B181" t="s">
        <v>965</v>
      </c>
    </row>
    <row r="182" spans="1:2" x14ac:dyDescent="0.25">
      <c r="A182" t="s">
        <v>71</v>
      </c>
      <c r="B182" t="s">
        <v>963</v>
      </c>
    </row>
    <row r="183" spans="1:2" x14ac:dyDescent="0.25">
      <c r="A183" t="s">
        <v>64</v>
      </c>
      <c r="B183" t="s">
        <v>964</v>
      </c>
    </row>
    <row r="184" spans="1:2" x14ac:dyDescent="0.25">
      <c r="A184" t="s">
        <v>86</v>
      </c>
      <c r="B184" t="s">
        <v>962</v>
      </c>
    </row>
    <row r="185" spans="1:2" x14ac:dyDescent="0.25">
      <c r="A185" t="s">
        <v>87</v>
      </c>
      <c r="B185" t="s">
        <v>962</v>
      </c>
    </row>
    <row r="186" spans="1:2" x14ac:dyDescent="0.25">
      <c r="A186" t="s">
        <v>93</v>
      </c>
      <c r="B186" t="s">
        <v>962</v>
      </c>
    </row>
    <row r="187" spans="1:2" x14ac:dyDescent="0.25">
      <c r="A187" t="s">
        <v>46</v>
      </c>
      <c r="B187" t="s">
        <v>964</v>
      </c>
    </row>
    <row r="188" spans="1:2" x14ac:dyDescent="0.25">
      <c r="A188" t="s">
        <v>74</v>
      </c>
      <c r="B188" t="s">
        <v>962</v>
      </c>
    </row>
    <row r="189" spans="1:2" x14ac:dyDescent="0.25">
      <c r="A189" t="s">
        <v>133</v>
      </c>
      <c r="B189" t="s">
        <v>962</v>
      </c>
    </row>
    <row r="190" spans="1:2" x14ac:dyDescent="0.25">
      <c r="A190" t="s">
        <v>88</v>
      </c>
      <c r="B190" t="s">
        <v>962</v>
      </c>
    </row>
    <row r="191" spans="1:2" x14ac:dyDescent="0.25">
      <c r="A191" t="s">
        <v>57</v>
      </c>
      <c r="B191" t="s">
        <v>963</v>
      </c>
    </row>
    <row r="192" spans="1:2" x14ac:dyDescent="0.25">
      <c r="A192" t="s">
        <v>75</v>
      </c>
      <c r="B192" t="s">
        <v>963</v>
      </c>
    </row>
    <row r="193" spans="1:2" x14ac:dyDescent="0.25">
      <c r="A193" t="s">
        <v>65</v>
      </c>
      <c r="B193" t="s">
        <v>963</v>
      </c>
    </row>
    <row r="194" spans="1:2" x14ac:dyDescent="0.25">
      <c r="A194" t="s">
        <v>66</v>
      </c>
      <c r="B194" t="s">
        <v>964</v>
      </c>
    </row>
    <row r="195" spans="1:2" x14ac:dyDescent="0.25">
      <c r="A195" t="s">
        <v>138</v>
      </c>
      <c r="B195" t="s">
        <v>963</v>
      </c>
    </row>
    <row r="196" spans="1:2" x14ac:dyDescent="0.25">
      <c r="A196" t="s">
        <v>134</v>
      </c>
      <c r="B196" t="s">
        <v>962</v>
      </c>
    </row>
    <row r="197" spans="1:2" x14ac:dyDescent="0.25">
      <c r="A197" t="s">
        <v>82</v>
      </c>
      <c r="B197" t="s">
        <v>962</v>
      </c>
    </row>
    <row r="198" spans="1:2" x14ac:dyDescent="0.25">
      <c r="A198" t="s">
        <v>83</v>
      </c>
      <c r="B198" t="s">
        <v>964</v>
      </c>
    </row>
    <row r="199" spans="1:2" x14ac:dyDescent="0.25">
      <c r="A199" t="s">
        <v>84</v>
      </c>
      <c r="B199" t="s">
        <v>962</v>
      </c>
    </row>
    <row r="200" spans="1:2" x14ac:dyDescent="0.25">
      <c r="A200" t="s">
        <v>26</v>
      </c>
      <c r="B200" t="s">
        <v>964</v>
      </c>
    </row>
    <row r="201" spans="1:2" x14ac:dyDescent="0.25">
      <c r="A201" t="s">
        <v>89</v>
      </c>
      <c r="B201" t="s">
        <v>963</v>
      </c>
    </row>
    <row r="202" spans="1:2" x14ac:dyDescent="0.25">
      <c r="A202" t="s">
        <v>85</v>
      </c>
      <c r="B202" t="s">
        <v>963</v>
      </c>
    </row>
    <row r="203" spans="1:2" x14ac:dyDescent="0.25">
      <c r="A203" t="s">
        <v>90</v>
      </c>
      <c r="B203" t="s">
        <v>962</v>
      </c>
    </row>
    <row r="204" spans="1:2" x14ac:dyDescent="0.25">
      <c r="A204" t="s">
        <v>135</v>
      </c>
      <c r="B204" t="s">
        <v>963</v>
      </c>
    </row>
    <row r="205" spans="1:2" x14ac:dyDescent="0.25">
      <c r="A205" t="s">
        <v>91</v>
      </c>
      <c r="B205" t="s">
        <v>962</v>
      </c>
    </row>
    <row r="206" spans="1:2" x14ac:dyDescent="0.25">
      <c r="A206" t="s">
        <v>136</v>
      </c>
      <c r="B206" t="s">
        <v>962</v>
      </c>
    </row>
    <row r="207" spans="1:2" x14ac:dyDescent="0.25">
      <c r="A207" t="s">
        <v>137</v>
      </c>
      <c r="B207" t="s">
        <v>962</v>
      </c>
    </row>
    <row r="208" spans="1:2" x14ac:dyDescent="0.25">
      <c r="A208" t="s">
        <v>76</v>
      </c>
      <c r="B208" t="s">
        <v>964</v>
      </c>
    </row>
    <row r="209" spans="1:2" x14ac:dyDescent="0.25">
      <c r="A209" t="s">
        <v>72</v>
      </c>
      <c r="B209" t="s">
        <v>963</v>
      </c>
    </row>
    <row r="210" spans="1:2" x14ac:dyDescent="0.25">
      <c r="A210" t="s">
        <v>58</v>
      </c>
      <c r="B210" t="s">
        <v>963</v>
      </c>
    </row>
    <row r="211" spans="1:2" x14ac:dyDescent="0.25">
      <c r="A211" t="s">
        <v>59</v>
      </c>
      <c r="B211" t="s">
        <v>963</v>
      </c>
    </row>
    <row r="212" spans="1:2" x14ac:dyDescent="0.25">
      <c r="A212" t="s">
        <v>60</v>
      </c>
      <c r="B212" t="s">
        <v>964</v>
      </c>
    </row>
    <row r="213" spans="1:2" x14ac:dyDescent="0.25">
      <c r="A213" t="s">
        <v>61</v>
      </c>
      <c r="B213" t="s">
        <v>963</v>
      </c>
    </row>
    <row r="214" spans="1:2" x14ac:dyDescent="0.25">
      <c r="A214" t="s">
        <v>62</v>
      </c>
      <c r="B214" t="s">
        <v>964</v>
      </c>
    </row>
    <row r="215" spans="1:2" x14ac:dyDescent="0.25">
      <c r="A215" t="s">
        <v>63</v>
      </c>
      <c r="B215" t="s">
        <v>964</v>
      </c>
    </row>
    <row r="216" spans="1:2" x14ac:dyDescent="0.25">
      <c r="A216" t="s">
        <v>50</v>
      </c>
      <c r="B216" t="s">
        <v>964</v>
      </c>
    </row>
    <row r="217" spans="1:2" x14ac:dyDescent="0.25">
      <c r="A217" t="s">
        <v>925</v>
      </c>
      <c r="B217" t="s">
        <v>962</v>
      </c>
    </row>
    <row r="218" spans="1:2" x14ac:dyDescent="0.25">
      <c r="A218" t="s">
        <v>53</v>
      </c>
      <c r="B218" t="s">
        <v>963</v>
      </c>
    </row>
    <row r="219" spans="1:2" x14ac:dyDescent="0.25">
      <c r="A219" t="s">
        <v>241</v>
      </c>
      <c r="B219" t="s">
        <v>962</v>
      </c>
    </row>
    <row r="220" spans="1:2" x14ac:dyDescent="0.25">
      <c r="A220" t="s">
        <v>348</v>
      </c>
      <c r="B220" t="s">
        <v>962</v>
      </c>
    </row>
    <row r="221" spans="1:2" x14ac:dyDescent="0.25">
      <c r="A221" t="s">
        <v>242</v>
      </c>
      <c r="B221" t="s">
        <v>962</v>
      </c>
    </row>
    <row r="222" spans="1:2" x14ac:dyDescent="0.25">
      <c r="A222" t="s">
        <v>243</v>
      </c>
      <c r="B222" t="s">
        <v>962</v>
      </c>
    </row>
    <row r="223" spans="1:2" x14ac:dyDescent="0.25">
      <c r="A223" t="s">
        <v>244</v>
      </c>
      <c r="B223" t="s">
        <v>962</v>
      </c>
    </row>
    <row r="224" spans="1:2" x14ac:dyDescent="0.25">
      <c r="A224" t="s">
        <v>349</v>
      </c>
      <c r="B224" t="s">
        <v>962</v>
      </c>
    </row>
    <row r="225" spans="1:2" x14ac:dyDescent="0.25">
      <c r="A225" t="s">
        <v>350</v>
      </c>
      <c r="B225" t="s">
        <v>962</v>
      </c>
    </row>
    <row r="226" spans="1:2" x14ac:dyDescent="0.25">
      <c r="A226" t="s">
        <v>351</v>
      </c>
      <c r="B226" t="s">
        <v>962</v>
      </c>
    </row>
    <row r="227" spans="1:2" x14ac:dyDescent="0.25">
      <c r="A227" t="s">
        <v>245</v>
      </c>
      <c r="B227" t="s">
        <v>962</v>
      </c>
    </row>
    <row r="228" spans="1:2" x14ac:dyDescent="0.25">
      <c r="A228" t="s">
        <v>153</v>
      </c>
      <c r="B228" t="s">
        <v>962</v>
      </c>
    </row>
    <row r="229" spans="1:2" x14ac:dyDescent="0.25">
      <c r="A229" t="s">
        <v>352</v>
      </c>
      <c r="B229" t="s">
        <v>964</v>
      </c>
    </row>
    <row r="230" spans="1:2" x14ac:dyDescent="0.25">
      <c r="A230" t="s">
        <v>353</v>
      </c>
      <c r="B230" t="s">
        <v>963</v>
      </c>
    </row>
    <row r="231" spans="1:2" x14ac:dyDescent="0.25">
      <c r="A231" t="s">
        <v>354</v>
      </c>
      <c r="B231" t="s">
        <v>962</v>
      </c>
    </row>
    <row r="232" spans="1:2" x14ac:dyDescent="0.25">
      <c r="A232" t="s">
        <v>459</v>
      </c>
      <c r="B232" t="s">
        <v>962</v>
      </c>
    </row>
    <row r="233" spans="1:2" x14ac:dyDescent="0.25">
      <c r="A233" t="s">
        <v>461</v>
      </c>
      <c r="B233" t="s">
        <v>964</v>
      </c>
    </row>
    <row r="234" spans="1:2" x14ac:dyDescent="0.25">
      <c r="A234" t="s">
        <v>355</v>
      </c>
      <c r="B234" t="s">
        <v>962</v>
      </c>
    </row>
    <row r="235" spans="1:2" x14ac:dyDescent="0.25">
      <c r="A235" t="s">
        <v>246</v>
      </c>
      <c r="B235" t="s">
        <v>962</v>
      </c>
    </row>
    <row r="236" spans="1:2" x14ac:dyDescent="0.25">
      <c r="A236" t="s">
        <v>247</v>
      </c>
      <c r="B236" t="s">
        <v>962</v>
      </c>
    </row>
    <row r="237" spans="1:2" x14ac:dyDescent="0.25">
      <c r="A237" t="s">
        <v>154</v>
      </c>
      <c r="B237" t="s">
        <v>962</v>
      </c>
    </row>
    <row r="238" spans="1:2" x14ac:dyDescent="0.25">
      <c r="A238" t="s">
        <v>356</v>
      </c>
      <c r="B238" t="s">
        <v>962</v>
      </c>
    </row>
    <row r="239" spans="1:2" x14ac:dyDescent="0.25">
      <c r="A239" t="s">
        <v>357</v>
      </c>
      <c r="B239" t="s">
        <v>962</v>
      </c>
    </row>
    <row r="240" spans="1:2" x14ac:dyDescent="0.25">
      <c r="A240" t="s">
        <v>358</v>
      </c>
      <c r="B240" t="s">
        <v>962</v>
      </c>
    </row>
    <row r="241" spans="1:2" x14ac:dyDescent="0.25">
      <c r="A241" t="s">
        <v>359</v>
      </c>
      <c r="B241" t="s">
        <v>962</v>
      </c>
    </row>
    <row r="242" spans="1:2" x14ac:dyDescent="0.25">
      <c r="A242" t="s">
        <v>360</v>
      </c>
      <c r="B242" t="s">
        <v>962</v>
      </c>
    </row>
    <row r="243" spans="1:2" x14ac:dyDescent="0.25">
      <c r="A243" t="s">
        <v>248</v>
      </c>
      <c r="B243" t="s">
        <v>962</v>
      </c>
    </row>
    <row r="244" spans="1:2" x14ac:dyDescent="0.25">
      <c r="A244" t="s">
        <v>361</v>
      </c>
      <c r="B244" t="s">
        <v>963</v>
      </c>
    </row>
    <row r="245" spans="1:2" x14ac:dyDescent="0.25">
      <c r="A245" t="s">
        <v>362</v>
      </c>
      <c r="B245" t="s">
        <v>965</v>
      </c>
    </row>
    <row r="246" spans="1:2" x14ac:dyDescent="0.25">
      <c r="A246" t="s">
        <v>363</v>
      </c>
      <c r="B246" t="s">
        <v>964</v>
      </c>
    </row>
    <row r="247" spans="1:2" x14ac:dyDescent="0.25">
      <c r="A247" t="s">
        <v>364</v>
      </c>
      <c r="B247" t="s">
        <v>962</v>
      </c>
    </row>
    <row r="248" spans="1:2" x14ac:dyDescent="0.25">
      <c r="A248" t="s">
        <v>365</v>
      </c>
      <c r="B248" t="s">
        <v>962</v>
      </c>
    </row>
    <row r="249" spans="1:2" x14ac:dyDescent="0.25">
      <c r="A249" t="s">
        <v>366</v>
      </c>
      <c r="B249" t="s">
        <v>964</v>
      </c>
    </row>
    <row r="250" spans="1:2" x14ac:dyDescent="0.25">
      <c r="A250" t="s">
        <v>367</v>
      </c>
      <c r="B250" t="s">
        <v>964</v>
      </c>
    </row>
    <row r="251" spans="1:2" x14ac:dyDescent="0.25">
      <c r="A251" t="s">
        <v>368</v>
      </c>
      <c r="B251" t="s">
        <v>962</v>
      </c>
    </row>
    <row r="252" spans="1:2" x14ac:dyDescent="0.25">
      <c r="A252" t="s">
        <v>369</v>
      </c>
      <c r="B252" t="s">
        <v>962</v>
      </c>
    </row>
    <row r="253" spans="1:2" x14ac:dyDescent="0.25">
      <c r="A253" t="s">
        <v>463</v>
      </c>
      <c r="B253" t="s">
        <v>962</v>
      </c>
    </row>
    <row r="254" spans="1:2" x14ac:dyDescent="0.25">
      <c r="A254" t="s">
        <v>370</v>
      </c>
      <c r="B254" t="s">
        <v>962</v>
      </c>
    </row>
    <row r="255" spans="1:2" x14ac:dyDescent="0.25">
      <c r="A255" t="s">
        <v>371</v>
      </c>
      <c r="B255" t="s">
        <v>962</v>
      </c>
    </row>
    <row r="256" spans="1:2" x14ac:dyDescent="0.25">
      <c r="A256" t="s">
        <v>372</v>
      </c>
      <c r="B256" t="s">
        <v>964</v>
      </c>
    </row>
    <row r="257" spans="1:2" x14ac:dyDescent="0.25">
      <c r="A257" t="s">
        <v>373</v>
      </c>
      <c r="B257" t="s">
        <v>962</v>
      </c>
    </row>
    <row r="258" spans="1:2" x14ac:dyDescent="0.25">
      <c r="A258" t="s">
        <v>374</v>
      </c>
      <c r="B258" t="s">
        <v>962</v>
      </c>
    </row>
    <row r="259" spans="1:2" x14ac:dyDescent="0.25">
      <c r="A259" t="s">
        <v>375</v>
      </c>
      <c r="B259" t="s">
        <v>963</v>
      </c>
    </row>
    <row r="260" spans="1:2" x14ac:dyDescent="0.25">
      <c r="A260" t="s">
        <v>376</v>
      </c>
      <c r="B260" t="s">
        <v>962</v>
      </c>
    </row>
    <row r="261" spans="1:2" x14ac:dyDescent="0.25">
      <c r="A261" t="s">
        <v>377</v>
      </c>
      <c r="B261" t="s">
        <v>962</v>
      </c>
    </row>
    <row r="262" spans="1:2" x14ac:dyDescent="0.25">
      <c r="A262" t="s">
        <v>378</v>
      </c>
      <c r="B262" t="s">
        <v>962</v>
      </c>
    </row>
    <row r="263" spans="1:2" x14ac:dyDescent="0.25">
      <c r="A263" t="s">
        <v>379</v>
      </c>
      <c r="B263" t="s">
        <v>962</v>
      </c>
    </row>
    <row r="264" spans="1:2" x14ac:dyDescent="0.25">
      <c r="A264" t="s">
        <v>380</v>
      </c>
      <c r="B264" t="s">
        <v>965</v>
      </c>
    </row>
    <row r="265" spans="1:2" x14ac:dyDescent="0.25">
      <c r="A265" t="s">
        <v>381</v>
      </c>
      <c r="B265" t="s">
        <v>962</v>
      </c>
    </row>
    <row r="266" spans="1:2" x14ac:dyDescent="0.25">
      <c r="A266" t="s">
        <v>382</v>
      </c>
      <c r="B266" t="s">
        <v>962</v>
      </c>
    </row>
    <row r="267" spans="1:2" x14ac:dyDescent="0.25">
      <c r="A267" t="s">
        <v>383</v>
      </c>
      <c r="B267" t="s">
        <v>962</v>
      </c>
    </row>
    <row r="268" spans="1:2" x14ac:dyDescent="0.25">
      <c r="A268" t="s">
        <v>249</v>
      </c>
      <c r="B268" t="s">
        <v>962</v>
      </c>
    </row>
    <row r="269" spans="1:2" x14ac:dyDescent="0.25">
      <c r="A269" t="s">
        <v>384</v>
      </c>
      <c r="B269" t="s">
        <v>962</v>
      </c>
    </row>
    <row r="270" spans="1:2" x14ac:dyDescent="0.25">
      <c r="A270" t="s">
        <v>385</v>
      </c>
      <c r="B270" t="s">
        <v>962</v>
      </c>
    </row>
    <row r="271" spans="1:2" x14ac:dyDescent="0.25">
      <c r="A271" t="s">
        <v>386</v>
      </c>
      <c r="B271" t="s">
        <v>965</v>
      </c>
    </row>
    <row r="272" spans="1:2" x14ac:dyDescent="0.25">
      <c r="A272" t="s">
        <v>387</v>
      </c>
      <c r="B272" t="s">
        <v>964</v>
      </c>
    </row>
    <row r="273" spans="1:2" x14ac:dyDescent="0.25">
      <c r="A273" t="s">
        <v>388</v>
      </c>
      <c r="B273" t="s">
        <v>964</v>
      </c>
    </row>
    <row r="274" spans="1:2" x14ac:dyDescent="0.25">
      <c r="A274" t="s">
        <v>250</v>
      </c>
      <c r="B274" t="s">
        <v>962</v>
      </c>
    </row>
    <row r="275" spans="1:2" x14ac:dyDescent="0.25">
      <c r="A275" t="s">
        <v>251</v>
      </c>
      <c r="B275" t="s">
        <v>964</v>
      </c>
    </row>
    <row r="276" spans="1:2" x14ac:dyDescent="0.25">
      <c r="A276" t="s">
        <v>252</v>
      </c>
      <c r="B276" t="s">
        <v>964</v>
      </c>
    </row>
    <row r="277" spans="1:2" x14ac:dyDescent="0.25">
      <c r="A277" t="s">
        <v>253</v>
      </c>
      <c r="B277" t="s">
        <v>963</v>
      </c>
    </row>
    <row r="278" spans="1:2" x14ac:dyDescent="0.25">
      <c r="A278" t="s">
        <v>254</v>
      </c>
      <c r="B278" t="s">
        <v>964</v>
      </c>
    </row>
    <row r="279" spans="1:2" x14ac:dyDescent="0.25">
      <c r="A279" t="s">
        <v>255</v>
      </c>
      <c r="B279" t="s">
        <v>962</v>
      </c>
    </row>
    <row r="280" spans="1:2" x14ac:dyDescent="0.25">
      <c r="A280" t="s">
        <v>256</v>
      </c>
      <c r="B280" t="s">
        <v>962</v>
      </c>
    </row>
    <row r="281" spans="1:2" x14ac:dyDescent="0.25">
      <c r="A281" t="s">
        <v>155</v>
      </c>
      <c r="B281" t="s">
        <v>962</v>
      </c>
    </row>
    <row r="282" spans="1:2" x14ac:dyDescent="0.25">
      <c r="A282" t="s">
        <v>257</v>
      </c>
      <c r="B282" t="s">
        <v>962</v>
      </c>
    </row>
    <row r="283" spans="1:2" x14ac:dyDescent="0.25">
      <c r="A283" t="s">
        <v>258</v>
      </c>
      <c r="B283" t="s">
        <v>965</v>
      </c>
    </row>
    <row r="284" spans="1:2" x14ac:dyDescent="0.25">
      <c r="A284" t="s">
        <v>389</v>
      </c>
      <c r="B284" t="s">
        <v>962</v>
      </c>
    </row>
    <row r="285" spans="1:2" x14ac:dyDescent="0.25">
      <c r="A285" t="s">
        <v>259</v>
      </c>
      <c r="B285" t="s">
        <v>965</v>
      </c>
    </row>
    <row r="286" spans="1:2" x14ac:dyDescent="0.25">
      <c r="A286" t="s">
        <v>390</v>
      </c>
      <c r="B286" t="s">
        <v>962</v>
      </c>
    </row>
    <row r="287" spans="1:2" x14ac:dyDescent="0.25">
      <c r="A287" t="s">
        <v>391</v>
      </c>
      <c r="B287" t="s">
        <v>965</v>
      </c>
    </row>
    <row r="288" spans="1:2" x14ac:dyDescent="0.25">
      <c r="A288" t="s">
        <v>260</v>
      </c>
      <c r="B288" t="s">
        <v>962</v>
      </c>
    </row>
    <row r="289" spans="1:2" x14ac:dyDescent="0.25">
      <c r="A289" t="s">
        <v>392</v>
      </c>
      <c r="B289" t="s">
        <v>964</v>
      </c>
    </row>
    <row r="290" spans="1:2" x14ac:dyDescent="0.25">
      <c r="A290" t="s">
        <v>393</v>
      </c>
      <c r="B290" t="s">
        <v>964</v>
      </c>
    </row>
    <row r="291" spans="1:2" x14ac:dyDescent="0.25">
      <c r="A291" t="s">
        <v>261</v>
      </c>
      <c r="B291" t="s">
        <v>964</v>
      </c>
    </row>
    <row r="292" spans="1:2" x14ac:dyDescent="0.25">
      <c r="A292" t="s">
        <v>291</v>
      </c>
      <c r="B292" t="s">
        <v>962</v>
      </c>
    </row>
    <row r="293" spans="1:2" x14ac:dyDescent="0.25">
      <c r="A293" t="s">
        <v>292</v>
      </c>
      <c r="B293" t="s">
        <v>962</v>
      </c>
    </row>
    <row r="294" spans="1:2" x14ac:dyDescent="0.25">
      <c r="A294" t="s">
        <v>156</v>
      </c>
      <c r="B294" t="s">
        <v>962</v>
      </c>
    </row>
    <row r="295" spans="1:2" x14ac:dyDescent="0.25">
      <c r="A295" t="s">
        <v>157</v>
      </c>
      <c r="B295" t="s">
        <v>962</v>
      </c>
    </row>
    <row r="296" spans="1:2" x14ac:dyDescent="0.25">
      <c r="A296" t="s">
        <v>293</v>
      </c>
      <c r="B296" t="s">
        <v>962</v>
      </c>
    </row>
    <row r="297" spans="1:2" x14ac:dyDescent="0.25">
      <c r="A297" t="s">
        <v>158</v>
      </c>
      <c r="B297" t="s">
        <v>962</v>
      </c>
    </row>
    <row r="298" spans="1:2" x14ac:dyDescent="0.25">
      <c r="A298" t="s">
        <v>159</v>
      </c>
      <c r="B298" t="s">
        <v>962</v>
      </c>
    </row>
    <row r="299" spans="1:2" x14ac:dyDescent="0.25">
      <c r="A299" t="s">
        <v>160</v>
      </c>
      <c r="B299" t="s">
        <v>962</v>
      </c>
    </row>
    <row r="300" spans="1:2" x14ac:dyDescent="0.25">
      <c r="A300" t="s">
        <v>266</v>
      </c>
      <c r="B300" t="s">
        <v>962</v>
      </c>
    </row>
    <row r="301" spans="1:2" x14ac:dyDescent="0.25">
      <c r="A301" t="s">
        <v>161</v>
      </c>
      <c r="B301" t="s">
        <v>962</v>
      </c>
    </row>
    <row r="302" spans="1:2" x14ac:dyDescent="0.25">
      <c r="A302" t="s">
        <v>162</v>
      </c>
      <c r="B302" t="s">
        <v>962</v>
      </c>
    </row>
    <row r="303" spans="1:2" x14ac:dyDescent="0.25">
      <c r="A303" t="s">
        <v>163</v>
      </c>
      <c r="B303" t="s">
        <v>962</v>
      </c>
    </row>
    <row r="304" spans="1:2" x14ac:dyDescent="0.25">
      <c r="A304" t="s">
        <v>164</v>
      </c>
      <c r="B304" t="s">
        <v>962</v>
      </c>
    </row>
    <row r="305" spans="1:2" x14ac:dyDescent="0.25">
      <c r="A305" t="s">
        <v>171</v>
      </c>
      <c r="B305" t="s">
        <v>962</v>
      </c>
    </row>
    <row r="306" spans="1:2" x14ac:dyDescent="0.25">
      <c r="A306" t="s">
        <v>172</v>
      </c>
      <c r="B306" t="s">
        <v>962</v>
      </c>
    </row>
    <row r="307" spans="1:2" x14ac:dyDescent="0.25">
      <c r="A307" t="s">
        <v>169</v>
      </c>
      <c r="B307" t="s">
        <v>962</v>
      </c>
    </row>
    <row r="308" spans="1:2" x14ac:dyDescent="0.25">
      <c r="A308" t="s">
        <v>173</v>
      </c>
      <c r="B308" t="s">
        <v>962</v>
      </c>
    </row>
    <row r="309" spans="1:2" x14ac:dyDescent="0.25">
      <c r="A309" t="s">
        <v>174</v>
      </c>
      <c r="B309" t="s">
        <v>962</v>
      </c>
    </row>
    <row r="310" spans="1:2" x14ac:dyDescent="0.25">
      <c r="A310" t="s">
        <v>175</v>
      </c>
      <c r="B310" t="s">
        <v>962</v>
      </c>
    </row>
    <row r="311" spans="1:2" x14ac:dyDescent="0.25">
      <c r="A311" t="s">
        <v>176</v>
      </c>
      <c r="B311" t="s">
        <v>962</v>
      </c>
    </row>
    <row r="312" spans="1:2" x14ac:dyDescent="0.25">
      <c r="A312" t="s">
        <v>177</v>
      </c>
      <c r="B312" t="s">
        <v>963</v>
      </c>
    </row>
    <row r="313" spans="1:2" x14ac:dyDescent="0.25">
      <c r="A313" t="s">
        <v>178</v>
      </c>
      <c r="B313" t="s">
        <v>962</v>
      </c>
    </row>
    <row r="314" spans="1:2" x14ac:dyDescent="0.25">
      <c r="A314" t="s">
        <v>179</v>
      </c>
      <c r="B314" t="s">
        <v>962</v>
      </c>
    </row>
    <row r="315" spans="1:2" x14ac:dyDescent="0.25">
      <c r="A315" t="s">
        <v>316</v>
      </c>
      <c r="B315" t="s">
        <v>962</v>
      </c>
    </row>
    <row r="316" spans="1:2" x14ac:dyDescent="0.25">
      <c r="A316" t="s">
        <v>180</v>
      </c>
      <c r="B316" t="s">
        <v>962</v>
      </c>
    </row>
    <row r="317" spans="1:2" x14ac:dyDescent="0.25">
      <c r="A317" t="s">
        <v>181</v>
      </c>
      <c r="B317" t="s">
        <v>962</v>
      </c>
    </row>
    <row r="318" spans="1:2" x14ac:dyDescent="0.25">
      <c r="A318" t="s">
        <v>182</v>
      </c>
      <c r="B318" t="s">
        <v>962</v>
      </c>
    </row>
    <row r="319" spans="1:2" x14ac:dyDescent="0.25">
      <c r="A319" t="s">
        <v>183</v>
      </c>
      <c r="B319" t="s">
        <v>962</v>
      </c>
    </row>
    <row r="320" spans="1:2" x14ac:dyDescent="0.25">
      <c r="A320" t="s">
        <v>184</v>
      </c>
      <c r="B320" t="s">
        <v>962</v>
      </c>
    </row>
    <row r="321" spans="1:2" x14ac:dyDescent="0.25">
      <c r="A321" t="s">
        <v>319</v>
      </c>
      <c r="B321" t="s">
        <v>962</v>
      </c>
    </row>
    <row r="322" spans="1:2" x14ac:dyDescent="0.25">
      <c r="A322" t="s">
        <v>320</v>
      </c>
      <c r="B322" t="s">
        <v>962</v>
      </c>
    </row>
    <row r="323" spans="1:2" x14ac:dyDescent="0.25">
      <c r="A323" t="s">
        <v>321</v>
      </c>
      <c r="B323" t="s">
        <v>962</v>
      </c>
    </row>
    <row r="324" spans="1:2" x14ac:dyDescent="0.25">
      <c r="A324" t="s">
        <v>322</v>
      </c>
      <c r="B324" t="s">
        <v>962</v>
      </c>
    </row>
    <row r="325" spans="1:2" x14ac:dyDescent="0.25">
      <c r="A325" t="s">
        <v>323</v>
      </c>
      <c r="B325" t="s">
        <v>962</v>
      </c>
    </row>
    <row r="326" spans="1:2" x14ac:dyDescent="0.25">
      <c r="A326" t="s">
        <v>315</v>
      </c>
      <c r="B326" t="s">
        <v>962</v>
      </c>
    </row>
    <row r="327" spans="1:2" x14ac:dyDescent="0.25">
      <c r="A327" t="s">
        <v>324</v>
      </c>
      <c r="B327" t="s">
        <v>962</v>
      </c>
    </row>
    <row r="328" spans="1:2" x14ac:dyDescent="0.25">
      <c r="A328" t="s">
        <v>325</v>
      </c>
      <c r="B328" t="s">
        <v>962</v>
      </c>
    </row>
    <row r="329" spans="1:2" x14ac:dyDescent="0.25">
      <c r="A329" t="s">
        <v>326</v>
      </c>
      <c r="B329" t="s">
        <v>962</v>
      </c>
    </row>
    <row r="330" spans="1:2" x14ac:dyDescent="0.25">
      <c r="A330" t="s">
        <v>327</v>
      </c>
      <c r="B330" t="s">
        <v>962</v>
      </c>
    </row>
    <row r="331" spans="1:2" x14ac:dyDescent="0.25">
      <c r="A331" t="s">
        <v>328</v>
      </c>
      <c r="B331" t="s">
        <v>962</v>
      </c>
    </row>
    <row r="332" spans="1:2" x14ac:dyDescent="0.25">
      <c r="A332" t="s">
        <v>329</v>
      </c>
      <c r="B332" t="s">
        <v>962</v>
      </c>
    </row>
    <row r="333" spans="1:2" x14ac:dyDescent="0.25">
      <c r="A333" t="s">
        <v>330</v>
      </c>
      <c r="B333" t="s">
        <v>962</v>
      </c>
    </row>
    <row r="334" spans="1:2" x14ac:dyDescent="0.25">
      <c r="A334" t="s">
        <v>331</v>
      </c>
      <c r="B334" t="s">
        <v>962</v>
      </c>
    </row>
    <row r="335" spans="1:2" x14ac:dyDescent="0.25">
      <c r="A335" t="s">
        <v>332</v>
      </c>
      <c r="B335" t="s">
        <v>962</v>
      </c>
    </row>
    <row r="336" spans="1:2" x14ac:dyDescent="0.25">
      <c r="A336" t="s">
        <v>333</v>
      </c>
      <c r="B336" t="s">
        <v>962</v>
      </c>
    </row>
    <row r="337" spans="1:2" x14ac:dyDescent="0.25">
      <c r="A337" t="s">
        <v>334</v>
      </c>
      <c r="B337" t="s">
        <v>962</v>
      </c>
    </row>
    <row r="338" spans="1:2" x14ac:dyDescent="0.25">
      <c r="A338" t="s">
        <v>335</v>
      </c>
      <c r="B338" t="s">
        <v>962</v>
      </c>
    </row>
    <row r="339" spans="1:2" x14ac:dyDescent="0.25">
      <c r="A339" t="s">
        <v>336</v>
      </c>
      <c r="B339" t="s">
        <v>962</v>
      </c>
    </row>
    <row r="340" spans="1:2" x14ac:dyDescent="0.25">
      <c r="A340" t="s">
        <v>311</v>
      </c>
      <c r="B340" t="s">
        <v>963</v>
      </c>
    </row>
    <row r="341" spans="1:2" x14ac:dyDescent="0.25">
      <c r="A341" t="s">
        <v>185</v>
      </c>
      <c r="B341" t="s">
        <v>962</v>
      </c>
    </row>
    <row r="342" spans="1:2" x14ac:dyDescent="0.25">
      <c r="A342" t="s">
        <v>186</v>
      </c>
      <c r="B342" t="s">
        <v>962</v>
      </c>
    </row>
    <row r="343" spans="1:2" x14ac:dyDescent="0.25">
      <c r="A343" t="s">
        <v>170</v>
      </c>
      <c r="B343" t="s">
        <v>962</v>
      </c>
    </row>
    <row r="344" spans="1:2" x14ac:dyDescent="0.25">
      <c r="A344" t="s">
        <v>187</v>
      </c>
      <c r="B344" t="s">
        <v>963</v>
      </c>
    </row>
    <row r="345" spans="1:2" x14ac:dyDescent="0.25">
      <c r="A345" t="s">
        <v>165</v>
      </c>
      <c r="B345" t="s">
        <v>962</v>
      </c>
    </row>
    <row r="346" spans="1:2" x14ac:dyDescent="0.25">
      <c r="A346" t="s">
        <v>312</v>
      </c>
      <c r="B346" t="s">
        <v>962</v>
      </c>
    </row>
    <row r="347" spans="1:2" x14ac:dyDescent="0.25">
      <c r="A347" t="s">
        <v>313</v>
      </c>
      <c r="B347" t="s">
        <v>962</v>
      </c>
    </row>
    <row r="348" spans="1:2" x14ac:dyDescent="0.25">
      <c r="A348" t="s">
        <v>314</v>
      </c>
      <c r="B348" t="s">
        <v>962</v>
      </c>
    </row>
    <row r="349" spans="1:2" x14ac:dyDescent="0.25">
      <c r="A349" t="s">
        <v>317</v>
      </c>
      <c r="B349" t="s">
        <v>962</v>
      </c>
    </row>
    <row r="350" spans="1:2" x14ac:dyDescent="0.25">
      <c r="A350" t="s">
        <v>318</v>
      </c>
      <c r="B350" t="s">
        <v>962</v>
      </c>
    </row>
    <row r="351" spans="1:2" x14ac:dyDescent="0.25">
      <c r="A351" t="s">
        <v>166</v>
      </c>
      <c r="B351" t="s">
        <v>962</v>
      </c>
    </row>
    <row r="352" spans="1:2" x14ac:dyDescent="0.25">
      <c r="A352" t="s">
        <v>167</v>
      </c>
      <c r="B352" t="s">
        <v>962</v>
      </c>
    </row>
    <row r="353" spans="1:2" x14ac:dyDescent="0.25">
      <c r="A353" t="s">
        <v>168</v>
      </c>
      <c r="B353" t="s">
        <v>962</v>
      </c>
    </row>
    <row r="354" spans="1:2" x14ac:dyDescent="0.25">
      <c r="A354" t="s">
        <v>200</v>
      </c>
      <c r="B354" t="s">
        <v>962</v>
      </c>
    </row>
    <row r="355" spans="1:2" x14ac:dyDescent="0.25">
      <c r="A355" t="s">
        <v>201</v>
      </c>
      <c r="B355" t="s">
        <v>962</v>
      </c>
    </row>
    <row r="356" spans="1:2" x14ac:dyDescent="0.25">
      <c r="A356" t="s">
        <v>202</v>
      </c>
      <c r="B356" t="s">
        <v>962</v>
      </c>
    </row>
    <row r="357" spans="1:2" x14ac:dyDescent="0.25">
      <c r="A357" t="s">
        <v>188</v>
      </c>
      <c r="B357" t="s">
        <v>962</v>
      </c>
    </row>
    <row r="358" spans="1:2" x14ac:dyDescent="0.25">
      <c r="A358" t="s">
        <v>189</v>
      </c>
      <c r="B358" t="s">
        <v>962</v>
      </c>
    </row>
    <row r="359" spans="1:2" x14ac:dyDescent="0.25">
      <c r="A359" t="s">
        <v>190</v>
      </c>
      <c r="B359" t="s">
        <v>964</v>
      </c>
    </row>
    <row r="360" spans="1:2" x14ac:dyDescent="0.25">
      <c r="A360" t="s">
        <v>191</v>
      </c>
      <c r="B360" t="s">
        <v>962</v>
      </c>
    </row>
    <row r="361" spans="1:2" x14ac:dyDescent="0.25">
      <c r="A361" t="s">
        <v>192</v>
      </c>
      <c r="B361" t="s">
        <v>962</v>
      </c>
    </row>
    <row r="362" spans="1:2" x14ac:dyDescent="0.25">
      <c r="A362" t="s">
        <v>193</v>
      </c>
      <c r="B362" t="s">
        <v>962</v>
      </c>
    </row>
    <row r="363" spans="1:2" x14ac:dyDescent="0.25">
      <c r="A363" t="s">
        <v>194</v>
      </c>
      <c r="B363" t="s">
        <v>962</v>
      </c>
    </row>
    <row r="364" spans="1:2" x14ac:dyDescent="0.25">
      <c r="A364" t="s">
        <v>195</v>
      </c>
      <c r="B364" t="s">
        <v>962</v>
      </c>
    </row>
    <row r="365" spans="1:2" x14ac:dyDescent="0.25">
      <c r="A365" t="s">
        <v>196</v>
      </c>
      <c r="B365" t="s">
        <v>962</v>
      </c>
    </row>
    <row r="366" spans="1:2" x14ac:dyDescent="0.25">
      <c r="A366" t="s">
        <v>197</v>
      </c>
      <c r="B366" t="s">
        <v>962</v>
      </c>
    </row>
    <row r="367" spans="1:2" x14ac:dyDescent="0.25">
      <c r="A367" t="s">
        <v>198</v>
      </c>
      <c r="B367" t="s">
        <v>962</v>
      </c>
    </row>
    <row r="368" spans="1:2" x14ac:dyDescent="0.25">
      <c r="A368" t="s">
        <v>199</v>
      </c>
      <c r="B368" t="s">
        <v>962</v>
      </c>
    </row>
    <row r="369" spans="1:2" x14ac:dyDescent="0.25">
      <c r="A369" t="s">
        <v>395</v>
      </c>
      <c r="B369" t="s">
        <v>962</v>
      </c>
    </row>
    <row r="370" spans="1:2" x14ac:dyDescent="0.25">
      <c r="A370" t="s">
        <v>396</v>
      </c>
      <c r="B370" t="s">
        <v>962</v>
      </c>
    </row>
    <row r="371" spans="1:2" x14ac:dyDescent="0.25">
      <c r="A371" t="s">
        <v>337</v>
      </c>
      <c r="B371" t="s">
        <v>962</v>
      </c>
    </row>
    <row r="372" spans="1:2" x14ac:dyDescent="0.25">
      <c r="A372" t="s">
        <v>397</v>
      </c>
      <c r="B372" t="s">
        <v>962</v>
      </c>
    </row>
    <row r="373" spans="1:2" x14ac:dyDescent="0.25">
      <c r="A373" t="s">
        <v>398</v>
      </c>
      <c r="B373" t="s">
        <v>962</v>
      </c>
    </row>
    <row r="374" spans="1:2" x14ac:dyDescent="0.25">
      <c r="A374" t="s">
        <v>399</v>
      </c>
      <c r="B374" t="s">
        <v>962</v>
      </c>
    </row>
    <row r="375" spans="1:2" x14ac:dyDescent="0.25">
      <c r="A375" t="s">
        <v>400</v>
      </c>
      <c r="B375" t="s">
        <v>965</v>
      </c>
    </row>
    <row r="376" spans="1:2" x14ac:dyDescent="0.25">
      <c r="A376" t="s">
        <v>401</v>
      </c>
      <c r="B376" t="s">
        <v>962</v>
      </c>
    </row>
    <row r="377" spans="1:2" x14ac:dyDescent="0.25">
      <c r="A377" t="s">
        <v>402</v>
      </c>
      <c r="B377" t="s">
        <v>962</v>
      </c>
    </row>
    <row r="378" spans="1:2" x14ac:dyDescent="0.25">
      <c r="A378" t="s">
        <v>403</v>
      </c>
      <c r="B378" t="s">
        <v>962</v>
      </c>
    </row>
    <row r="379" spans="1:2" x14ac:dyDescent="0.25">
      <c r="A379" t="s">
        <v>404</v>
      </c>
      <c r="B379" t="s">
        <v>962</v>
      </c>
    </row>
    <row r="380" spans="1:2" x14ac:dyDescent="0.25">
      <c r="A380" t="s">
        <v>405</v>
      </c>
      <c r="B380" t="s">
        <v>962</v>
      </c>
    </row>
    <row r="381" spans="1:2" x14ac:dyDescent="0.25">
      <c r="A381" t="s">
        <v>406</v>
      </c>
      <c r="B381" t="s">
        <v>962</v>
      </c>
    </row>
    <row r="382" spans="1:2" x14ac:dyDescent="0.25">
      <c r="A382" t="s">
        <v>407</v>
      </c>
      <c r="B382" t="s">
        <v>962</v>
      </c>
    </row>
    <row r="383" spans="1:2" x14ac:dyDescent="0.25">
      <c r="A383" t="s">
        <v>408</v>
      </c>
      <c r="B383" t="s">
        <v>962</v>
      </c>
    </row>
    <row r="384" spans="1:2" x14ac:dyDescent="0.25">
      <c r="A384" t="s">
        <v>409</v>
      </c>
      <c r="B384" t="s">
        <v>962</v>
      </c>
    </row>
    <row r="385" spans="1:2" x14ac:dyDescent="0.25">
      <c r="A385" t="s">
        <v>410</v>
      </c>
      <c r="B385" t="s">
        <v>962</v>
      </c>
    </row>
    <row r="386" spans="1:2" x14ac:dyDescent="0.25">
      <c r="A386" t="s">
        <v>411</v>
      </c>
      <c r="B386" t="s">
        <v>962</v>
      </c>
    </row>
    <row r="387" spans="1:2" x14ac:dyDescent="0.25">
      <c r="A387" t="s">
        <v>412</v>
      </c>
      <c r="B387" t="s">
        <v>962</v>
      </c>
    </row>
    <row r="388" spans="1:2" x14ac:dyDescent="0.25">
      <c r="A388" t="s">
        <v>413</v>
      </c>
      <c r="B388" t="s">
        <v>964</v>
      </c>
    </row>
    <row r="389" spans="1:2" x14ac:dyDescent="0.25">
      <c r="A389" t="s">
        <v>414</v>
      </c>
      <c r="B389" t="s">
        <v>962</v>
      </c>
    </row>
    <row r="390" spans="1:2" x14ac:dyDescent="0.25">
      <c r="A390" t="s">
        <v>462</v>
      </c>
      <c r="B390" t="s">
        <v>962</v>
      </c>
    </row>
    <row r="391" spans="1:2" x14ac:dyDescent="0.25">
      <c r="A391" t="s">
        <v>458</v>
      </c>
      <c r="B391" t="s">
        <v>962</v>
      </c>
    </row>
    <row r="392" spans="1:2" x14ac:dyDescent="0.25">
      <c r="A392" t="s">
        <v>460</v>
      </c>
      <c r="B392" t="s">
        <v>962</v>
      </c>
    </row>
    <row r="393" spans="1:2" x14ac:dyDescent="0.25">
      <c r="A393" t="s">
        <v>415</v>
      </c>
      <c r="B393" t="s">
        <v>964</v>
      </c>
    </row>
    <row r="394" spans="1:2" x14ac:dyDescent="0.25">
      <c r="A394" t="s">
        <v>416</v>
      </c>
      <c r="B394" t="s">
        <v>962</v>
      </c>
    </row>
    <row r="395" spans="1:2" x14ac:dyDescent="0.25">
      <c r="A395" t="s">
        <v>417</v>
      </c>
      <c r="B395" t="s">
        <v>962</v>
      </c>
    </row>
    <row r="396" spans="1:2" x14ac:dyDescent="0.25">
      <c r="A396" t="s">
        <v>418</v>
      </c>
      <c r="B396" t="s">
        <v>962</v>
      </c>
    </row>
    <row r="397" spans="1:2" x14ac:dyDescent="0.25">
      <c r="A397" t="s">
        <v>338</v>
      </c>
      <c r="B397" t="s">
        <v>962</v>
      </c>
    </row>
    <row r="398" spans="1:2" x14ac:dyDescent="0.25">
      <c r="A398" t="s">
        <v>294</v>
      </c>
      <c r="B398" t="s">
        <v>962</v>
      </c>
    </row>
    <row r="399" spans="1:2" x14ac:dyDescent="0.25">
      <c r="A399" t="s">
        <v>295</v>
      </c>
      <c r="B399" t="s">
        <v>962</v>
      </c>
    </row>
    <row r="400" spans="1:2" x14ac:dyDescent="0.25">
      <c r="A400" t="s">
        <v>296</v>
      </c>
      <c r="B400" t="s">
        <v>962</v>
      </c>
    </row>
    <row r="401" spans="1:2" x14ac:dyDescent="0.25">
      <c r="A401" t="s">
        <v>297</v>
      </c>
      <c r="B401" t="s">
        <v>962</v>
      </c>
    </row>
    <row r="402" spans="1:2" x14ac:dyDescent="0.25">
      <c r="A402" t="s">
        <v>298</v>
      </c>
      <c r="B402" t="s">
        <v>962</v>
      </c>
    </row>
    <row r="403" spans="1:2" x14ac:dyDescent="0.25">
      <c r="A403" t="s">
        <v>299</v>
      </c>
      <c r="B403" t="s">
        <v>962</v>
      </c>
    </row>
    <row r="404" spans="1:2" x14ac:dyDescent="0.25">
      <c r="A404" t="s">
        <v>300</v>
      </c>
      <c r="B404" t="s">
        <v>962</v>
      </c>
    </row>
    <row r="405" spans="1:2" x14ac:dyDescent="0.25">
      <c r="A405" t="s">
        <v>340</v>
      </c>
      <c r="B405" t="s">
        <v>962</v>
      </c>
    </row>
    <row r="406" spans="1:2" x14ac:dyDescent="0.25">
      <c r="A406" t="s">
        <v>464</v>
      </c>
      <c r="B406" t="s">
        <v>965</v>
      </c>
    </row>
    <row r="407" spans="1:2" x14ac:dyDescent="0.25">
      <c r="A407" t="s">
        <v>301</v>
      </c>
      <c r="B407" t="s">
        <v>962</v>
      </c>
    </row>
    <row r="408" spans="1:2" x14ac:dyDescent="0.25">
      <c r="A408" t="s">
        <v>302</v>
      </c>
      <c r="B408" t="s">
        <v>962</v>
      </c>
    </row>
    <row r="409" spans="1:2" x14ac:dyDescent="0.25">
      <c r="A409" t="s">
        <v>303</v>
      </c>
      <c r="B409" t="s">
        <v>962</v>
      </c>
    </row>
    <row r="410" spans="1:2" x14ac:dyDescent="0.25">
      <c r="A410" t="s">
        <v>304</v>
      </c>
      <c r="B410" t="s">
        <v>962</v>
      </c>
    </row>
    <row r="411" spans="1:2" x14ac:dyDescent="0.25">
      <c r="A411" t="s">
        <v>305</v>
      </c>
      <c r="B411" t="s">
        <v>962</v>
      </c>
    </row>
    <row r="412" spans="1:2" x14ac:dyDescent="0.25">
      <c r="A412" t="s">
        <v>306</v>
      </c>
      <c r="B412" t="s">
        <v>962</v>
      </c>
    </row>
    <row r="413" spans="1:2" x14ac:dyDescent="0.25">
      <c r="A413" t="s">
        <v>307</v>
      </c>
      <c r="B413" t="s">
        <v>962</v>
      </c>
    </row>
    <row r="414" spans="1:2" x14ac:dyDescent="0.25">
      <c r="A414" t="s">
        <v>308</v>
      </c>
      <c r="B414" t="s">
        <v>962</v>
      </c>
    </row>
    <row r="415" spans="1:2" x14ac:dyDescent="0.25">
      <c r="A415" t="s">
        <v>309</v>
      </c>
      <c r="B415" t="s">
        <v>962</v>
      </c>
    </row>
    <row r="416" spans="1:2" x14ac:dyDescent="0.25">
      <c r="A416" t="s">
        <v>310</v>
      </c>
      <c r="B416" t="s">
        <v>962</v>
      </c>
    </row>
    <row r="417" spans="1:2" x14ac:dyDescent="0.25">
      <c r="A417" t="s">
        <v>419</v>
      </c>
      <c r="B417" t="s">
        <v>962</v>
      </c>
    </row>
    <row r="418" spans="1:2" x14ac:dyDescent="0.25">
      <c r="A418" t="s">
        <v>420</v>
      </c>
      <c r="B418" t="s">
        <v>962</v>
      </c>
    </row>
    <row r="419" spans="1:2" x14ac:dyDescent="0.25">
      <c r="A419" t="s">
        <v>421</v>
      </c>
      <c r="B419" t="s">
        <v>962</v>
      </c>
    </row>
    <row r="420" spans="1:2" x14ac:dyDescent="0.25">
      <c r="A420" t="s">
        <v>422</v>
      </c>
      <c r="B420" t="s">
        <v>962</v>
      </c>
    </row>
    <row r="421" spans="1:2" x14ac:dyDescent="0.25">
      <c r="A421" t="s">
        <v>423</v>
      </c>
      <c r="B421" t="s">
        <v>962</v>
      </c>
    </row>
    <row r="422" spans="1:2" x14ac:dyDescent="0.25">
      <c r="A422" t="s">
        <v>424</v>
      </c>
      <c r="B422" t="s">
        <v>962</v>
      </c>
    </row>
    <row r="423" spans="1:2" x14ac:dyDescent="0.25">
      <c r="A423" t="s">
        <v>425</v>
      </c>
      <c r="B423" t="s">
        <v>962</v>
      </c>
    </row>
    <row r="424" spans="1:2" x14ac:dyDescent="0.25">
      <c r="A424" t="s">
        <v>426</v>
      </c>
      <c r="B424" t="s">
        <v>962</v>
      </c>
    </row>
    <row r="425" spans="1:2" x14ac:dyDescent="0.25">
      <c r="A425" t="s">
        <v>427</v>
      </c>
      <c r="B425" t="s">
        <v>964</v>
      </c>
    </row>
    <row r="426" spans="1:2" x14ac:dyDescent="0.25">
      <c r="A426" t="s">
        <v>428</v>
      </c>
      <c r="B426" t="s">
        <v>962</v>
      </c>
    </row>
    <row r="427" spans="1:2" x14ac:dyDescent="0.25">
      <c r="A427" t="s">
        <v>429</v>
      </c>
      <c r="B427" t="s">
        <v>963</v>
      </c>
    </row>
    <row r="428" spans="1:2" x14ac:dyDescent="0.25">
      <c r="A428" t="s">
        <v>430</v>
      </c>
      <c r="B428" t="s">
        <v>962</v>
      </c>
    </row>
    <row r="429" spans="1:2" x14ac:dyDescent="0.25">
      <c r="A429" t="s">
        <v>431</v>
      </c>
      <c r="B429" t="s">
        <v>964</v>
      </c>
    </row>
    <row r="430" spans="1:2" x14ac:dyDescent="0.25">
      <c r="A430" t="s">
        <v>432</v>
      </c>
      <c r="B430" t="s">
        <v>962</v>
      </c>
    </row>
    <row r="431" spans="1:2" x14ac:dyDescent="0.25">
      <c r="A431" t="s">
        <v>433</v>
      </c>
      <c r="B431" t="s">
        <v>962</v>
      </c>
    </row>
    <row r="432" spans="1:2" x14ac:dyDescent="0.25">
      <c r="A432" t="s">
        <v>434</v>
      </c>
      <c r="B432" t="s">
        <v>962</v>
      </c>
    </row>
    <row r="433" spans="1:2" x14ac:dyDescent="0.25">
      <c r="A433" t="s">
        <v>435</v>
      </c>
      <c r="B433" t="s">
        <v>963</v>
      </c>
    </row>
    <row r="434" spans="1:2" x14ac:dyDescent="0.25">
      <c r="A434" t="s">
        <v>436</v>
      </c>
      <c r="B434" t="s">
        <v>962</v>
      </c>
    </row>
    <row r="435" spans="1:2" x14ac:dyDescent="0.25">
      <c r="A435" t="s">
        <v>437</v>
      </c>
      <c r="B435" t="s">
        <v>963</v>
      </c>
    </row>
    <row r="436" spans="1:2" x14ac:dyDescent="0.25">
      <c r="A436" t="s">
        <v>438</v>
      </c>
      <c r="B436" t="s">
        <v>962</v>
      </c>
    </row>
    <row r="437" spans="1:2" x14ac:dyDescent="0.25">
      <c r="A437" t="s">
        <v>439</v>
      </c>
      <c r="B437" t="s">
        <v>962</v>
      </c>
    </row>
    <row r="438" spans="1:2" x14ac:dyDescent="0.25">
      <c r="A438" t="s">
        <v>440</v>
      </c>
      <c r="B438" t="s">
        <v>962</v>
      </c>
    </row>
    <row r="439" spans="1:2" x14ac:dyDescent="0.25">
      <c r="A439" t="s">
        <v>441</v>
      </c>
      <c r="B439" t="s">
        <v>962</v>
      </c>
    </row>
    <row r="440" spans="1:2" x14ac:dyDescent="0.25">
      <c r="A440" t="s">
        <v>442</v>
      </c>
      <c r="B440" t="s">
        <v>962</v>
      </c>
    </row>
    <row r="441" spans="1:2" x14ac:dyDescent="0.25">
      <c r="A441" t="s">
        <v>443</v>
      </c>
      <c r="B441" t="s">
        <v>962</v>
      </c>
    </row>
    <row r="442" spans="1:2" x14ac:dyDescent="0.25">
      <c r="A442" t="s">
        <v>444</v>
      </c>
      <c r="B442" t="s">
        <v>964</v>
      </c>
    </row>
    <row r="443" spans="1:2" x14ac:dyDescent="0.25">
      <c r="A443" t="s">
        <v>445</v>
      </c>
      <c r="B443" t="s">
        <v>964</v>
      </c>
    </row>
    <row r="444" spans="1:2" x14ac:dyDescent="0.25">
      <c r="A444" t="s">
        <v>446</v>
      </c>
      <c r="B444" t="s">
        <v>962</v>
      </c>
    </row>
    <row r="445" spans="1:2" x14ac:dyDescent="0.25">
      <c r="A445" t="s">
        <v>447</v>
      </c>
      <c r="B445" t="s">
        <v>962</v>
      </c>
    </row>
    <row r="446" spans="1:2" x14ac:dyDescent="0.25">
      <c r="A446" t="s">
        <v>448</v>
      </c>
      <c r="B446" t="s">
        <v>962</v>
      </c>
    </row>
    <row r="447" spans="1:2" x14ac:dyDescent="0.25">
      <c r="A447" t="s">
        <v>449</v>
      </c>
      <c r="B447" t="s">
        <v>962</v>
      </c>
    </row>
    <row r="448" spans="1:2" x14ac:dyDescent="0.25">
      <c r="A448" t="s">
        <v>450</v>
      </c>
      <c r="B448" t="s">
        <v>962</v>
      </c>
    </row>
    <row r="449" spans="1:2" x14ac:dyDescent="0.25">
      <c r="A449" t="s">
        <v>451</v>
      </c>
      <c r="B449" t="s">
        <v>962</v>
      </c>
    </row>
    <row r="450" spans="1:2" x14ac:dyDescent="0.25">
      <c r="A450" t="s">
        <v>452</v>
      </c>
      <c r="B450" t="s">
        <v>962</v>
      </c>
    </row>
    <row r="451" spans="1:2" x14ac:dyDescent="0.25">
      <c r="A451" t="s">
        <v>453</v>
      </c>
      <c r="B451" t="s">
        <v>962</v>
      </c>
    </row>
    <row r="452" spans="1:2" x14ac:dyDescent="0.25">
      <c r="A452" t="s">
        <v>454</v>
      </c>
      <c r="B452" t="s">
        <v>962</v>
      </c>
    </row>
    <row r="453" spans="1:2" x14ac:dyDescent="0.25">
      <c r="A453" t="s">
        <v>455</v>
      </c>
      <c r="B453" t="s">
        <v>962</v>
      </c>
    </row>
    <row r="454" spans="1:2" x14ac:dyDescent="0.25">
      <c r="A454" t="s">
        <v>456</v>
      </c>
      <c r="B454" t="s">
        <v>962</v>
      </c>
    </row>
    <row r="455" spans="1:2" x14ac:dyDescent="0.25">
      <c r="A455" t="s">
        <v>268</v>
      </c>
      <c r="B455" t="s">
        <v>965</v>
      </c>
    </row>
    <row r="456" spans="1:2" x14ac:dyDescent="0.25">
      <c r="A456" t="s">
        <v>269</v>
      </c>
      <c r="B456" t="s">
        <v>964</v>
      </c>
    </row>
    <row r="457" spans="1:2" x14ac:dyDescent="0.25">
      <c r="A457" t="s">
        <v>236</v>
      </c>
      <c r="B457" t="s">
        <v>962</v>
      </c>
    </row>
    <row r="458" spans="1:2" x14ac:dyDescent="0.25">
      <c r="A458" t="s">
        <v>267</v>
      </c>
      <c r="B458" t="s">
        <v>962</v>
      </c>
    </row>
    <row r="459" spans="1:2" x14ac:dyDescent="0.25">
      <c r="A459" t="s">
        <v>270</v>
      </c>
      <c r="B459" t="s">
        <v>962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ta_hm80L18L1_veg24beta</vt:lpstr>
      <vt:lpstr>Sheet1</vt:lpstr>
      <vt:lpstr>Sheet2</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Skowno</dc:creator>
  <cp:lastModifiedBy>Andrew Skowno</cp:lastModifiedBy>
  <dcterms:created xsi:type="dcterms:W3CDTF">2024-06-24T12:12:21Z</dcterms:created>
  <dcterms:modified xsi:type="dcterms:W3CDTF">2024-06-24T12:15:21Z</dcterms:modified>
</cp:coreProperties>
</file>